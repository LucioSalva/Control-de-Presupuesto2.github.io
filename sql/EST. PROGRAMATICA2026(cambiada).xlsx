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C:\Users\lua22\Documents\Ecatepec\Control-de-Presupuesto2.github.io\sql\"/>
    </mc:Choice>
  </mc:AlternateContent>
  <xr:revisionPtr revIDLastSave="0" documentId="13_ncr:1_{5DC96DA1-09F8-45CD-8668-97E50058E6DF}" xr6:coauthVersionLast="47" xr6:coauthVersionMax="47" xr10:uidLastSave="{00000000-0000-0000-0000-000000000000}"/>
  <bookViews>
    <workbookView xWindow="-108" yWindow="-108" windowWidth="23256" windowHeight="13896" firstSheet="2" activeTab="5" xr2:uid="{00000000-000D-0000-FFFF-FFFF00000000}"/>
  </bookViews>
  <sheets>
    <sheet name="NVA. EST. PROGRAMATICA 2026" sheetId="2" state="hidden" r:id="rId1"/>
    <sheet name="Hoja2" sheetId="16" state="hidden" r:id="rId2"/>
    <sheet name="ESTRUCTURA 2026" sheetId="17" r:id="rId3"/>
    <sheet name="dgeneral" sheetId="18" r:id="rId4"/>
    <sheet name="dauxiliar" sheetId="19" r:id="rId5"/>
    <sheet name="proyectos" sheetId="20" r:id="rId6"/>
    <sheet name="Objetivo" sheetId="3" state="hidden" r:id="rId7"/>
    <sheet name="Ob, Nuevos" sheetId="4" state="hidden" r:id="rId8"/>
    <sheet name="Pp y Py 2026" sheetId="6" state="hidden" r:id="rId9"/>
    <sheet name="GACETA" sheetId="7" state="hidden" r:id="rId10"/>
    <sheet name="GACETA 1" sheetId="8" state="hidden" r:id="rId11"/>
    <sheet name="Hoja3" sheetId="14" state="hidden" r:id="rId12"/>
    <sheet name="GACETA 2" sheetId="9" state="hidden" r:id="rId13"/>
    <sheet name="Hoja1" sheetId="12" state="hidden" r:id="rId14"/>
    <sheet name="GACETA 3" sheetId="11" state="hidden" r:id="rId15"/>
    <sheet name="GACETA 4" sheetId="10" state="hidden" r:id="rId16"/>
    <sheet name="Hoja4" sheetId="15" state="hidden" r:id="rId17"/>
  </sheets>
  <externalReferences>
    <externalReference r:id="rId18"/>
  </externalReferences>
  <definedNames>
    <definedName name="_xlnm._FilterDatabase" localSheetId="4" hidden="1">dauxiliar!$A$1:$C$1</definedName>
    <definedName name="_xlnm._FilterDatabase" localSheetId="2" hidden="1">'ESTRUCTURA 2026'!$A$1:$I$37</definedName>
    <definedName name="_xlnm._FilterDatabase" localSheetId="9" hidden="1">GACETA!$A$2:$C$186</definedName>
    <definedName name="_xlnm._FilterDatabase" localSheetId="12" hidden="1">'GACETA 2'!$B$1:$D$733</definedName>
    <definedName name="_xlnm._FilterDatabase" localSheetId="13" hidden="1">Hoja1!$B$2:$B$499</definedName>
    <definedName name="_xlnm._FilterDatabase" localSheetId="0" hidden="1">'NVA. EST. PROGRAMATICA 2026'!$A$1:$T$497</definedName>
    <definedName name="_xlnm._FilterDatabase" localSheetId="5" hidden="1">proyectos!$A$1:$D$1</definedName>
    <definedName name="_xlnm.Print_Area" localSheetId="0">'NVA. EST. PROGRAMATICA 2026'!$A$1:$T$488</definedName>
    <definedName name="_xlnm.Print_Titles" localSheetId="0">'NVA. EST. PROGRAMATICA 2026'!$1:$1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2" i="16" l="1"/>
  <c r="H422" i="16"/>
  <c r="F423" i="16"/>
  <c r="H423" i="16"/>
  <c r="F424" i="16"/>
  <c r="H424" i="16"/>
  <c r="F277" i="16"/>
  <c r="H277" i="16" s="1"/>
  <c r="H90" i="16"/>
  <c r="H119" i="16"/>
  <c r="H120" i="16"/>
  <c r="H121" i="16"/>
  <c r="H122" i="16"/>
  <c r="H123" i="16"/>
  <c r="H124" i="16"/>
  <c r="H292" i="16"/>
  <c r="H293" i="16"/>
  <c r="H294" i="16"/>
  <c r="H365" i="16"/>
  <c r="H366" i="16"/>
  <c r="H367" i="16"/>
  <c r="H368" i="16"/>
  <c r="H369" i="16"/>
  <c r="H370" i="16"/>
  <c r="H371" i="16"/>
  <c r="H372" i="16"/>
  <c r="H373" i="16"/>
  <c r="H374" i="16"/>
  <c r="H375" i="16"/>
  <c r="F3" i="16" l="1"/>
  <c r="F4" i="16"/>
  <c r="F5" i="16"/>
  <c r="F6" i="16"/>
  <c r="H6" i="16" s="1"/>
  <c r="F7" i="16"/>
  <c r="H7" i="16" s="1"/>
  <c r="F8" i="16"/>
  <c r="H8" i="16" s="1"/>
  <c r="F9" i="16"/>
  <c r="H9" i="16" s="1"/>
  <c r="F10" i="16"/>
  <c r="H10" i="16" s="1"/>
  <c r="F11" i="16"/>
  <c r="H11" i="16" s="1"/>
  <c r="F12" i="16"/>
  <c r="H12" i="16" s="1"/>
  <c r="F13" i="16"/>
  <c r="H13" i="16" s="1"/>
  <c r="F14" i="16"/>
  <c r="H14" i="16" s="1"/>
  <c r="F15" i="16"/>
  <c r="H15" i="16" s="1"/>
  <c r="F16" i="16"/>
  <c r="H16" i="16" s="1"/>
  <c r="F17" i="16"/>
  <c r="H17" i="16" s="1"/>
  <c r="F18" i="16"/>
  <c r="H18" i="16" s="1"/>
  <c r="F19" i="16"/>
  <c r="H19" i="16" s="1"/>
  <c r="F20" i="16"/>
  <c r="H20" i="16" s="1"/>
  <c r="F21" i="16"/>
  <c r="H21" i="16" s="1"/>
  <c r="F22" i="16"/>
  <c r="H22" i="16" s="1"/>
  <c r="F23" i="16"/>
  <c r="H23" i="16" s="1"/>
  <c r="F24" i="16"/>
  <c r="H24" i="16" s="1"/>
  <c r="F25" i="16"/>
  <c r="H25" i="16" s="1"/>
  <c r="F26" i="16"/>
  <c r="H26" i="16" s="1"/>
  <c r="F27" i="16"/>
  <c r="H27" i="16" s="1"/>
  <c r="F28" i="16"/>
  <c r="H28" i="16" s="1"/>
  <c r="F29" i="16"/>
  <c r="H29" i="16" s="1"/>
  <c r="F30" i="16"/>
  <c r="H30" i="16" s="1"/>
  <c r="F31" i="16"/>
  <c r="H31" i="16" s="1"/>
  <c r="F32" i="16"/>
  <c r="H32" i="16" s="1"/>
  <c r="F33" i="16"/>
  <c r="H33" i="16" s="1"/>
  <c r="F34" i="16"/>
  <c r="H34" i="16" s="1"/>
  <c r="F35" i="16"/>
  <c r="H35" i="16" s="1"/>
  <c r="F36" i="16"/>
  <c r="H36" i="16" s="1"/>
  <c r="F37" i="16"/>
  <c r="H37" i="16" s="1"/>
  <c r="F38" i="16"/>
  <c r="H38" i="16" s="1"/>
  <c r="F39" i="16"/>
  <c r="H39" i="16" s="1"/>
  <c r="F40" i="16"/>
  <c r="H40" i="16" s="1"/>
  <c r="F41" i="16"/>
  <c r="H41" i="16" s="1"/>
  <c r="F42" i="16"/>
  <c r="H42" i="16" s="1"/>
  <c r="F43" i="16"/>
  <c r="H43" i="16" s="1"/>
  <c r="F44" i="16"/>
  <c r="H44" i="16" s="1"/>
  <c r="F45" i="16"/>
  <c r="H45" i="16" s="1"/>
  <c r="F46" i="16"/>
  <c r="H46" i="16" s="1"/>
  <c r="F47" i="16"/>
  <c r="H47" i="16" s="1"/>
  <c r="F48" i="16"/>
  <c r="H48" i="16" s="1"/>
  <c r="F49" i="16"/>
  <c r="H49" i="16" s="1"/>
  <c r="F50" i="16"/>
  <c r="H50" i="16" s="1"/>
  <c r="F51" i="16"/>
  <c r="H51" i="16" s="1"/>
  <c r="F52" i="16"/>
  <c r="H52" i="16" s="1"/>
  <c r="F53" i="16"/>
  <c r="H53" i="16" s="1"/>
  <c r="F54" i="16"/>
  <c r="H54" i="16" s="1"/>
  <c r="F55" i="16"/>
  <c r="H55" i="16" s="1"/>
  <c r="F56" i="16"/>
  <c r="H56" i="16" s="1"/>
  <c r="F57" i="16"/>
  <c r="H57" i="16" s="1"/>
  <c r="F58" i="16"/>
  <c r="H58" i="16" s="1"/>
  <c r="F59" i="16"/>
  <c r="H59" i="16" s="1"/>
  <c r="F60" i="16"/>
  <c r="H60" i="16" s="1"/>
  <c r="F61" i="16"/>
  <c r="H61" i="16" s="1"/>
  <c r="F62" i="16"/>
  <c r="H62" i="16" s="1"/>
  <c r="F63" i="16"/>
  <c r="H63" i="16" s="1"/>
  <c r="F64" i="16"/>
  <c r="H64" i="16" s="1"/>
  <c r="F65" i="16"/>
  <c r="H65" i="16" s="1"/>
  <c r="F66" i="16"/>
  <c r="H66" i="16" s="1"/>
  <c r="F67" i="16"/>
  <c r="H67" i="16" s="1"/>
  <c r="F68" i="16"/>
  <c r="H68" i="16" s="1"/>
  <c r="F69" i="16"/>
  <c r="H69" i="16" s="1"/>
  <c r="F70" i="16"/>
  <c r="H70" i="16" s="1"/>
  <c r="F71" i="16"/>
  <c r="H71" i="16" s="1"/>
  <c r="F72" i="16"/>
  <c r="H72" i="16" s="1"/>
  <c r="F73" i="16"/>
  <c r="H73" i="16" s="1"/>
  <c r="F74" i="16"/>
  <c r="H74" i="16" s="1"/>
  <c r="F75" i="16"/>
  <c r="H75" i="16" s="1"/>
  <c r="F76" i="16"/>
  <c r="H76" i="16" s="1"/>
  <c r="F77" i="16"/>
  <c r="H77" i="16" s="1"/>
  <c r="F78" i="16"/>
  <c r="H78" i="16" s="1"/>
  <c r="F79" i="16"/>
  <c r="H79" i="16" s="1"/>
  <c r="F80" i="16"/>
  <c r="H80" i="16" s="1"/>
  <c r="F81" i="16"/>
  <c r="H81" i="16" s="1"/>
  <c r="F82" i="16"/>
  <c r="H82" i="16" s="1"/>
  <c r="F83" i="16"/>
  <c r="H83" i="16" s="1"/>
  <c r="F84" i="16"/>
  <c r="H84" i="16" s="1"/>
  <c r="F85" i="16"/>
  <c r="H85" i="16" s="1"/>
  <c r="F86" i="16"/>
  <c r="H86" i="16" s="1"/>
  <c r="F87" i="16"/>
  <c r="H87" i="16" s="1"/>
  <c r="F88" i="16"/>
  <c r="H88" i="16" s="1"/>
  <c r="F89" i="16"/>
  <c r="H89" i="16" s="1"/>
  <c r="F91" i="16"/>
  <c r="H91" i="16" s="1"/>
  <c r="F92" i="16"/>
  <c r="H92" i="16" s="1"/>
  <c r="F93" i="16"/>
  <c r="H93" i="16" s="1"/>
  <c r="F94" i="16"/>
  <c r="H94" i="16" s="1"/>
  <c r="F95" i="16"/>
  <c r="H95" i="16" s="1"/>
  <c r="F96" i="16"/>
  <c r="H96" i="16" s="1"/>
  <c r="F97" i="16"/>
  <c r="H97" i="16" s="1"/>
  <c r="F98" i="16"/>
  <c r="H98" i="16" s="1"/>
  <c r="F99" i="16"/>
  <c r="H99" i="16" s="1"/>
  <c r="F100" i="16"/>
  <c r="H100" i="16" s="1"/>
  <c r="F101" i="16"/>
  <c r="H101" i="16" s="1"/>
  <c r="F102" i="16"/>
  <c r="H102" i="16" s="1"/>
  <c r="F103" i="16"/>
  <c r="H103" i="16" s="1"/>
  <c r="F104" i="16"/>
  <c r="H104" i="16" s="1"/>
  <c r="F105" i="16"/>
  <c r="H105" i="16" s="1"/>
  <c r="F106" i="16"/>
  <c r="H106" i="16" s="1"/>
  <c r="F107" i="16"/>
  <c r="H107" i="16" s="1"/>
  <c r="F108" i="16"/>
  <c r="H108" i="16" s="1"/>
  <c r="F109" i="16"/>
  <c r="H109" i="16" s="1"/>
  <c r="F110" i="16"/>
  <c r="H110" i="16" s="1"/>
  <c r="F111" i="16"/>
  <c r="H111" i="16" s="1"/>
  <c r="F112" i="16"/>
  <c r="H112" i="16" s="1"/>
  <c r="F113" i="16"/>
  <c r="H113" i="16" s="1"/>
  <c r="F114" i="16"/>
  <c r="H114" i="16" s="1"/>
  <c r="F115" i="16"/>
  <c r="H115" i="16" s="1"/>
  <c r="F116" i="16"/>
  <c r="H116" i="16" s="1"/>
  <c r="F117" i="16"/>
  <c r="H117" i="16" s="1"/>
  <c r="F118" i="16"/>
  <c r="H118" i="16" s="1"/>
  <c r="F125" i="16"/>
  <c r="H125" i="16" s="1"/>
  <c r="F126" i="16"/>
  <c r="H126" i="16" s="1"/>
  <c r="F127" i="16"/>
  <c r="H127" i="16" s="1"/>
  <c r="F128" i="16"/>
  <c r="H128" i="16" s="1"/>
  <c r="F129" i="16"/>
  <c r="H129" i="16" s="1"/>
  <c r="F130" i="16"/>
  <c r="H130" i="16" s="1"/>
  <c r="F131" i="16"/>
  <c r="H131" i="16" s="1"/>
  <c r="F132" i="16"/>
  <c r="H132" i="16" s="1"/>
  <c r="F133" i="16"/>
  <c r="H133" i="16" s="1"/>
  <c r="F134" i="16"/>
  <c r="H134" i="16" s="1"/>
  <c r="F135" i="16"/>
  <c r="H135" i="16" s="1"/>
  <c r="F136" i="16"/>
  <c r="H136" i="16" s="1"/>
  <c r="F137" i="16"/>
  <c r="H137" i="16" s="1"/>
  <c r="F138" i="16"/>
  <c r="H138" i="16" s="1"/>
  <c r="F139" i="16"/>
  <c r="H139" i="16" s="1"/>
  <c r="F140" i="16"/>
  <c r="H140" i="16" s="1"/>
  <c r="F141" i="16"/>
  <c r="H141" i="16" s="1"/>
  <c r="F142" i="16"/>
  <c r="H142" i="16" s="1"/>
  <c r="F143" i="16"/>
  <c r="H143" i="16" s="1"/>
  <c r="F144" i="16"/>
  <c r="H144" i="16" s="1"/>
  <c r="F145" i="16"/>
  <c r="H145" i="16" s="1"/>
  <c r="F146" i="16"/>
  <c r="H146" i="16" s="1"/>
  <c r="F147" i="16"/>
  <c r="H147" i="16" s="1"/>
  <c r="F148" i="16"/>
  <c r="H148" i="16" s="1"/>
  <c r="F149" i="16"/>
  <c r="H149" i="16" s="1"/>
  <c r="F150" i="16"/>
  <c r="H150" i="16" s="1"/>
  <c r="F151" i="16"/>
  <c r="H151" i="16" s="1"/>
  <c r="F152" i="16"/>
  <c r="H152" i="16" s="1"/>
  <c r="F153" i="16"/>
  <c r="H153" i="16" s="1"/>
  <c r="F154" i="16"/>
  <c r="H154" i="16" s="1"/>
  <c r="F155" i="16"/>
  <c r="H155" i="16" s="1"/>
  <c r="F156" i="16"/>
  <c r="H156" i="16" s="1"/>
  <c r="F157" i="16"/>
  <c r="H157" i="16" s="1"/>
  <c r="F158" i="16"/>
  <c r="H158" i="16" s="1"/>
  <c r="F159" i="16"/>
  <c r="H159" i="16" s="1"/>
  <c r="F160" i="16"/>
  <c r="H160" i="16" s="1"/>
  <c r="F161" i="16"/>
  <c r="H161" i="16" s="1"/>
  <c r="F162" i="16"/>
  <c r="H162" i="16" s="1"/>
  <c r="F163" i="16"/>
  <c r="H163" i="16" s="1"/>
  <c r="F164" i="16"/>
  <c r="H164" i="16" s="1"/>
  <c r="F165" i="16"/>
  <c r="H165" i="16" s="1"/>
  <c r="F166" i="16"/>
  <c r="H166" i="16" s="1"/>
  <c r="F167" i="16"/>
  <c r="H167" i="16" s="1"/>
  <c r="F168" i="16"/>
  <c r="H168" i="16" s="1"/>
  <c r="F169" i="16"/>
  <c r="H169" i="16" s="1"/>
  <c r="F170" i="16"/>
  <c r="H170" i="16" s="1"/>
  <c r="F171" i="16"/>
  <c r="H171" i="16" s="1"/>
  <c r="F172" i="16"/>
  <c r="H172" i="16" s="1"/>
  <c r="F173" i="16"/>
  <c r="H173" i="16" s="1"/>
  <c r="F174" i="16"/>
  <c r="H174" i="16" s="1"/>
  <c r="F175" i="16"/>
  <c r="H175" i="16" s="1"/>
  <c r="F176" i="16"/>
  <c r="H176" i="16" s="1"/>
  <c r="F177" i="16"/>
  <c r="H177" i="16" s="1"/>
  <c r="F178" i="16"/>
  <c r="H178" i="16" s="1"/>
  <c r="F179" i="16"/>
  <c r="H179" i="16" s="1"/>
  <c r="F180" i="16"/>
  <c r="H180" i="16" s="1"/>
  <c r="F181" i="16"/>
  <c r="H181" i="16" s="1"/>
  <c r="F182" i="16"/>
  <c r="H182" i="16" s="1"/>
  <c r="F183" i="16"/>
  <c r="H183" i="16" s="1"/>
  <c r="F184" i="16"/>
  <c r="H184" i="16" s="1"/>
  <c r="F185" i="16"/>
  <c r="H185" i="16" s="1"/>
  <c r="F186" i="16"/>
  <c r="H186" i="16" s="1"/>
  <c r="F187" i="16"/>
  <c r="H187" i="16" s="1"/>
  <c r="F188" i="16"/>
  <c r="H188" i="16" s="1"/>
  <c r="F189" i="16"/>
  <c r="H189" i="16" s="1"/>
  <c r="F190" i="16"/>
  <c r="H190" i="16" s="1"/>
  <c r="F191" i="16"/>
  <c r="H191" i="16" s="1"/>
  <c r="F192" i="16"/>
  <c r="H192" i="16" s="1"/>
  <c r="F193" i="16"/>
  <c r="H193" i="16" s="1"/>
  <c r="F194" i="16"/>
  <c r="H194" i="16" s="1"/>
  <c r="F195" i="16"/>
  <c r="H195" i="16" s="1"/>
  <c r="F196" i="16"/>
  <c r="H196" i="16" s="1"/>
  <c r="F197" i="16"/>
  <c r="H197" i="16" s="1"/>
  <c r="F198" i="16"/>
  <c r="H198" i="16" s="1"/>
  <c r="F199" i="16"/>
  <c r="H199" i="16" s="1"/>
  <c r="F200" i="16"/>
  <c r="H200" i="16" s="1"/>
  <c r="F201" i="16"/>
  <c r="H201" i="16" s="1"/>
  <c r="F202" i="16"/>
  <c r="H202" i="16" s="1"/>
  <c r="F203" i="16"/>
  <c r="H203" i="16" s="1"/>
  <c r="F204" i="16"/>
  <c r="H204" i="16" s="1"/>
  <c r="F205" i="16"/>
  <c r="H205" i="16" s="1"/>
  <c r="F206" i="16"/>
  <c r="H206" i="16" s="1"/>
  <c r="F207" i="16"/>
  <c r="H207" i="16" s="1"/>
  <c r="F208" i="16"/>
  <c r="H208" i="16" s="1"/>
  <c r="F209" i="16"/>
  <c r="H209" i="16" s="1"/>
  <c r="F210" i="16"/>
  <c r="H210" i="16" s="1"/>
  <c r="F211" i="16"/>
  <c r="H211" i="16" s="1"/>
  <c r="F212" i="16"/>
  <c r="H212" i="16" s="1"/>
  <c r="F213" i="16"/>
  <c r="H213" i="16" s="1"/>
  <c r="F214" i="16"/>
  <c r="H214" i="16" s="1"/>
  <c r="F215" i="16"/>
  <c r="H215" i="16" s="1"/>
  <c r="F216" i="16"/>
  <c r="H216" i="16" s="1"/>
  <c r="F217" i="16"/>
  <c r="H217" i="16" s="1"/>
  <c r="F218" i="16"/>
  <c r="H218" i="16" s="1"/>
  <c r="F219" i="16"/>
  <c r="H219" i="16" s="1"/>
  <c r="F220" i="16"/>
  <c r="H220" i="16" s="1"/>
  <c r="F221" i="16"/>
  <c r="H221" i="16" s="1"/>
  <c r="F222" i="16"/>
  <c r="H222" i="16" s="1"/>
  <c r="F223" i="16"/>
  <c r="H223" i="16" s="1"/>
  <c r="F224" i="16"/>
  <c r="H224" i="16" s="1"/>
  <c r="F225" i="16"/>
  <c r="H225" i="16" s="1"/>
  <c r="F226" i="16"/>
  <c r="H226" i="16" s="1"/>
  <c r="F227" i="16"/>
  <c r="H227" i="16" s="1"/>
  <c r="F228" i="16"/>
  <c r="H228" i="16" s="1"/>
  <c r="F229" i="16"/>
  <c r="H229" i="16" s="1"/>
  <c r="F230" i="16"/>
  <c r="H230" i="16" s="1"/>
  <c r="F231" i="16"/>
  <c r="H231" i="16" s="1"/>
  <c r="F232" i="16"/>
  <c r="H232" i="16" s="1"/>
  <c r="F233" i="16"/>
  <c r="H233" i="16" s="1"/>
  <c r="F234" i="16"/>
  <c r="H234" i="16" s="1"/>
  <c r="F235" i="16"/>
  <c r="H235" i="16" s="1"/>
  <c r="F236" i="16"/>
  <c r="H236" i="16" s="1"/>
  <c r="F237" i="16"/>
  <c r="H237" i="16" s="1"/>
  <c r="F238" i="16"/>
  <c r="H238" i="16" s="1"/>
  <c r="F239" i="16"/>
  <c r="H239" i="16" s="1"/>
  <c r="F240" i="16"/>
  <c r="H240" i="16" s="1"/>
  <c r="F241" i="16"/>
  <c r="H241" i="16" s="1"/>
  <c r="F242" i="16"/>
  <c r="H242" i="16" s="1"/>
  <c r="F243" i="16"/>
  <c r="H243" i="16" s="1"/>
  <c r="F244" i="16"/>
  <c r="H244" i="16" s="1"/>
  <c r="F245" i="16"/>
  <c r="H245" i="16" s="1"/>
  <c r="F246" i="16"/>
  <c r="H246" i="16" s="1"/>
  <c r="F247" i="16"/>
  <c r="H247" i="16" s="1"/>
  <c r="F248" i="16"/>
  <c r="H248" i="16" s="1"/>
  <c r="F249" i="16"/>
  <c r="H249" i="16" s="1"/>
  <c r="F250" i="16"/>
  <c r="H250" i="16" s="1"/>
  <c r="F251" i="16"/>
  <c r="H251" i="16" s="1"/>
  <c r="F252" i="16"/>
  <c r="H252" i="16" s="1"/>
  <c r="F253" i="16"/>
  <c r="H253" i="16" s="1"/>
  <c r="F254" i="16"/>
  <c r="H254" i="16" s="1"/>
  <c r="F255" i="16"/>
  <c r="H255" i="16" s="1"/>
  <c r="F256" i="16"/>
  <c r="H256" i="16" s="1"/>
  <c r="F257" i="16"/>
  <c r="H257" i="16" s="1"/>
  <c r="F258" i="16"/>
  <c r="H258" i="16" s="1"/>
  <c r="F259" i="16"/>
  <c r="H259" i="16" s="1"/>
  <c r="F260" i="16"/>
  <c r="H260" i="16" s="1"/>
  <c r="F261" i="16"/>
  <c r="H261" i="16" s="1"/>
  <c r="F262" i="16"/>
  <c r="H262" i="16" s="1"/>
  <c r="F263" i="16"/>
  <c r="H263" i="16" s="1"/>
  <c r="F264" i="16"/>
  <c r="H264" i="16" s="1"/>
  <c r="F265" i="16"/>
  <c r="H265" i="16" s="1"/>
  <c r="F266" i="16"/>
  <c r="H266" i="16" s="1"/>
  <c r="F267" i="16"/>
  <c r="H267" i="16" s="1"/>
  <c r="F268" i="16"/>
  <c r="H268" i="16" s="1"/>
  <c r="F269" i="16"/>
  <c r="H269" i="16" s="1"/>
  <c r="F270" i="16"/>
  <c r="H270" i="16" s="1"/>
  <c r="F271" i="16"/>
  <c r="H271" i="16" s="1"/>
  <c r="F272" i="16"/>
  <c r="H272" i="16" s="1"/>
  <c r="F273" i="16"/>
  <c r="H273" i="16" s="1"/>
  <c r="F274" i="16"/>
  <c r="H274" i="16" s="1"/>
  <c r="F275" i="16"/>
  <c r="H275" i="16" s="1"/>
  <c r="F276" i="16"/>
  <c r="H276" i="16" s="1"/>
  <c r="F278" i="16"/>
  <c r="H278" i="16" s="1"/>
  <c r="F279" i="16"/>
  <c r="H279" i="16" s="1"/>
  <c r="F280" i="16"/>
  <c r="H280" i="16" s="1"/>
  <c r="F281" i="16"/>
  <c r="H281" i="16" s="1"/>
  <c r="F282" i="16"/>
  <c r="H282" i="16" s="1"/>
  <c r="F283" i="16"/>
  <c r="H283" i="16" s="1"/>
  <c r="F284" i="16"/>
  <c r="H284" i="16" s="1"/>
  <c r="F285" i="16"/>
  <c r="H285" i="16" s="1"/>
  <c r="F286" i="16"/>
  <c r="H286" i="16" s="1"/>
  <c r="F287" i="16"/>
  <c r="H287" i="16" s="1"/>
  <c r="F288" i="16"/>
  <c r="H288" i="16" s="1"/>
  <c r="F289" i="16"/>
  <c r="H289" i="16" s="1"/>
  <c r="F290" i="16"/>
  <c r="H290" i="16" s="1"/>
  <c r="F291" i="16"/>
  <c r="H291" i="16" s="1"/>
  <c r="F295" i="16"/>
  <c r="H295" i="16" s="1"/>
  <c r="F296" i="16"/>
  <c r="H296" i="16" s="1"/>
  <c r="F297" i="16"/>
  <c r="H297" i="16" s="1"/>
  <c r="F298" i="16"/>
  <c r="H298" i="16" s="1"/>
  <c r="F299" i="16"/>
  <c r="H299" i="16" s="1"/>
  <c r="F300" i="16"/>
  <c r="H300" i="16" s="1"/>
  <c r="F301" i="16"/>
  <c r="H301" i="16" s="1"/>
  <c r="F302" i="16"/>
  <c r="H302" i="16" s="1"/>
  <c r="F303" i="16"/>
  <c r="H303" i="16" s="1"/>
  <c r="F304" i="16"/>
  <c r="H304" i="16" s="1"/>
  <c r="F305" i="16"/>
  <c r="H305" i="16" s="1"/>
  <c r="F306" i="16"/>
  <c r="H306" i="16" s="1"/>
  <c r="F307" i="16"/>
  <c r="H307" i="16" s="1"/>
  <c r="F308" i="16"/>
  <c r="H308" i="16" s="1"/>
  <c r="F309" i="16"/>
  <c r="H309" i="16" s="1"/>
  <c r="F310" i="16"/>
  <c r="H310" i="16" s="1"/>
  <c r="F311" i="16"/>
  <c r="H311" i="16" s="1"/>
  <c r="F312" i="16"/>
  <c r="H312" i="16" s="1"/>
  <c r="F313" i="16"/>
  <c r="H313" i="16" s="1"/>
  <c r="F314" i="16"/>
  <c r="H314" i="16" s="1"/>
  <c r="F315" i="16"/>
  <c r="H315" i="16" s="1"/>
  <c r="F316" i="16"/>
  <c r="H316" i="16" s="1"/>
  <c r="F317" i="16"/>
  <c r="H317" i="16" s="1"/>
  <c r="F318" i="16"/>
  <c r="H318" i="16" s="1"/>
  <c r="F319" i="16"/>
  <c r="H319" i="16" s="1"/>
  <c r="F320" i="16"/>
  <c r="H320" i="16" s="1"/>
  <c r="F321" i="16"/>
  <c r="H321" i="16" s="1"/>
  <c r="F322" i="16"/>
  <c r="H322" i="16" s="1"/>
  <c r="F323" i="16"/>
  <c r="H323" i="16" s="1"/>
  <c r="F324" i="16"/>
  <c r="H324" i="16" s="1"/>
  <c r="F325" i="16"/>
  <c r="H325" i="16" s="1"/>
  <c r="F326" i="16"/>
  <c r="H326" i="16" s="1"/>
  <c r="F327" i="16"/>
  <c r="H327" i="16" s="1"/>
  <c r="F328" i="16"/>
  <c r="H328" i="16" s="1"/>
  <c r="F329" i="16"/>
  <c r="H329" i="16" s="1"/>
  <c r="F330" i="16"/>
  <c r="H330" i="16" s="1"/>
  <c r="F331" i="16"/>
  <c r="H331" i="16" s="1"/>
  <c r="F332" i="16"/>
  <c r="H332" i="16" s="1"/>
  <c r="F333" i="16"/>
  <c r="H333" i="16" s="1"/>
  <c r="F334" i="16"/>
  <c r="H334" i="16" s="1"/>
  <c r="F335" i="16"/>
  <c r="H335" i="16" s="1"/>
  <c r="F336" i="16"/>
  <c r="H336" i="16" s="1"/>
  <c r="F337" i="16"/>
  <c r="H337" i="16" s="1"/>
  <c r="F338" i="16"/>
  <c r="H338" i="16" s="1"/>
  <c r="F339" i="16"/>
  <c r="H339" i="16" s="1"/>
  <c r="F340" i="16"/>
  <c r="H340" i="16" s="1"/>
  <c r="F341" i="16"/>
  <c r="H341" i="16" s="1"/>
  <c r="F342" i="16"/>
  <c r="H342" i="16" s="1"/>
  <c r="F343" i="16"/>
  <c r="H343" i="16" s="1"/>
  <c r="F344" i="16"/>
  <c r="H344" i="16" s="1"/>
  <c r="F345" i="16"/>
  <c r="H345" i="16" s="1"/>
  <c r="F346" i="16"/>
  <c r="H346" i="16" s="1"/>
  <c r="F347" i="16"/>
  <c r="H347" i="16" s="1"/>
  <c r="F348" i="16"/>
  <c r="H348" i="16" s="1"/>
  <c r="F349" i="16"/>
  <c r="H349" i="16" s="1"/>
  <c r="F350" i="16"/>
  <c r="H350" i="16" s="1"/>
  <c r="F351" i="16"/>
  <c r="H351" i="16" s="1"/>
  <c r="F352" i="16"/>
  <c r="H352" i="16" s="1"/>
  <c r="F353" i="16"/>
  <c r="H353" i="16" s="1"/>
  <c r="F354" i="16"/>
  <c r="H354" i="16" s="1"/>
  <c r="F355" i="16"/>
  <c r="H355" i="16" s="1"/>
  <c r="F356" i="16"/>
  <c r="H356" i="16" s="1"/>
  <c r="F357" i="16"/>
  <c r="H357" i="16" s="1"/>
  <c r="F358" i="16"/>
  <c r="H358" i="16" s="1"/>
  <c r="F359" i="16"/>
  <c r="H359" i="16" s="1"/>
  <c r="F360" i="16"/>
  <c r="H360" i="16" s="1"/>
  <c r="F361" i="16"/>
  <c r="H361" i="16" s="1"/>
  <c r="F362" i="16"/>
  <c r="H362" i="16" s="1"/>
  <c r="F363" i="16"/>
  <c r="H363" i="16" s="1"/>
  <c r="F364" i="16"/>
  <c r="H364" i="16" s="1"/>
  <c r="F376" i="16"/>
  <c r="H376" i="16" s="1"/>
  <c r="F377" i="16"/>
  <c r="H377" i="16" s="1"/>
  <c r="F378" i="16"/>
  <c r="H378" i="16" s="1"/>
  <c r="F379" i="16"/>
  <c r="H379" i="16" s="1"/>
  <c r="F380" i="16"/>
  <c r="H380" i="16" s="1"/>
  <c r="F381" i="16"/>
  <c r="H381" i="16" s="1"/>
  <c r="F382" i="16"/>
  <c r="H382" i="16" s="1"/>
  <c r="F383" i="16"/>
  <c r="H383" i="16" s="1"/>
  <c r="F384" i="16"/>
  <c r="H384" i="16" s="1"/>
  <c r="F385" i="16"/>
  <c r="H385" i="16" s="1"/>
  <c r="F386" i="16"/>
  <c r="H386" i="16" s="1"/>
  <c r="F387" i="16"/>
  <c r="H387" i="16" s="1"/>
  <c r="F388" i="16"/>
  <c r="H388" i="16" s="1"/>
  <c r="F389" i="16"/>
  <c r="H389" i="16" s="1"/>
  <c r="F390" i="16"/>
  <c r="H390" i="16" s="1"/>
  <c r="F391" i="16"/>
  <c r="H391" i="16" s="1"/>
  <c r="F392" i="16"/>
  <c r="H392" i="16" s="1"/>
  <c r="F393" i="16"/>
  <c r="H393" i="16" s="1"/>
  <c r="F394" i="16"/>
  <c r="H394" i="16" s="1"/>
  <c r="F395" i="16"/>
  <c r="H395" i="16" s="1"/>
  <c r="F396" i="16"/>
  <c r="H396" i="16" s="1"/>
  <c r="F397" i="16"/>
  <c r="H397" i="16" s="1"/>
  <c r="F398" i="16"/>
  <c r="H398" i="16" s="1"/>
  <c r="F399" i="16"/>
  <c r="H399" i="16" s="1"/>
  <c r="F400" i="16"/>
  <c r="H400" i="16" s="1"/>
  <c r="F401" i="16"/>
  <c r="H401" i="16" s="1"/>
  <c r="F402" i="16"/>
  <c r="H402" i="16" s="1"/>
  <c r="F403" i="16"/>
  <c r="H403" i="16" s="1"/>
  <c r="F404" i="16"/>
  <c r="H404" i="16" s="1"/>
  <c r="F405" i="16"/>
  <c r="H405" i="16" s="1"/>
  <c r="F406" i="16"/>
  <c r="H406" i="16" s="1"/>
  <c r="F407" i="16"/>
  <c r="H407" i="16" s="1"/>
  <c r="F408" i="16"/>
  <c r="H408" i="16" s="1"/>
  <c r="F409" i="16"/>
  <c r="H409" i="16" s="1"/>
  <c r="F410" i="16"/>
  <c r="H410" i="16" s="1"/>
  <c r="F411" i="16"/>
  <c r="H411" i="16" s="1"/>
  <c r="F412" i="16"/>
  <c r="H412" i="16" s="1"/>
  <c r="F413" i="16"/>
  <c r="H413" i="16" s="1"/>
  <c r="F414" i="16"/>
  <c r="H414" i="16" s="1"/>
  <c r="F415" i="16"/>
  <c r="H415" i="16" s="1"/>
  <c r="F416" i="16"/>
  <c r="H416" i="16" s="1"/>
  <c r="F417" i="16"/>
  <c r="H417" i="16" s="1"/>
  <c r="F418" i="16"/>
  <c r="H418" i="16" s="1"/>
  <c r="F419" i="16"/>
  <c r="H419" i="16" s="1"/>
  <c r="F420" i="16"/>
  <c r="H420" i="16" s="1"/>
  <c r="F421" i="16"/>
  <c r="H421" i="16" s="1"/>
  <c r="F425" i="16"/>
  <c r="H425" i="16" s="1"/>
  <c r="F426" i="16"/>
  <c r="H426" i="16" s="1"/>
  <c r="F427" i="16"/>
  <c r="H427" i="16" s="1"/>
  <c r="F428" i="16"/>
  <c r="H428" i="16" s="1"/>
  <c r="F429" i="16"/>
  <c r="H429" i="16" s="1"/>
  <c r="F430" i="16"/>
  <c r="H430" i="16" s="1"/>
  <c r="F431" i="16"/>
  <c r="H431" i="16" s="1"/>
  <c r="F432" i="16"/>
  <c r="H432" i="16" s="1"/>
  <c r="F433" i="16"/>
  <c r="H433" i="16" s="1"/>
  <c r="F434" i="16"/>
  <c r="H434" i="16" s="1"/>
  <c r="F435" i="16"/>
  <c r="H435" i="16" s="1"/>
  <c r="F436" i="16"/>
  <c r="H436" i="16" s="1"/>
  <c r="F437" i="16"/>
  <c r="H437" i="16" s="1"/>
  <c r="F438" i="16"/>
  <c r="H438" i="16" s="1"/>
  <c r="F439" i="16"/>
  <c r="H439" i="16" s="1"/>
  <c r="F440" i="16"/>
  <c r="H440" i="16" s="1"/>
  <c r="F441" i="16"/>
  <c r="H441" i="16" s="1"/>
  <c r="F442" i="16"/>
  <c r="H442" i="16" s="1"/>
  <c r="F443" i="16"/>
  <c r="H443" i="16" s="1"/>
  <c r="F444" i="16"/>
  <c r="H444" i="16" s="1"/>
  <c r="F445" i="16"/>
  <c r="H445" i="16" s="1"/>
  <c r="F446" i="16"/>
  <c r="H446" i="16" s="1"/>
  <c r="F447" i="16"/>
  <c r="H447" i="16" s="1"/>
  <c r="F448" i="16"/>
  <c r="H448" i="16" s="1"/>
  <c r="F449" i="16"/>
  <c r="H449" i="16" s="1"/>
  <c r="F450" i="16"/>
  <c r="H450" i="16" s="1"/>
  <c r="F451" i="16"/>
  <c r="H451" i="16" s="1"/>
  <c r="F452" i="16"/>
  <c r="H452" i="16" s="1"/>
  <c r="F453" i="16"/>
  <c r="H453" i="16" s="1"/>
  <c r="F454" i="16"/>
  <c r="H454" i="16" s="1"/>
  <c r="F455" i="16"/>
  <c r="H455" i="16" s="1"/>
  <c r="F456" i="16"/>
  <c r="H456" i="16" s="1"/>
  <c r="F457" i="16"/>
  <c r="H457" i="16" s="1"/>
  <c r="F458" i="16"/>
  <c r="H458" i="16" s="1"/>
  <c r="F459" i="16"/>
  <c r="H459" i="16" s="1"/>
  <c r="F460" i="16"/>
  <c r="H460" i="16" s="1"/>
  <c r="F461" i="16"/>
  <c r="H461" i="16" s="1"/>
  <c r="F462" i="16"/>
  <c r="H462" i="16" s="1"/>
  <c r="F463" i="16"/>
  <c r="H463" i="16" s="1"/>
  <c r="F464" i="16"/>
  <c r="H464" i="16" s="1"/>
  <c r="F465" i="16"/>
  <c r="H465" i="16" s="1"/>
  <c r="F466" i="16"/>
  <c r="H466" i="16" s="1"/>
  <c r="F467" i="16"/>
  <c r="H467" i="16" s="1"/>
  <c r="F468" i="16"/>
  <c r="H468" i="16" s="1"/>
  <c r="F469" i="16"/>
  <c r="H469" i="16" s="1"/>
  <c r="F470" i="16"/>
  <c r="H470" i="16" s="1"/>
  <c r="F471" i="16"/>
  <c r="H471" i="16" s="1"/>
  <c r="F472" i="16"/>
  <c r="H472" i="16" s="1"/>
  <c r="F473" i="16"/>
  <c r="H473" i="16" s="1"/>
  <c r="F474" i="16"/>
  <c r="H474" i="16" s="1"/>
  <c r="F475" i="16"/>
  <c r="H475" i="16" s="1"/>
  <c r="F476" i="16"/>
  <c r="H476" i="16" s="1"/>
  <c r="F477" i="16"/>
  <c r="H477" i="16" s="1"/>
  <c r="F478" i="16"/>
  <c r="H478" i="16" s="1"/>
  <c r="F479" i="16"/>
  <c r="H479" i="16" s="1"/>
  <c r="F480" i="16"/>
  <c r="H480" i="16" s="1"/>
  <c r="F2" i="16"/>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9" i="2"/>
  <c r="L3" i="2"/>
  <c r="L4" i="2"/>
  <c r="L5" i="2"/>
  <c r="L6" i="2"/>
  <c r="L7" i="2"/>
  <c r="L8" i="2"/>
  <c r="L2" i="2"/>
  <c r="N6" i="2"/>
  <c r="N13" i="2"/>
  <c r="N14" i="2"/>
  <c r="N15" i="2"/>
  <c r="N22" i="2"/>
  <c r="N23" i="2"/>
  <c r="N24" i="2"/>
  <c r="N25" i="2"/>
  <c r="N26" i="2"/>
  <c r="N29" i="2"/>
  <c r="N30" i="2"/>
  <c r="N31" i="2"/>
  <c r="N46" i="2"/>
  <c r="N47" i="2"/>
  <c r="N63" i="2"/>
  <c r="N66" i="2"/>
  <c r="N70" i="2"/>
  <c r="N71" i="2"/>
  <c r="N72" i="2"/>
  <c r="N73" i="2"/>
  <c r="N77" i="2"/>
  <c r="N93" i="2"/>
  <c r="N94" i="2"/>
  <c r="N109" i="2"/>
  <c r="N118" i="2"/>
  <c r="N119" i="2"/>
  <c r="N124" i="2"/>
  <c r="N125" i="2"/>
  <c r="N126" i="2"/>
  <c r="N127" i="2"/>
  <c r="N141" i="2"/>
  <c r="N142" i="2"/>
  <c r="N143" i="2"/>
  <c r="N152" i="2"/>
  <c r="N153" i="2"/>
  <c r="N157" i="2"/>
  <c r="N158" i="2"/>
  <c r="N159" i="2"/>
  <c r="N168" i="2"/>
  <c r="N171" i="2"/>
  <c r="N172" i="2"/>
  <c r="N173" i="2"/>
  <c r="N174" i="2"/>
  <c r="N175" i="2"/>
  <c r="N178" i="2"/>
  <c r="N179" i="2"/>
  <c r="N189" i="2"/>
  <c r="N190" i="2"/>
  <c r="N191" i="2"/>
  <c r="N199" i="2"/>
  <c r="N200" i="2"/>
  <c r="N201" i="2"/>
  <c r="N205" i="2"/>
  <c r="N206" i="2"/>
  <c r="N207" i="2"/>
  <c r="N214" i="2"/>
  <c r="N221" i="2"/>
  <c r="N237" i="2"/>
  <c r="N246" i="2"/>
  <c r="N247" i="2"/>
  <c r="N248" i="2"/>
  <c r="N253" i="2"/>
  <c r="N254" i="2"/>
  <c r="N255" i="2"/>
  <c r="N269" i="2"/>
  <c r="N270" i="2"/>
  <c r="N271" i="2"/>
  <c r="N279" i="2"/>
  <c r="N280" i="2"/>
  <c r="N281" i="2"/>
  <c r="N282" i="2"/>
  <c r="N285" i="2"/>
  <c r="N286" i="2"/>
  <c r="N291" i="2"/>
  <c r="N296" i="2"/>
  <c r="N301" i="2"/>
  <c r="N302" i="2"/>
  <c r="N303" i="2"/>
  <c r="N318" i="2"/>
  <c r="N319" i="2"/>
  <c r="N326" i="2"/>
  <c r="N333" i="2"/>
  <c r="N335" i="2"/>
  <c r="N336" i="2"/>
  <c r="N338" i="2"/>
  <c r="N339" i="2"/>
  <c r="N340" i="2"/>
  <c r="N349" i="2"/>
  <c r="N350" i="2"/>
  <c r="N381" i="2"/>
  <c r="N382" i="2"/>
  <c r="N388" i="2"/>
  <c r="N392" i="2"/>
  <c r="N397" i="2"/>
  <c r="N398" i="2"/>
  <c r="N399" i="2"/>
  <c r="N413" i="2"/>
  <c r="N414" i="2"/>
  <c r="N415" i="2"/>
  <c r="N429" i="2"/>
  <c r="N430" i="2"/>
  <c r="N431" i="2"/>
  <c r="N432" i="2"/>
  <c r="N438" i="2"/>
  <c r="N445" i="2"/>
  <c r="N446" i="2"/>
  <c r="N447" i="2"/>
  <c r="N461" i="2"/>
  <c r="N462" i="2"/>
  <c r="N463" i="2"/>
  <c r="N470" i="2"/>
  <c r="N472" i="2"/>
  <c r="N473" i="2"/>
  <c r="N474" i="2"/>
  <c r="N477" i="2"/>
  <c r="N478" i="2"/>
  <c r="N479" i="2"/>
  <c r="N491" i="2"/>
  <c r="M3" i="2"/>
  <c r="O3" i="2" s="1"/>
  <c r="M4" i="2"/>
  <c r="O4" i="2" s="1"/>
  <c r="M5" i="2"/>
  <c r="O5" i="2" s="1"/>
  <c r="M6" i="2"/>
  <c r="O6" i="2" s="1"/>
  <c r="M7" i="2"/>
  <c r="M8" i="2"/>
  <c r="M9" i="2"/>
  <c r="M10" i="2"/>
  <c r="M11" i="2"/>
  <c r="N11" i="2" s="1"/>
  <c r="M12" i="2"/>
  <c r="M13" i="2"/>
  <c r="M14" i="2"/>
  <c r="M15" i="2"/>
  <c r="M16" i="2"/>
  <c r="N16" i="2" s="1"/>
  <c r="M17" i="2"/>
  <c r="N17" i="2" s="1"/>
  <c r="M18" i="2"/>
  <c r="N18" i="2" s="1"/>
  <c r="M19" i="2"/>
  <c r="N19" i="2" s="1"/>
  <c r="M20" i="2"/>
  <c r="N20" i="2" s="1"/>
  <c r="M21" i="2"/>
  <c r="M22" i="2"/>
  <c r="M23" i="2"/>
  <c r="M24" i="2"/>
  <c r="M25" i="2"/>
  <c r="M26" i="2"/>
  <c r="M27" i="2"/>
  <c r="M28" i="2"/>
  <c r="M29" i="2"/>
  <c r="M30" i="2"/>
  <c r="M31" i="2"/>
  <c r="M32" i="2"/>
  <c r="M33" i="2"/>
  <c r="M34" i="2"/>
  <c r="M35" i="2"/>
  <c r="N35" i="2" s="1"/>
  <c r="M36" i="2"/>
  <c r="N36" i="2" s="1"/>
  <c r="M37" i="2"/>
  <c r="M38" i="2"/>
  <c r="M39" i="2"/>
  <c r="N39" i="2" s="1"/>
  <c r="M40" i="2"/>
  <c r="N40" i="2" s="1"/>
  <c r="M41" i="2"/>
  <c r="M42" i="2"/>
  <c r="M43" i="2"/>
  <c r="N43" i="2" s="1"/>
  <c r="M44" i="2"/>
  <c r="N44" i="2" s="1"/>
  <c r="M45" i="2"/>
  <c r="N45" i="2" s="1"/>
  <c r="M46" i="2"/>
  <c r="M47" i="2"/>
  <c r="M48" i="2"/>
  <c r="M49" i="2"/>
  <c r="M50" i="2"/>
  <c r="N50" i="2" s="1"/>
  <c r="M51" i="2"/>
  <c r="N51" i="2" s="1"/>
  <c r="M52" i="2"/>
  <c r="N52" i="2" s="1"/>
  <c r="M53" i="2"/>
  <c r="M54" i="2"/>
  <c r="M55" i="2"/>
  <c r="N55" i="2" s="1"/>
  <c r="M56" i="2"/>
  <c r="N56" i="2" s="1"/>
  <c r="M57" i="2"/>
  <c r="M58" i="2"/>
  <c r="N58" i="2" s="1"/>
  <c r="M59" i="2"/>
  <c r="M60" i="2"/>
  <c r="M61" i="2"/>
  <c r="N61" i="2" s="1"/>
  <c r="M62" i="2"/>
  <c r="N62" i="2" s="1"/>
  <c r="M63" i="2"/>
  <c r="M64" i="2"/>
  <c r="M65" i="2"/>
  <c r="M66" i="2"/>
  <c r="M67" i="2"/>
  <c r="M68" i="2"/>
  <c r="M69" i="2"/>
  <c r="M70" i="2"/>
  <c r="M71" i="2"/>
  <c r="M72" i="2"/>
  <c r="M73" i="2"/>
  <c r="M74" i="2"/>
  <c r="N74" i="2" s="1"/>
  <c r="M75" i="2"/>
  <c r="N75" i="2" s="1"/>
  <c r="M76" i="2"/>
  <c r="N76" i="2" s="1"/>
  <c r="M77" i="2"/>
  <c r="M78" i="2"/>
  <c r="M79" i="2"/>
  <c r="N79" i="2" s="1"/>
  <c r="M80" i="2"/>
  <c r="N80" i="2" s="1"/>
  <c r="M81" i="2"/>
  <c r="N81" i="2" s="1"/>
  <c r="M82" i="2"/>
  <c r="N82" i="2" s="1"/>
  <c r="M83" i="2"/>
  <c r="N83" i="2" s="1"/>
  <c r="M84" i="2"/>
  <c r="M85" i="2"/>
  <c r="M86" i="2"/>
  <c r="M87" i="2"/>
  <c r="M88" i="2"/>
  <c r="N88" i="2" s="1"/>
  <c r="M89" i="2"/>
  <c r="M90" i="2"/>
  <c r="M91" i="2"/>
  <c r="M92" i="2"/>
  <c r="N92" i="2" s="1"/>
  <c r="M93" i="2"/>
  <c r="M94" i="2"/>
  <c r="M95" i="2"/>
  <c r="M96" i="2"/>
  <c r="M97" i="2"/>
  <c r="N97" i="2" s="1"/>
  <c r="M98" i="2"/>
  <c r="N98" i="2" s="1"/>
  <c r="M99" i="2"/>
  <c r="N99" i="2" s="1"/>
  <c r="M100" i="2"/>
  <c r="N100" i="2" s="1"/>
  <c r="M101" i="2"/>
  <c r="M102" i="2"/>
  <c r="M103" i="2"/>
  <c r="M104" i="2"/>
  <c r="M105" i="2"/>
  <c r="M106" i="2"/>
  <c r="M107" i="2"/>
  <c r="M108" i="2"/>
  <c r="M109" i="2"/>
  <c r="M110" i="2"/>
  <c r="N110" i="2" s="1"/>
  <c r="M111" i="2"/>
  <c r="N111" i="2" s="1"/>
  <c r="M112" i="2"/>
  <c r="N112" i="2" s="1"/>
  <c r="M113" i="2"/>
  <c r="M114" i="2"/>
  <c r="M115" i="2"/>
  <c r="N115" i="2" s="1"/>
  <c r="M116" i="2"/>
  <c r="N116" i="2" s="1"/>
  <c r="M117" i="2"/>
  <c r="M118" i="2"/>
  <c r="M119" i="2"/>
  <c r="M120" i="2"/>
  <c r="N120" i="2" s="1"/>
  <c r="M121" i="2"/>
  <c r="N121" i="2" s="1"/>
  <c r="M122" i="2"/>
  <c r="N122" i="2" s="1"/>
  <c r="M123" i="2"/>
  <c r="N123" i="2" s="1"/>
  <c r="M124" i="2"/>
  <c r="M125" i="2"/>
  <c r="M126" i="2"/>
  <c r="M127" i="2"/>
  <c r="M128" i="2"/>
  <c r="M129" i="2"/>
  <c r="M130" i="2"/>
  <c r="M131" i="2"/>
  <c r="M132" i="2"/>
  <c r="M133" i="2"/>
  <c r="M134" i="2"/>
  <c r="M135" i="2"/>
  <c r="M136" i="2"/>
  <c r="M137" i="2"/>
  <c r="M138" i="2"/>
  <c r="M139" i="2"/>
  <c r="M140" i="2"/>
  <c r="M141" i="2"/>
  <c r="M142" i="2"/>
  <c r="M143" i="2"/>
  <c r="M144" i="2"/>
  <c r="M145" i="2"/>
  <c r="M146" i="2"/>
  <c r="N146" i="2" s="1"/>
  <c r="M147" i="2"/>
  <c r="N147" i="2" s="1"/>
  <c r="M148" i="2"/>
  <c r="M149" i="2"/>
  <c r="M150" i="2"/>
  <c r="M151" i="2"/>
  <c r="M152" i="2"/>
  <c r="M153" i="2"/>
  <c r="M154" i="2"/>
  <c r="M155" i="2"/>
  <c r="N155" i="2" s="1"/>
  <c r="M156" i="2"/>
  <c r="N156" i="2" s="1"/>
  <c r="M157" i="2"/>
  <c r="M158" i="2"/>
  <c r="M159" i="2"/>
  <c r="M160" i="2"/>
  <c r="M161" i="2"/>
  <c r="M162" i="2"/>
  <c r="M163" i="2"/>
  <c r="N163" i="2" s="1"/>
  <c r="M164" i="2"/>
  <c r="M165" i="2"/>
  <c r="M166" i="2"/>
  <c r="M167" i="2"/>
  <c r="N167" i="2" s="1"/>
  <c r="M168" i="2"/>
  <c r="M169" i="2"/>
  <c r="M170" i="2"/>
  <c r="M171" i="2"/>
  <c r="M172" i="2"/>
  <c r="M173" i="2"/>
  <c r="M174" i="2"/>
  <c r="M175" i="2"/>
  <c r="M176" i="2"/>
  <c r="M177" i="2"/>
  <c r="M178" i="2"/>
  <c r="M179" i="2"/>
  <c r="M180" i="2"/>
  <c r="N180" i="2" s="1"/>
  <c r="M181" i="2"/>
  <c r="M182" i="2"/>
  <c r="M183" i="2"/>
  <c r="M184" i="2"/>
  <c r="M185" i="2"/>
  <c r="N185" i="2" s="1"/>
  <c r="M186" i="2"/>
  <c r="N186" i="2" s="1"/>
  <c r="M187" i="2"/>
  <c r="M188" i="2"/>
  <c r="M189" i="2"/>
  <c r="M190" i="2"/>
  <c r="M191" i="2"/>
  <c r="M192" i="2"/>
  <c r="M193" i="2"/>
  <c r="M194" i="2"/>
  <c r="M195" i="2"/>
  <c r="M196" i="2"/>
  <c r="M197" i="2"/>
  <c r="M198" i="2"/>
  <c r="M199" i="2"/>
  <c r="M200" i="2"/>
  <c r="M201" i="2"/>
  <c r="M202" i="2"/>
  <c r="N202" i="2" s="1"/>
  <c r="M203" i="2"/>
  <c r="N203" i="2" s="1"/>
  <c r="M204" i="2"/>
  <c r="N204" i="2" s="1"/>
  <c r="M205" i="2"/>
  <c r="M206" i="2"/>
  <c r="M207" i="2"/>
  <c r="M208" i="2"/>
  <c r="N208" i="2" s="1"/>
  <c r="M209" i="2"/>
  <c r="N209" i="2" s="1"/>
  <c r="M210" i="2"/>
  <c r="M211" i="2"/>
  <c r="M212" i="2"/>
  <c r="M213" i="2"/>
  <c r="M214" i="2"/>
  <c r="M215" i="2"/>
  <c r="M216" i="2"/>
  <c r="N216" i="2" s="1"/>
  <c r="M217" i="2"/>
  <c r="M218" i="2"/>
  <c r="M219" i="2"/>
  <c r="M220" i="2"/>
  <c r="N220" i="2" s="1"/>
  <c r="M221" i="2"/>
  <c r="M222" i="2"/>
  <c r="M223" i="2"/>
  <c r="M224" i="2"/>
  <c r="M225" i="2"/>
  <c r="N225" i="2" s="1"/>
  <c r="M226" i="2"/>
  <c r="N226" i="2" s="1"/>
  <c r="M227" i="2"/>
  <c r="N227" i="2" s="1"/>
  <c r="M228" i="2"/>
  <c r="N228" i="2" s="1"/>
  <c r="M229" i="2"/>
  <c r="M230" i="2"/>
  <c r="M231" i="2"/>
  <c r="M232" i="2"/>
  <c r="M233" i="2"/>
  <c r="M234" i="2"/>
  <c r="M235" i="2"/>
  <c r="M236" i="2"/>
  <c r="M237" i="2"/>
  <c r="M238" i="2"/>
  <c r="N238" i="2" s="1"/>
  <c r="M239" i="2"/>
  <c r="N239" i="2" s="1"/>
  <c r="M240" i="2"/>
  <c r="N240" i="2" s="1"/>
  <c r="M241" i="2"/>
  <c r="M242" i="2"/>
  <c r="M243" i="2"/>
  <c r="M244" i="2"/>
  <c r="M245" i="2"/>
  <c r="M246" i="2"/>
  <c r="M247" i="2"/>
  <c r="M248" i="2"/>
  <c r="M249" i="2"/>
  <c r="N249" i="2" s="1"/>
  <c r="M250" i="2"/>
  <c r="N250" i="2" s="1"/>
  <c r="M251" i="2"/>
  <c r="N251" i="2" s="1"/>
  <c r="M252" i="2"/>
  <c r="N252" i="2" s="1"/>
  <c r="M253" i="2"/>
  <c r="M254" i="2"/>
  <c r="M255" i="2"/>
  <c r="M256" i="2"/>
  <c r="M257" i="2"/>
  <c r="N257" i="2" s="1"/>
  <c r="M258" i="2"/>
  <c r="N258" i="2" s="1"/>
  <c r="M259" i="2"/>
  <c r="M260" i="2"/>
  <c r="M261" i="2"/>
  <c r="M262" i="2"/>
  <c r="M263" i="2"/>
  <c r="N263" i="2" s="1"/>
  <c r="M264" i="2"/>
  <c r="N264" i="2" s="1"/>
  <c r="M265" i="2"/>
  <c r="N265" i="2" s="1"/>
  <c r="M266" i="2"/>
  <c r="N266" i="2" s="1"/>
  <c r="M267" i="2"/>
  <c r="M268" i="2"/>
  <c r="M269" i="2"/>
  <c r="M270" i="2"/>
  <c r="M271" i="2"/>
  <c r="M272" i="2"/>
  <c r="N272" i="2" s="1"/>
  <c r="M273" i="2"/>
  <c r="M274" i="2"/>
  <c r="M275" i="2"/>
  <c r="M276" i="2"/>
  <c r="M277" i="2"/>
  <c r="M278" i="2"/>
  <c r="M279" i="2"/>
  <c r="M280" i="2"/>
  <c r="M281" i="2"/>
  <c r="M282" i="2"/>
  <c r="M283" i="2"/>
  <c r="N283" i="2" s="1"/>
  <c r="M284" i="2"/>
  <c r="M285" i="2"/>
  <c r="M286" i="2"/>
  <c r="M287" i="2"/>
  <c r="N287" i="2" s="1"/>
  <c r="M288" i="2"/>
  <c r="N288" i="2" s="1"/>
  <c r="M289" i="2"/>
  <c r="N289" i="2" s="1"/>
  <c r="M290" i="2"/>
  <c r="M291" i="2"/>
  <c r="M292" i="2"/>
  <c r="M293" i="2"/>
  <c r="M294" i="2"/>
  <c r="M295" i="2"/>
  <c r="M296" i="2"/>
  <c r="M297" i="2"/>
  <c r="M298" i="2"/>
  <c r="M299" i="2"/>
  <c r="M300" i="2"/>
  <c r="N300" i="2" s="1"/>
  <c r="M301" i="2"/>
  <c r="M302" i="2"/>
  <c r="M303" i="2"/>
  <c r="M304" i="2"/>
  <c r="N304" i="2" s="1"/>
  <c r="M305" i="2"/>
  <c r="N305" i="2" s="1"/>
  <c r="M306" i="2"/>
  <c r="N306" i="2" s="1"/>
  <c r="M307" i="2"/>
  <c r="N307" i="2" s="1"/>
  <c r="M308" i="2"/>
  <c r="N308" i="2" s="1"/>
  <c r="M309" i="2"/>
  <c r="M310" i="2"/>
  <c r="M311" i="2"/>
  <c r="M312" i="2"/>
  <c r="M313" i="2"/>
  <c r="M314" i="2"/>
  <c r="M315" i="2"/>
  <c r="M316" i="2"/>
  <c r="M317" i="2"/>
  <c r="N317" i="2" s="1"/>
  <c r="M318" i="2"/>
  <c r="M319" i="2"/>
  <c r="M320" i="2"/>
  <c r="N320" i="2" s="1"/>
  <c r="M321" i="2"/>
  <c r="N321" i="2" s="1"/>
  <c r="M322" i="2"/>
  <c r="N322" i="2" s="1"/>
  <c r="M323" i="2"/>
  <c r="N323" i="2" s="1"/>
  <c r="M324" i="2"/>
  <c r="N324" i="2" s="1"/>
  <c r="M325" i="2"/>
  <c r="M326" i="2"/>
  <c r="M327" i="2"/>
  <c r="N327" i="2" s="1"/>
  <c r="M328" i="2"/>
  <c r="N328" i="2" s="1"/>
  <c r="M329" i="2"/>
  <c r="N329" i="2" s="1"/>
  <c r="M330" i="2"/>
  <c r="N330" i="2" s="1"/>
  <c r="M331" i="2"/>
  <c r="N331" i="2" s="1"/>
  <c r="M332" i="2"/>
  <c r="N332" i="2" s="1"/>
  <c r="M333" i="2"/>
  <c r="M334" i="2"/>
  <c r="M335" i="2"/>
  <c r="M336" i="2"/>
  <c r="M337" i="2"/>
  <c r="M338" i="2"/>
  <c r="M339" i="2"/>
  <c r="M340" i="2"/>
  <c r="M341" i="2"/>
  <c r="M342" i="2"/>
  <c r="M343" i="2"/>
  <c r="N343" i="2" s="1"/>
  <c r="M344" i="2"/>
  <c r="N344" i="2" s="1"/>
  <c r="M345" i="2"/>
  <c r="M346" i="2"/>
  <c r="M347" i="2"/>
  <c r="N347" i="2" s="1"/>
  <c r="M348" i="2"/>
  <c r="N348" i="2" s="1"/>
  <c r="M349" i="2"/>
  <c r="M350" i="2"/>
  <c r="M351" i="2"/>
  <c r="M352" i="2"/>
  <c r="M353" i="2"/>
  <c r="M354" i="2"/>
  <c r="M355" i="2"/>
  <c r="M356" i="2"/>
  <c r="M357" i="2"/>
  <c r="M358" i="2"/>
  <c r="M359" i="2"/>
  <c r="M360" i="2"/>
  <c r="M361" i="2"/>
  <c r="M362" i="2"/>
  <c r="M363" i="2"/>
  <c r="M364" i="2"/>
  <c r="N364" i="2" s="1"/>
  <c r="M365" i="2"/>
  <c r="N365" i="2" s="1"/>
  <c r="M366" i="2"/>
  <c r="N366" i="2" s="1"/>
  <c r="M367" i="2"/>
  <c r="N367" i="2" s="1"/>
  <c r="M368" i="2"/>
  <c r="N368" i="2" s="1"/>
  <c r="M369" i="2"/>
  <c r="M370" i="2"/>
  <c r="M371" i="2"/>
  <c r="M372" i="2"/>
  <c r="M373" i="2"/>
  <c r="M374" i="2"/>
  <c r="N374" i="2" s="1"/>
  <c r="M375" i="2"/>
  <c r="N375" i="2" s="1"/>
  <c r="M376" i="2"/>
  <c r="N376" i="2" s="1"/>
  <c r="M377" i="2"/>
  <c r="M378" i="2"/>
  <c r="M379" i="2"/>
  <c r="M380" i="2"/>
  <c r="M381" i="2"/>
  <c r="M382" i="2"/>
  <c r="M383" i="2"/>
  <c r="N383" i="2" s="1"/>
  <c r="M384" i="2"/>
  <c r="N384" i="2" s="1"/>
  <c r="M385" i="2"/>
  <c r="N385" i="2" s="1"/>
  <c r="M386" i="2"/>
  <c r="M387" i="2"/>
  <c r="M388" i="2"/>
  <c r="M389" i="2"/>
  <c r="M390" i="2"/>
  <c r="N390" i="2" s="1"/>
  <c r="M391" i="2"/>
  <c r="M392" i="2"/>
  <c r="M393" i="2"/>
  <c r="M394" i="2"/>
  <c r="M395" i="2"/>
  <c r="M396" i="2"/>
  <c r="M397" i="2"/>
  <c r="M398" i="2"/>
  <c r="M399" i="2"/>
  <c r="M400" i="2"/>
  <c r="M401" i="2"/>
  <c r="N401" i="2" s="1"/>
  <c r="M402" i="2"/>
  <c r="N402" i="2" s="1"/>
  <c r="M403" i="2"/>
  <c r="M404" i="2"/>
  <c r="M405" i="2"/>
  <c r="M406" i="2"/>
  <c r="N406" i="2" s="1"/>
  <c r="M407" i="2"/>
  <c r="N407" i="2" s="1"/>
  <c r="M408" i="2"/>
  <c r="N408" i="2" s="1"/>
  <c r="M409" i="2"/>
  <c r="N409" i="2" s="1"/>
  <c r="M410" i="2"/>
  <c r="N410" i="2" s="1"/>
  <c r="M411" i="2"/>
  <c r="N411" i="2" s="1"/>
  <c r="M412" i="2"/>
  <c r="N412" i="2" s="1"/>
  <c r="M413" i="2"/>
  <c r="M414" i="2"/>
  <c r="M415" i="2"/>
  <c r="M416" i="2"/>
  <c r="M417" i="2"/>
  <c r="M418" i="2"/>
  <c r="M419" i="2"/>
  <c r="N419" i="2" s="1"/>
  <c r="M420" i="2"/>
  <c r="M421" i="2"/>
  <c r="M422" i="2"/>
  <c r="M423" i="2"/>
  <c r="N423" i="2" s="1"/>
  <c r="M424" i="2"/>
  <c r="N424" i="2" s="1"/>
  <c r="M425" i="2"/>
  <c r="M426" i="2"/>
  <c r="M427" i="2"/>
  <c r="M428" i="2"/>
  <c r="M429" i="2"/>
  <c r="M430" i="2"/>
  <c r="M431" i="2"/>
  <c r="M432" i="2"/>
  <c r="M433" i="2"/>
  <c r="N433" i="2" s="1"/>
  <c r="M434" i="2"/>
  <c r="M435" i="2"/>
  <c r="M436" i="2"/>
  <c r="M437" i="2"/>
  <c r="M438" i="2"/>
  <c r="M439" i="2"/>
  <c r="M440" i="2"/>
  <c r="N440" i="2" s="1"/>
  <c r="M441" i="2"/>
  <c r="N441" i="2" s="1"/>
  <c r="M442" i="2"/>
  <c r="N442" i="2" s="1"/>
  <c r="M443" i="2"/>
  <c r="M444" i="2"/>
  <c r="M445" i="2"/>
  <c r="M446" i="2"/>
  <c r="M447" i="2"/>
  <c r="M448" i="2"/>
  <c r="M449" i="2"/>
  <c r="M450" i="2"/>
  <c r="M451" i="2"/>
  <c r="M452" i="2"/>
  <c r="M453" i="2"/>
  <c r="M454" i="2"/>
  <c r="M455" i="2"/>
  <c r="M456" i="2"/>
  <c r="N456" i="2" s="1"/>
  <c r="M457" i="2"/>
  <c r="M458" i="2"/>
  <c r="M459" i="2"/>
  <c r="N459" i="2" s="1"/>
  <c r="M460" i="2"/>
  <c r="M461" i="2"/>
  <c r="M462" i="2"/>
  <c r="M463" i="2"/>
  <c r="M464" i="2"/>
  <c r="M465" i="2"/>
  <c r="M466" i="2"/>
  <c r="M467" i="2"/>
  <c r="M468" i="2"/>
  <c r="M469" i="2"/>
  <c r="M470" i="2"/>
  <c r="M471" i="2"/>
  <c r="N471" i="2" s="1"/>
  <c r="M472" i="2"/>
  <c r="M473" i="2"/>
  <c r="M474" i="2"/>
  <c r="M475" i="2"/>
  <c r="M476" i="2"/>
  <c r="M477" i="2"/>
  <c r="M478" i="2"/>
  <c r="M479" i="2"/>
  <c r="M480" i="2"/>
  <c r="N480" i="2" s="1"/>
  <c r="M481" i="2"/>
  <c r="N481" i="2" s="1"/>
  <c r="M482" i="2"/>
  <c r="N482" i="2" s="1"/>
  <c r="M483" i="2"/>
  <c r="N483" i="2" s="1"/>
  <c r="M484" i="2"/>
  <c r="N484" i="2" s="1"/>
  <c r="M485" i="2"/>
  <c r="M486" i="2"/>
  <c r="M487" i="2"/>
  <c r="M488" i="2"/>
  <c r="N488" i="2" s="1"/>
  <c r="M489" i="2"/>
  <c r="M490" i="2"/>
  <c r="M491" i="2"/>
  <c r="M492" i="2"/>
  <c r="M493" i="2"/>
  <c r="M494" i="2"/>
  <c r="M495" i="2"/>
  <c r="M496" i="2"/>
  <c r="M497" i="2"/>
  <c r="M2" i="2"/>
  <c r="O2" i="2" s="1"/>
  <c r="C31" i="15"/>
  <c r="C32" i="15"/>
  <c r="C33" i="15"/>
  <c r="C34" i="15"/>
  <c r="C35" i="15"/>
  <c r="C36" i="15"/>
  <c r="C37" i="15"/>
  <c r="C38" i="15"/>
  <c r="C39" i="15"/>
  <c r="C40" i="15"/>
  <c r="C41" i="15"/>
  <c r="C42" i="15"/>
  <c r="C43"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2" i="15"/>
  <c r="C193"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44" i="14"/>
  <c r="C45" i="14"/>
  <c r="C41" i="14"/>
  <c r="C42" i="14"/>
  <c r="C43"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3" i="14"/>
  <c r="C4" i="14"/>
  <c r="C5" i="14"/>
  <c r="C6" i="14"/>
  <c r="C7" i="14"/>
  <c r="C8" i="14"/>
  <c r="C9" i="14"/>
  <c r="C10" i="14"/>
  <c r="C2" i="14"/>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2" i="12"/>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158" i="9"/>
  <c r="C159" i="9"/>
  <c r="C160" i="9"/>
  <c r="C161"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1" i="9"/>
  <c r="N154" i="2" l="1"/>
  <c r="N170" i="2"/>
  <c r="N12" i="2"/>
  <c r="N428" i="2"/>
  <c r="N65" i="2"/>
  <c r="N363" i="2"/>
  <c r="N337" i="2"/>
  <c r="N460" i="2"/>
  <c r="N284" i="2"/>
  <c r="N427" i="2"/>
  <c r="N380" i="2"/>
  <c r="N236" i="2"/>
  <c r="N108" i="2"/>
  <c r="N490" i="2"/>
  <c r="N362" i="2"/>
  <c r="N42" i="2"/>
  <c r="N426" i="2"/>
  <c r="N379" i="2"/>
  <c r="N235" i="2"/>
  <c r="N107" i="2"/>
  <c r="N60" i="2"/>
  <c r="N489" i="2"/>
  <c r="N377" i="2"/>
  <c r="N313" i="2"/>
  <c r="N137" i="2"/>
  <c r="N57" i="2"/>
  <c r="N41" i="2"/>
  <c r="O9" i="2"/>
  <c r="N9" i="2"/>
  <c r="N425" i="2"/>
  <c r="N378" i="2"/>
  <c r="N234" i="2"/>
  <c r="N106" i="2"/>
  <c r="N59" i="2"/>
  <c r="N232" i="2"/>
  <c r="N184" i="2"/>
  <c r="O8" i="2"/>
  <c r="N8" i="2"/>
  <c r="N361" i="2"/>
  <c r="N233" i="2"/>
  <c r="N105" i="2"/>
  <c r="N487" i="2"/>
  <c r="N391" i="2"/>
  <c r="N311" i="2"/>
  <c r="N183" i="2"/>
  <c r="N87" i="2"/>
  <c r="O7" i="2"/>
  <c r="N7" i="2"/>
  <c r="N360" i="2"/>
  <c r="N316" i="2"/>
  <c r="N231" i="2"/>
  <c r="N104" i="2"/>
  <c r="N486" i="2"/>
  <c r="N262" i="2"/>
  <c r="N230" i="2"/>
  <c r="N86" i="2"/>
  <c r="N54" i="2"/>
  <c r="N359" i="2"/>
  <c r="N315" i="2"/>
  <c r="N103" i="2"/>
  <c r="N455" i="2"/>
  <c r="N358" i="2"/>
  <c r="N312" i="2"/>
  <c r="N219" i="2"/>
  <c r="N177" i="2"/>
  <c r="N136" i="2"/>
  <c r="N102" i="2"/>
  <c r="N310" i="2"/>
  <c r="N268" i="2"/>
  <c r="N218" i="2"/>
  <c r="N135" i="2"/>
  <c r="N267" i="2"/>
  <c r="N217" i="2"/>
  <c r="N134" i="2"/>
  <c r="N290" i="2"/>
  <c r="N492" i="2"/>
  <c r="N224" i="2"/>
  <c r="N223" i="2"/>
  <c r="N222" i="2"/>
  <c r="N128" i="2"/>
  <c r="N96" i="2"/>
  <c r="N436" i="2"/>
  <c r="N420" i="2"/>
  <c r="N404" i="2"/>
  <c r="N148" i="2"/>
  <c r="N132" i="2"/>
  <c r="N452" i="2"/>
  <c r="N275" i="2"/>
  <c r="N259" i="2"/>
  <c r="N64" i="2"/>
  <c r="N274" i="2"/>
  <c r="N130" i="2"/>
  <c r="N114" i="2"/>
  <c r="N2" i="2"/>
  <c r="N450" i="2"/>
  <c r="N243" i="2"/>
  <c r="N176" i="2"/>
  <c r="N369" i="2"/>
  <c r="N241" i="2"/>
  <c r="N113" i="2"/>
  <c r="N497" i="2"/>
  <c r="N449" i="2"/>
  <c r="N196" i="2"/>
  <c r="N33" i="2"/>
  <c r="N496" i="2"/>
  <c r="N256" i="2"/>
  <c r="N292" i="2"/>
  <c r="N276" i="2"/>
  <c r="N403" i="2"/>
  <c r="N387" i="2"/>
  <c r="N131" i="2"/>
  <c r="N451" i="2"/>
  <c r="N244" i="2"/>
  <c r="N386" i="2"/>
  <c r="N84" i="2"/>
  <c r="N34" i="2"/>
  <c r="N129" i="2"/>
  <c r="N356" i="2"/>
  <c r="N242" i="2"/>
  <c r="N448" i="2"/>
  <c r="N400" i="2"/>
  <c r="N355" i="2"/>
  <c r="N195" i="2"/>
  <c r="N32" i="2"/>
  <c r="N354" i="2"/>
  <c r="N194" i="2"/>
  <c r="N468" i="2"/>
  <c r="N353" i="2"/>
  <c r="N193" i="2"/>
  <c r="N145" i="2"/>
  <c r="N4" i="2"/>
  <c r="N467" i="2"/>
  <c r="N352" i="2"/>
  <c r="N260" i="2"/>
  <c r="N192" i="2"/>
  <c r="N144" i="2"/>
  <c r="N3" i="2"/>
  <c r="N476" i="2"/>
  <c r="N28" i="2"/>
  <c r="N466" i="2"/>
  <c r="N444" i="2"/>
  <c r="N418" i="2"/>
  <c r="N396" i="2"/>
  <c r="N212" i="2"/>
  <c r="N475" i="2"/>
  <c r="N187" i="2"/>
  <c r="N27" i="2"/>
  <c r="N465" i="2"/>
  <c r="N443" i="2"/>
  <c r="N417" i="2"/>
  <c r="N395" i="2"/>
  <c r="N372" i="2"/>
  <c r="N211" i="2"/>
  <c r="N458" i="2"/>
  <c r="N314" i="2"/>
  <c r="N10" i="2"/>
  <c r="N464" i="2"/>
  <c r="N416" i="2"/>
  <c r="N394" i="2"/>
  <c r="N371" i="2"/>
  <c r="N346" i="2"/>
  <c r="N210" i="2"/>
  <c r="N164" i="2"/>
  <c r="N49" i="2"/>
  <c r="N457" i="2"/>
  <c r="N169" i="2"/>
  <c r="N393" i="2"/>
  <c r="N370" i="2"/>
  <c r="N345" i="2"/>
  <c r="N188" i="2"/>
  <c r="N162" i="2"/>
  <c r="N140" i="2"/>
  <c r="N48" i="2"/>
  <c r="N435" i="2"/>
  <c r="N299" i="2"/>
  <c r="N273" i="2"/>
  <c r="N161" i="2"/>
  <c r="N139" i="2"/>
  <c r="N91" i="2"/>
  <c r="N439" i="2"/>
  <c r="N295" i="2"/>
  <c r="N215" i="2"/>
  <c r="N151" i="2"/>
  <c r="N434" i="2"/>
  <c r="N298" i="2"/>
  <c r="N160" i="2"/>
  <c r="N138" i="2"/>
  <c r="N90" i="2"/>
  <c r="N68" i="2"/>
  <c r="N454" i="2"/>
  <c r="N422" i="2"/>
  <c r="N294" i="2"/>
  <c r="N278" i="2"/>
  <c r="N198" i="2"/>
  <c r="N166" i="2"/>
  <c r="N150" i="2"/>
  <c r="N38" i="2"/>
  <c r="N342" i="2"/>
  <c r="N297" i="2"/>
  <c r="N182" i="2"/>
  <c r="N89" i="2"/>
  <c r="N67" i="2"/>
  <c r="N351" i="2"/>
  <c r="N95" i="2"/>
  <c r="N495" i="2"/>
  <c r="N334" i="2"/>
  <c r="N78" i="2"/>
  <c r="N494" i="2"/>
  <c r="N493" i="2"/>
  <c r="N485" i="2"/>
  <c r="N469" i="2"/>
  <c r="N453" i="2"/>
  <c r="N437" i="2"/>
  <c r="N421" i="2"/>
  <c r="N405" i="2"/>
  <c r="N389" i="2"/>
  <c r="N373" i="2"/>
  <c r="N357" i="2"/>
  <c r="N341" i="2"/>
  <c r="N325" i="2"/>
  <c r="N309" i="2"/>
  <c r="N293" i="2"/>
  <c r="N277" i="2"/>
  <c r="N261" i="2"/>
  <c r="N245" i="2"/>
  <c r="N229" i="2"/>
  <c r="N213" i="2"/>
  <c r="N197" i="2"/>
  <c r="N181" i="2"/>
  <c r="N165" i="2"/>
  <c r="N149" i="2"/>
  <c r="N133" i="2"/>
  <c r="N117" i="2"/>
  <c r="N101" i="2"/>
  <c r="N85" i="2"/>
  <c r="N69" i="2"/>
  <c r="N53" i="2"/>
  <c r="N37" i="2"/>
  <c r="N21" i="2"/>
  <c r="N5" i="2"/>
</calcChain>
</file>

<file path=xl/sharedStrings.xml><?xml version="1.0" encoding="utf-8"?>
<sst xmlns="http://schemas.openxmlformats.org/spreadsheetml/2006/main" count="12928" uniqueCount="2775">
  <si>
    <t>DIRECCIÓN DE TIANGUIS, MERCADOS Y VÍA PÚBLICA</t>
  </si>
  <si>
    <t>INSTITUTO DE LA JUVENTUD</t>
  </si>
  <si>
    <t>DEFENSORíA MUNICIPAL DE DERECHOS HUMANOS</t>
  </si>
  <si>
    <t>DIRECCIÓN DE PROTECCIÓN CIVIL Y BOMBEROS</t>
  </si>
  <si>
    <t>DIRECCIÓN DE GOBIERNO</t>
  </si>
  <si>
    <t>DIRECCIÓN DE BIENESTAR</t>
  </si>
  <si>
    <t>DIRECCIÓN DE SERVICIOS PÚBLICOS</t>
  </si>
  <si>
    <t>CONTRALORIA INTERNA MUNICIPAL</t>
  </si>
  <si>
    <t>TESORERÍA MUNICIPAL</t>
  </si>
  <si>
    <t>SECRETARÍA DEL AYUNTAMIENTO</t>
  </si>
  <si>
    <t>REGIDURÍA XII</t>
  </si>
  <si>
    <t>REGIDURÍA XI</t>
  </si>
  <si>
    <t>REGIDURÍA X</t>
  </si>
  <si>
    <t>REGIDURÍA IX</t>
  </si>
  <si>
    <t>REGIDURÍA VIII</t>
  </si>
  <si>
    <t>REGIDURÍA VII</t>
  </si>
  <si>
    <t>REGIDURÍA VI</t>
  </si>
  <si>
    <t>REGIDURÍA V</t>
  </si>
  <si>
    <t>REGIDURÍA IV</t>
  </si>
  <si>
    <t>REGIDURÍA III</t>
  </si>
  <si>
    <t>REGIDURÍA II</t>
  </si>
  <si>
    <t>REGIDURÍA I</t>
  </si>
  <si>
    <t>PRESIDENCIA</t>
  </si>
  <si>
    <t>A00</t>
  </si>
  <si>
    <t>ÁREA ADMINISTRATIVA</t>
  </si>
  <si>
    <t>B01</t>
  </si>
  <si>
    <t>Sindicatura I</t>
  </si>
  <si>
    <t>Sindicatura II</t>
  </si>
  <si>
    <t>B02</t>
  </si>
  <si>
    <t>C01</t>
  </si>
  <si>
    <t>C02</t>
  </si>
  <si>
    <t>C03</t>
  </si>
  <si>
    <t>C04</t>
  </si>
  <si>
    <t>C05</t>
  </si>
  <si>
    <t>C06</t>
  </si>
  <si>
    <t>C07</t>
  </si>
  <si>
    <t>C08</t>
  </si>
  <si>
    <t>C09</t>
  </si>
  <si>
    <t>C10</t>
  </si>
  <si>
    <t>C11</t>
  </si>
  <si>
    <t>C12</t>
  </si>
  <si>
    <t>A01</t>
  </si>
  <si>
    <t>A02</t>
  </si>
  <si>
    <t>Derechos Humanos</t>
  </si>
  <si>
    <t>DG</t>
  </si>
  <si>
    <t>D00</t>
  </si>
  <si>
    <t>L00</t>
  </si>
  <si>
    <t>K00</t>
  </si>
  <si>
    <t>Q00</t>
  </si>
  <si>
    <t>H00</t>
  </si>
  <si>
    <t>I01</t>
  </si>
  <si>
    <t>J00</t>
  </si>
  <si>
    <t>O00</t>
  </si>
  <si>
    <t>T00</t>
  </si>
  <si>
    <t>N00</t>
  </si>
  <si>
    <t>G00</t>
  </si>
  <si>
    <t>M00</t>
  </si>
  <si>
    <t>V00</t>
  </si>
  <si>
    <t>I00</t>
  </si>
  <si>
    <t>F01</t>
  </si>
  <si>
    <t>E00</t>
  </si>
  <si>
    <t>F00</t>
  </si>
  <si>
    <t>I02</t>
  </si>
  <si>
    <t>DIRECCIÓN DE DESARROLLO ECONÓMICO</t>
  </si>
  <si>
    <t>Fin</t>
  </si>
  <si>
    <t>FN</t>
  </si>
  <si>
    <t>SF</t>
  </si>
  <si>
    <t>PG</t>
  </si>
  <si>
    <t>SP</t>
  </si>
  <si>
    <t>Py</t>
  </si>
  <si>
    <t>D Aux</t>
  </si>
  <si>
    <t>Denominación de Programa</t>
  </si>
  <si>
    <t>Denominación de Proyecto</t>
  </si>
  <si>
    <t>Descripción de Acciones</t>
  </si>
  <si>
    <t xml:space="preserve">Tipo de Indicador </t>
  </si>
  <si>
    <t>Unidad de Medida</t>
  </si>
  <si>
    <t xml:space="preserve"> Conducción de las políticas generales de gobierno</t>
  </si>
  <si>
    <t>Relaciones públicas</t>
  </si>
  <si>
    <t>Audiencia Pública y consulta popular</t>
  </si>
  <si>
    <t>Audiencia pública del C. Presidente Municipal una vez por mes</t>
  </si>
  <si>
    <t>Reuniones interinstitucionales entre el Presidente y Dependencias de los tres ordenes de gobierno</t>
  </si>
  <si>
    <t>Atención de los visitantes e invitados especiales a presidencia</t>
  </si>
  <si>
    <t>Audiencia al público para tratar diversos asuntos, en desahogo de la agenda del Presidente Municipal.</t>
  </si>
  <si>
    <t>Atender peticiones menores realizadas al Presidente Municipal mediante las redes sociales.</t>
  </si>
  <si>
    <t>Atender peticiones realizadas al Presidente Municipal mediante sus giras.</t>
  </si>
  <si>
    <t>Atender peticiones entregadas al Presidente Municipal mediante ingreso a Oficialía de Partes.</t>
  </si>
  <si>
    <t xml:space="preserve">Gestión </t>
  </si>
  <si>
    <t>Persona atendida</t>
  </si>
  <si>
    <t>Reunión</t>
  </si>
  <si>
    <t>Petición</t>
  </si>
  <si>
    <t>Petición en gira</t>
  </si>
  <si>
    <t xml:space="preserve">Petición por oficialía </t>
  </si>
  <si>
    <t>Conducción de las políticas generales de gobierno</t>
  </si>
  <si>
    <t xml:space="preserve">Fortalecer el marco normativo del ayuntamiento </t>
  </si>
  <si>
    <t>Divulgación de las políticas públicas municipales en los medios de comunicación institucional</t>
  </si>
  <si>
    <t>Reglamentación municipal</t>
  </si>
  <si>
    <t>Revisión y emisión de la reglamentación municipal</t>
  </si>
  <si>
    <t>Reglamentos y disposiciones de observancia general en el municipio publicadas</t>
  </si>
  <si>
    <t>Gaceta</t>
  </si>
  <si>
    <t>Capacitaciones en materia reglamentaria otorgadas</t>
  </si>
  <si>
    <t xml:space="preserve">Capacitación </t>
  </si>
  <si>
    <t>Revisión de propuestas viables de modificación a Leyes, decretos y reglamentos municipales</t>
  </si>
  <si>
    <t>Propuesta</t>
  </si>
  <si>
    <t>Realización de sesiones de cabildo</t>
  </si>
  <si>
    <t xml:space="preserve">Sesión </t>
  </si>
  <si>
    <t>Consolidación de la administración pública para resultados</t>
  </si>
  <si>
    <t>Control del patrimonio y normatividad</t>
  </si>
  <si>
    <t>Realizar los levantamientos fisicos de los bienes muebles e inmuebles.</t>
  </si>
  <si>
    <t xml:space="preserve">Bien </t>
  </si>
  <si>
    <t xml:space="preserve">Actualizar el inventario mediante revisiones fisicas por areas de trabajo de la Administracion Publica Municipal. </t>
  </si>
  <si>
    <t>Revision fisica</t>
  </si>
  <si>
    <t>Digitalización de documentación oficial por área,</t>
  </si>
  <si>
    <t xml:space="preserve">Justicia civica municipal </t>
  </si>
  <si>
    <t>Mediación, conciliación y función calificadora municipal</t>
  </si>
  <si>
    <t>Garantizar la paz social, convivencia familiar y vecinal a través de medios alternativos de solucion de controversias.</t>
  </si>
  <si>
    <t>Mediacion</t>
  </si>
  <si>
    <t xml:space="preserve">Citar a las partes en conflicto con la finalidad de dirimir sus diferencias a través del dialogo y medios alternativos de solución </t>
  </si>
  <si>
    <t>Citatorio</t>
  </si>
  <si>
    <t>Dar cumplimiento a los ordenamientos legales a través de la aplicación de sanciones por infracciones</t>
  </si>
  <si>
    <t>Sanción</t>
  </si>
  <si>
    <t>Capacitaciones en tematicas relacionadas a la Justicia Civica</t>
  </si>
  <si>
    <t>Difusión de la cultura civica y cultura de la legalidad en medios de comunicación</t>
  </si>
  <si>
    <t>Post</t>
  </si>
  <si>
    <t>Informes de Resultados de las Acciones del Juzgado Cívico</t>
  </si>
  <si>
    <t>Informe</t>
  </si>
  <si>
    <t>Jornadas de Trabajo en favor de la comunidad</t>
  </si>
  <si>
    <t>Jornada</t>
  </si>
  <si>
    <t>Comunicación pública y fortalecimiento informativo</t>
  </si>
  <si>
    <t>Difusión y comunicación institucional</t>
  </si>
  <si>
    <t>Campañas publicitarias de acciones gubernamentales</t>
  </si>
  <si>
    <t>Campaña</t>
  </si>
  <si>
    <t>Cobertura de eventos relacionados al Municipio</t>
  </si>
  <si>
    <t>Cobertura</t>
  </si>
  <si>
    <t>Boletín informativo de las acciones de gobierno</t>
  </si>
  <si>
    <t>Administración de Gobierno Electrónico</t>
  </si>
  <si>
    <t>Atención a medios de comunicación</t>
  </si>
  <si>
    <t>Capsulas Informativas</t>
  </si>
  <si>
    <t>Sintesis informativas</t>
  </si>
  <si>
    <t>Interaccion con ciudadania en redes sociales</t>
  </si>
  <si>
    <t xml:space="preserve">Lives en redes sociales </t>
  </si>
  <si>
    <t>Derechos humanos</t>
  </si>
  <si>
    <t>Investigación, capacitación, promoción y divulgación de los derechos humanos</t>
  </si>
  <si>
    <t>Capacitaciones, talleres,  conferencias y foros para que los servidores públicos estén informados en materia de derechos humanos.</t>
  </si>
  <si>
    <t>Capacitaciones</t>
  </si>
  <si>
    <t>Realizar diplomados en materia de derechos humanos para servidores públicos de esta Defensoría con la finalidad de instituir un servicio ético y civil.</t>
  </si>
  <si>
    <t>Promover una cultura en materia de Derechos Humanos con platicas a  escuelas, centros de rehabilitación, sociedad civil organizada y general.</t>
  </si>
  <si>
    <t>Fomentar una cultura en materia de Derechos Humanos con campañas de difusión a través de módulos, medios impresos, redes sociales y encuestas.</t>
  </si>
  <si>
    <t>Difundir y promover la cultura de derechos humanos mediante la realización de concursos y debates, enfocados a la niñez  y a la juventud</t>
  </si>
  <si>
    <t>Fomentar la cultura de derechos humanos con la distribución de una guía y de una antología</t>
  </si>
  <si>
    <t>Publicaciones</t>
  </si>
  <si>
    <t xml:space="preserve">Difundir y promover una cultura en materia de los derechos humanos, enfocadas en niños, niñas, jóvenes y población vulnerable, a través de brigadas promotoras de los derechos humanos. </t>
  </si>
  <si>
    <t>Protección y defensa de los derechos humanos</t>
  </si>
  <si>
    <t xml:space="preserve">Asesoría jurídica y psicológicas a ciudadanos por presuntas violaciones a derechos humanos  </t>
  </si>
  <si>
    <t xml:space="preserve">Levantamiento y seguimiento de las quejas recibidas para registrar su conclusión </t>
  </si>
  <si>
    <t>Establecer convenios de colaboración de Derechos Humanos.</t>
  </si>
  <si>
    <t xml:space="preserve">Elaborar una guía  de Derechos Humanos en atención de detenidos y/o arrestados </t>
  </si>
  <si>
    <t xml:space="preserve">Participación en diligencias administrativas u operativas en donde actúe la autoridad municipal para salvaguardar los Derechos Humanos </t>
  </si>
  <si>
    <t>Realizar diplomados y/o seminarios, talleres y cursos sobre derechos humanos para protección y defensa a los integrantes de la Defensoría Mpal. de Derechos Humanos</t>
  </si>
  <si>
    <t>Instalación de buzones de sugerencias ciudadanas en donde actúe la autoridad municipal para salvaguardar y garantizar los Derechos  Humanos.</t>
  </si>
  <si>
    <t>Campañas para asesorías jurídicas en materia de derechos humanos a grupos vulnerables.</t>
  </si>
  <si>
    <t>Desarrollo municipal</t>
  </si>
  <si>
    <t>Desarrollo e impulso de la profesionalización, la investigación, estadísticas hacendarias y proyectos especiales</t>
  </si>
  <si>
    <t>Gestión con instituciones especializadas en materia hacendaria para la impartición de cursos.</t>
  </si>
  <si>
    <t>Capacitar a servidores públicos de acuerdo al perfil solicitado</t>
  </si>
  <si>
    <t>Consolidación de la administración pública de resultados</t>
  </si>
  <si>
    <t>Administración de personal</t>
  </si>
  <si>
    <t>Llevar a cabo el reclutamiento, selección, inducción y promoción del personal, así como la evaluación del desempeño.</t>
  </si>
  <si>
    <t>Personal</t>
  </si>
  <si>
    <t>Armar expedientes de acuerdo a perfil definido sobre sistema de  evaluación de personal</t>
  </si>
  <si>
    <t>Expediente</t>
  </si>
  <si>
    <t>Selección, capacitación y desarrollo de personal</t>
  </si>
  <si>
    <t>Capacitar a los servidores públicos para que puedan realizar sus funciones correspondientes de una manera eficiente y eficaz.</t>
  </si>
  <si>
    <t>Cursos de capacitación a servidores públicos</t>
  </si>
  <si>
    <t>Curso</t>
  </si>
  <si>
    <t>Adquisiciones y servicios</t>
  </si>
  <si>
    <t>Gestión de cotizaciones para las adquisisciónes y/o servicios</t>
  </si>
  <si>
    <t xml:space="preserve">Cotizacion </t>
  </si>
  <si>
    <t>Procedimientos de adquisición y servicios</t>
  </si>
  <si>
    <t>Gobierno Electrónico</t>
  </si>
  <si>
    <t xml:space="preserve">Innovación gubernamental con tecnologías de información </t>
  </si>
  <si>
    <t xml:space="preserve">Mantenimiento </t>
  </si>
  <si>
    <t>Taller</t>
  </si>
  <si>
    <t>Política territorial moderna y sostenible</t>
  </si>
  <si>
    <t>Planeación integral y concertada</t>
  </si>
  <si>
    <t>Seguimiento del Plan Municipal de Desarrollo Urbano</t>
  </si>
  <si>
    <t>Plan</t>
  </si>
  <si>
    <t>Instrumentación urbana</t>
  </si>
  <si>
    <t xml:space="preserve">Otorgar licencias de construcción y licencias de uso de suelo </t>
  </si>
  <si>
    <t xml:space="preserve">Licencia </t>
  </si>
  <si>
    <t>Otorgar permisos de anuncios publicitarios</t>
  </si>
  <si>
    <t xml:space="preserve">Permiso </t>
  </si>
  <si>
    <t xml:space="preserve">Manejo de aguas residuales, drenaje y alcantarillado </t>
  </si>
  <si>
    <t xml:space="preserve">Construcción de infraestructura para drenaje y alcantarillado </t>
  </si>
  <si>
    <t>Construcción, rehabilitación y ampliación de la infraestructura de drenaje y alcantarillado.</t>
  </si>
  <si>
    <t>Obra</t>
  </si>
  <si>
    <t>Infraestructura de espacios públicos</t>
  </si>
  <si>
    <t>Pavimentación de calles</t>
  </si>
  <si>
    <t>M2</t>
  </si>
  <si>
    <t>Guarniciones y banquetas</t>
  </si>
  <si>
    <t xml:space="preserve">Estratégico </t>
  </si>
  <si>
    <t>ML</t>
  </si>
  <si>
    <t>Construcción y remodelación de plazas cívicas y jardines</t>
  </si>
  <si>
    <t>Rehabilitación de vialidades urbanas</t>
  </si>
  <si>
    <t>Construcción y ampliación de edificaciones urbanas</t>
  </si>
  <si>
    <t>Rehabilitación de edificaciones urbanas</t>
  </si>
  <si>
    <t>Supervisión de Obras Públicas</t>
  </si>
  <si>
    <t>Equipamiento de vialidades urbanas</t>
  </si>
  <si>
    <t>Instalacion de Nomenclatura en calles del municipio</t>
  </si>
  <si>
    <t>Programa</t>
  </si>
  <si>
    <t xml:space="preserve">Manejo eficiente y sustentable del agua </t>
  </si>
  <si>
    <t xml:space="preserve">Construcción de infraestructura para agua potable </t>
  </si>
  <si>
    <t>Construcción de Obras de Infraestructura hidráulica para el suministro de agua potable.</t>
  </si>
  <si>
    <t xml:space="preserve">Entrega de las obras concluidas de Infraestructura hidráulica para el suministro de agua potable a las instancias operadoras. </t>
  </si>
  <si>
    <t>Educación básica</t>
  </si>
  <si>
    <t>Apoyo Municipal a la Educación Básica</t>
  </si>
  <si>
    <t>Mantenimiento y equipamiento de la infraestructura física a planteles educativos</t>
  </si>
  <si>
    <t>Educación media superior</t>
  </si>
  <si>
    <t>Apoyo municipal a la educación media superior</t>
  </si>
  <si>
    <t>Eficiencia Energética</t>
  </si>
  <si>
    <t>Apoyo y Asesoría en la gestión de servicios de electrificación y alumbrado público</t>
  </si>
  <si>
    <t>Participación comunitaria para el mejoramiento urbano</t>
  </si>
  <si>
    <t>Retiro de obstrucciones en vía pública</t>
  </si>
  <si>
    <t>Aforos para la planeación y factibilidad de nuevos proyectos</t>
  </si>
  <si>
    <t>Programa de modernización de la red de semáforos</t>
  </si>
  <si>
    <t>Autorización para instalación, retiro o redimensionamiento de dispositivos viales (topes) en las vías secundarias.</t>
  </si>
  <si>
    <t>Colocación de señalamiento vertical en las vialidades</t>
  </si>
  <si>
    <t>Seguridad pública</t>
  </si>
  <si>
    <t>Mantenimiento de los dispositivos para el control de tránsito y educación Vial</t>
  </si>
  <si>
    <t>Actividad</t>
  </si>
  <si>
    <t>Retiro de vehículos en estado de abandono, inservibles, destruidos e inutilizados.</t>
  </si>
  <si>
    <t>Modernización de la Movilidad y el transporte terrestre</t>
  </si>
  <si>
    <t>Apoyo municipal a las políticas para el desarrollo del transporte</t>
  </si>
  <si>
    <t>Programa de agilización del transporte público en puntos críticos</t>
  </si>
  <si>
    <t>Inspecciones al transporte público</t>
  </si>
  <si>
    <t>Inspección</t>
  </si>
  <si>
    <t>Mapeo de bases de taxis</t>
  </si>
  <si>
    <t>Programa de concientización vial a operadores de transporte público</t>
  </si>
  <si>
    <t>Coordinación metropolitana</t>
  </si>
  <si>
    <t>Vinculación intergubernamental regional</t>
  </si>
  <si>
    <t>Participación en las reuniones del Comité de Desarrollo Regional Sustentable, para la identificación de proyectos de desarrollo regional.</t>
  </si>
  <si>
    <t>Protección al ambiente</t>
  </si>
  <si>
    <t>Concertación y participación ciudadana para la protección del ambiente</t>
  </si>
  <si>
    <t>Atención a quejas, denuncias y solicitudes de agresiones ambientales. (Poda y derribo de árboles)</t>
  </si>
  <si>
    <t>Permiso</t>
  </si>
  <si>
    <t>Promoción de la cultura ambiental</t>
  </si>
  <si>
    <t>Diseño y construcción del programa anual de operativos de inspección y vigilancia.</t>
  </si>
  <si>
    <t>Operativo</t>
  </si>
  <si>
    <t>Atención a quejas, denuncias y solicitudes de agresiones ambientales.</t>
  </si>
  <si>
    <t>Prevención y control de la contaminación del suelo</t>
  </si>
  <si>
    <t>Atención a quejas, denuncias y soluciones de agresiones ambientales. (No inconveniencia ambiental)</t>
  </si>
  <si>
    <t>Constancia</t>
  </si>
  <si>
    <t>Prevención y control de la contaminación del agua</t>
  </si>
  <si>
    <t>Atención a quejas, denuncias y soluciones de agresiones ambientales. (Aguas residuales)</t>
  </si>
  <si>
    <t>Registro</t>
  </si>
  <si>
    <t xml:space="preserve"> Prevención, control y mejoramiento de la calidad del aire</t>
  </si>
  <si>
    <t>Atención a quejas, denuncias y soluciones de agresiones ambientales. (Emisiones a la atmósfera)</t>
  </si>
  <si>
    <t>Manejo sustentable y conservación de los ecosistemas y la biodiversidad</t>
  </si>
  <si>
    <t>Promoción  difusión de parques recreativos</t>
  </si>
  <si>
    <t>Diseño y publicación de promocionales para la difusión del Parque Ehécatl, así como del manejo adecuado de los animales del zoológico.</t>
  </si>
  <si>
    <t>Conservación ecológica sostenible y protección de la flora y fauna</t>
  </si>
  <si>
    <t>Realización de cursos y talleres de educación ambiental en el municipio de Ecatepec de Morelos.</t>
  </si>
  <si>
    <t>Talleres</t>
  </si>
  <si>
    <t>Publicación de actividades de liberación y/o reubicación de ejemplares de fauna y flora silvestre.</t>
  </si>
  <si>
    <t>Localización de las áreas geográficas sujetas de reforestación.</t>
  </si>
  <si>
    <t>Distribución de los árboles en vivero para reforestar.</t>
  </si>
  <si>
    <t>Entrega de semillas y plantas a la población para reforestación.</t>
  </si>
  <si>
    <t>Solicitudes</t>
  </si>
  <si>
    <t>Supervisión en la siembra de semillas y/o plantas entregadas a la población para reforestación.</t>
  </si>
  <si>
    <t>Desarrollo Forestal</t>
  </si>
  <si>
    <t>Plantaciones forestales de Administración Municipal</t>
  </si>
  <si>
    <t>Celebración de convenios de concertación en materia forestal con dependencias especializadas.</t>
  </si>
  <si>
    <t>Investigación científica</t>
  </si>
  <si>
    <t>Fomento a la investigación científica y formación de recursos humanos</t>
  </si>
  <si>
    <t>Invitar a investigadores para presentar proyectos científicos desarrollados</t>
  </si>
  <si>
    <t>Diseño y publicación de convocatorias para participar en círculos y conferencias de ciencia, tecnología e innovación</t>
  </si>
  <si>
    <t>Rehabilitación de Vialidades Urbanas</t>
  </si>
  <si>
    <t xml:space="preserve">Rehabilitar y dar mantenimiento mediante el bacheo para optimizar las vialidades </t>
  </si>
  <si>
    <t>Pinta de Guarniciones</t>
  </si>
  <si>
    <t>Pinta de Guiones (Balizamiento)</t>
  </si>
  <si>
    <t>Pinta de Pasos Peatonales, Flechas, Topes, Señalamientos Preventivos</t>
  </si>
  <si>
    <t>Gestión integral de residuos sólidos</t>
  </si>
  <si>
    <t>Manejo integral de residuos sólidos</t>
  </si>
  <si>
    <t>Empuje, compactación, conformación y confinamiento de los residuos solidos en el vertedero municipal</t>
  </si>
  <si>
    <t>Tonelada</t>
  </si>
  <si>
    <t>Cubrimiento de residuos sólidos</t>
  </si>
  <si>
    <t>M3</t>
  </si>
  <si>
    <t>Disposición de residuos solidos no peligros por parte de personas físicas y morales</t>
  </si>
  <si>
    <t>Coordinación para servicios de limpia y recolección de desechos sólidos</t>
  </si>
  <si>
    <t>Recolección de la basura levantada de los espacios públicos municipales</t>
  </si>
  <si>
    <t>Conservar las vialidades libres de residuos sólidos urbanos</t>
  </si>
  <si>
    <t>Rehabilitación de luminarias existentes</t>
  </si>
  <si>
    <t>Luminarias</t>
  </si>
  <si>
    <t>Reconexión de luminarias</t>
  </si>
  <si>
    <t>Modernización de los servicios comunales</t>
  </si>
  <si>
    <t>Coordinación para la conservación de parques y jardines</t>
  </si>
  <si>
    <t>Mantenimiento general  de áreas verdes  (limpieza corte de pasto, cultivo, poda de setos, etc.) entre vialidades, escuelas, parques etc.</t>
  </si>
  <si>
    <t>Rehabilitación de parques y jardines municipales.</t>
  </si>
  <si>
    <t>Parque</t>
  </si>
  <si>
    <t>Coordinación para servicios de administración y mantenimiento de panteones</t>
  </si>
  <si>
    <t xml:space="preserve">Realizar inhumaciones en panteones municipales </t>
  </si>
  <si>
    <t>Inhumación</t>
  </si>
  <si>
    <t>Ocupación de nichos osarios para la preservación de los restos áridos.</t>
  </si>
  <si>
    <t>Nicho</t>
  </si>
  <si>
    <t>Realizar exhumación de fosas que ya cumplieron la temporalidad establecida por la Secretaria de Salud.</t>
  </si>
  <si>
    <t>Exhumación</t>
  </si>
  <si>
    <t>Electrificación</t>
  </si>
  <si>
    <t>Ahorro de energía</t>
  </si>
  <si>
    <t xml:space="preserve">Sustitución de luminarias de alumbrado público municipal por luminarias que ahorren energía </t>
  </si>
  <si>
    <t xml:space="preserve">Registro de inspecciones físicas para control y evaluación de las obras de electrificación para beneficio de la población municipal </t>
  </si>
  <si>
    <t>Supervisión</t>
  </si>
  <si>
    <t>Coordinación para servicios de administración y mantenimiento de mercados y centrales de abasto</t>
  </si>
  <si>
    <t>Inspecciones en mercados para detectar inactividad en locales</t>
  </si>
  <si>
    <t>Procedimientos Administrativos para recuperacion de locales</t>
  </si>
  <si>
    <t>Operativos en tianguis</t>
  </si>
  <si>
    <t>Convenios para impulsar el compromiso comercial y mutuo respeto</t>
  </si>
  <si>
    <t xml:space="preserve">Programa de Expedicion de Cedulas para locatario de mercados </t>
  </si>
  <si>
    <t xml:space="preserve">Programa de Renovacion de Permisos de Tianguis Ordinarios </t>
  </si>
  <si>
    <t>Métodos anticonceptivos y Prevención del Embarazo Adolescente</t>
  </si>
  <si>
    <t>Prevención de enfermedades de transmisión sexual</t>
  </si>
  <si>
    <t>Feria de Educación Sexual</t>
  </si>
  <si>
    <t>Feria</t>
  </si>
  <si>
    <t>Prevención de la violencia</t>
  </si>
  <si>
    <t>Prevención de las adicciones</t>
  </si>
  <si>
    <t>Conservatorio juvenil</t>
  </si>
  <si>
    <t>Simposios</t>
  </si>
  <si>
    <t>Concurso de Juegos de Destreza</t>
  </si>
  <si>
    <t>Concurso</t>
  </si>
  <si>
    <t>Intellectual Game</t>
  </si>
  <si>
    <t>Promoción integral para el bienestar de la juventud</t>
  </si>
  <si>
    <t>Concurso "Presea jóvenes con valores"</t>
  </si>
  <si>
    <t xml:space="preserve">Concurso de Fotografia </t>
  </si>
  <si>
    <t>Cabildo Juvenil</t>
  </si>
  <si>
    <t xml:space="preserve">Cine en tu Colonia </t>
  </si>
  <si>
    <t>Proyección</t>
  </si>
  <si>
    <t>Play Zone</t>
  </si>
  <si>
    <t>Desarrollo comunitario</t>
  </si>
  <si>
    <t>Promoción a la participación comunitaria</t>
  </si>
  <si>
    <t>Pláticas</t>
  </si>
  <si>
    <t>Apoyo solidario</t>
  </si>
  <si>
    <t>Ofrecer asesoría jurídica a los migrantes, asi como a las familias de migrantes que radican en Ecatepec..</t>
  </si>
  <si>
    <t>Asesorías</t>
  </si>
  <si>
    <t>Brindar atencion ciudadana y apoyo en tramites a los migrantes.</t>
  </si>
  <si>
    <t>Distribucion de tripticos a ciudadanos y migrantes con informacion referente a sus derechos humanos y de relevancia</t>
  </si>
  <si>
    <t xml:space="preserve">Democracia y pluralidad politica </t>
  </si>
  <si>
    <t>Capacitacion para el desarrollo de la cultura politica</t>
  </si>
  <si>
    <t>Distribucion  de tripticos a los integrantes de delegaciones municipales y copacis asi como a la comunidad en general en cuanto a sus atribuciones, obligaciones y prohibiciones, dando un enfoque referente al contenido sobre normatividad municipal, civica y democratica</t>
  </si>
  <si>
    <t xml:space="preserve">Tríptico </t>
  </si>
  <si>
    <t>Pláticas que promueven la participación ciudadana, con temas de valores cívicos y democráticos en las personas y su vida en sociedad.</t>
  </si>
  <si>
    <t>Cursos de actualización a los integrantes de los Consejos de Participación Ciudadana y Delegados Municipales, sobre temas de normatividad municipal, cívica y democrática.</t>
  </si>
  <si>
    <t>Mesa de trabajo y/o atención a reuniones vecinales y manifestaciones generadas por diversos motivos, con el fin de mantener la paz social.</t>
  </si>
  <si>
    <t>Nuevas Organizaciones de la Sociedad</t>
  </si>
  <si>
    <t>Participacion Ciudadana</t>
  </si>
  <si>
    <t>Distribución de la infografía para la atención, orientación y conocimiento para  seguimiento a las peticiones de las Organizaciones políticas, sociales, civiles.</t>
  </si>
  <si>
    <t>Asesoría y orientación para la formalización de una asociación civil, informando de los beneficios que se obtienen para la mejora de su entorno.</t>
  </si>
  <si>
    <t>Distribución de trípticos para información y orientación a la ciudadanía referente a las Organizaciones religiosas; informando de los beneficios que se obtienen para la mejora de su entorno.</t>
  </si>
  <si>
    <t xml:space="preserve">Asesoría y atención para trámites a feligreses y lideres religiosos de las diferentes expresiones de fe. </t>
  </si>
  <si>
    <t>Pueblos Indígenas</t>
  </si>
  <si>
    <t>Preservación y revalorización de usos y costumbres de los pueblos indigenas</t>
  </si>
  <si>
    <t>Distribución de trípticos con información sobre los diferentes servicios que ofrece la oficina de atención de pueblos originarios y comunidades indígenas residentes</t>
  </si>
  <si>
    <t xml:space="preserve">Celebracion del dia internacional de los pueblos originarios y comuniddades indigenas residentes para que participen personas integrantes de comunidades indigenas residentes y pueblos originarios del municipio </t>
  </si>
  <si>
    <t>Taller para fomentar el interés de la población infantil y juvenil en el aprendizaje de las lenguas originarias, así como su promoción y difusión.</t>
  </si>
  <si>
    <t>Función pública y combate a la corrupción</t>
  </si>
  <si>
    <t xml:space="preserve">Fiscalizacion, control y evaluacion interna de la gestion publica </t>
  </si>
  <si>
    <t>Participación social en la formulación, seguimiento, control y evaluación interna de obras, programas y servicios públicos</t>
  </si>
  <si>
    <t>Integración de Comités Ciudadanos de Control y Vigilancia (COCICOVIS)</t>
  </si>
  <si>
    <t xml:space="preserve">Sistema Anticprrupcion del Estado de Mexico y Municipios </t>
  </si>
  <si>
    <t>Prevención, detección, disuación, sanción y combate a la corrupción</t>
  </si>
  <si>
    <t>Atención de denuncias y/o quejas vía telefónica en el Programa Municipal Anticorrupción</t>
  </si>
  <si>
    <t>Sesiones del Comité Coordinador del Sistema Anticorrupcion Municipal</t>
  </si>
  <si>
    <t>Responsabilidades administrativas</t>
  </si>
  <si>
    <t>Elaboración de informes de expedientes en proceso de substanciación</t>
  </si>
  <si>
    <t>Elaboración de informes de expedientes en proceso de resolución</t>
  </si>
  <si>
    <t>Declaración de situación patrimonial, de interés y constancia de la declaración fiscal de los servidores públicos.</t>
  </si>
  <si>
    <t>Investigación de faltas administrativas</t>
  </si>
  <si>
    <t>Fortalecimiento de los ingresos</t>
  </si>
  <si>
    <t>Captación y recaudación de ingresos</t>
  </si>
  <si>
    <t>Difusión masiva de los apoyos, subsidios, fiscales y exhortación al pago puntual.</t>
  </si>
  <si>
    <t xml:space="preserve">Actualización del padrón de cobro de impuesto predial </t>
  </si>
  <si>
    <t>Contribuyente</t>
  </si>
  <si>
    <t>Actualización de los padrones de Multas Federales</t>
  </si>
  <si>
    <t>Actualización de los padrones de Multas Locales</t>
  </si>
  <si>
    <t>Determinación de Créditos Fiscales para contribuyentes morosos, omisos y remisos (Contribuciones, Derechos y Aprovechamientos)</t>
  </si>
  <si>
    <t xml:space="preserve">Recuperación de créditos fiscales </t>
  </si>
  <si>
    <t>Emisión y entrega de cartas invitación para pagos pendientes (Predial)</t>
  </si>
  <si>
    <t>Requerimiento de pago para contribuyentes morosos (Notificación)</t>
  </si>
  <si>
    <t>Expedición y Entrega de Mandamientos de Ejecución</t>
  </si>
  <si>
    <t>Visita de cajas móviles a comunidades para la recaudación del impuesto predial</t>
  </si>
  <si>
    <t>Visita</t>
  </si>
  <si>
    <t xml:space="preserve">Actualización y Cobro de Impuesto Predial por concepto de Diferencias de Construcción No Declaradas </t>
  </si>
  <si>
    <t>Traslado de Dominio Autorizados</t>
  </si>
  <si>
    <t>Traslado de dominio</t>
  </si>
  <si>
    <t>Emisión de Certificación de traslado de dominio</t>
  </si>
  <si>
    <t>Documento</t>
  </si>
  <si>
    <t>Emisión, Pago y Entrega de Certificaciones de No Adeudo de Impuesto Predial y Aportación de Mejoras</t>
  </si>
  <si>
    <t>Registro y control de caja y tesorería</t>
  </si>
  <si>
    <t>Llevar el control y registro de cajas, mediante el reporte de total de operaciones, inspeccionando el buen manejo de estas.</t>
  </si>
  <si>
    <t xml:space="preserve">Operaciones </t>
  </si>
  <si>
    <t>Gasto social e inversión pública</t>
  </si>
  <si>
    <t>Asignación, registro, seguimiento y control de la inversión pública municipal</t>
  </si>
  <si>
    <t>Revisión de los Expedientes de Obras Publicas (estimaciones)</t>
  </si>
  <si>
    <t>Ministración</t>
  </si>
  <si>
    <t>Actualización del Sistema de Recursos Federales Transferidos</t>
  </si>
  <si>
    <t>Reporte</t>
  </si>
  <si>
    <t>Seguimiento a las Gestiones de los Recursos Federales y Estatales</t>
  </si>
  <si>
    <t>Gestión</t>
  </si>
  <si>
    <t>Actualización del Sistema de Avance Mensual (SIAVAMEN)</t>
  </si>
  <si>
    <t>Actualización</t>
  </si>
  <si>
    <t>Planeación y presupuesto basado en resultados</t>
  </si>
  <si>
    <t>Planeación y evaluación para el desarrollo municipal</t>
  </si>
  <si>
    <t>Seguimiento a los resultados y ejecución de los recursos con los que dispone el municipio.</t>
  </si>
  <si>
    <t xml:space="preserve">Seguimiento  </t>
  </si>
  <si>
    <t>Integración, seguimiento y control presupuestal del ayuntamiento</t>
  </si>
  <si>
    <t>Mejorar el control del presupuesto, mediante la emisión de reportes</t>
  </si>
  <si>
    <t>Asesorar a las diversas áreas en materia presupuestal</t>
  </si>
  <si>
    <t>Asesoría</t>
  </si>
  <si>
    <t>Integración del presupuesto de ingresos y egresos definitivo para el ejercicio fiscal 2024</t>
  </si>
  <si>
    <t>Paquete presupuestal</t>
  </si>
  <si>
    <t>Integración del anteproyecto de presupuesto de ingresos y egresos para el ejercicio fiscal 2025</t>
  </si>
  <si>
    <t>Registro, control contable-presupuestal y cuenta de la hacienda pública municipal</t>
  </si>
  <si>
    <t>Reportes trimestrales enviados al OSFEM</t>
  </si>
  <si>
    <t>Envió de la cuenta pública OSFEM</t>
  </si>
  <si>
    <t xml:space="preserve">Cuenta pública </t>
  </si>
  <si>
    <t>Reportes y reactivos enviados al SEVAC</t>
  </si>
  <si>
    <t>Reportes CONAC</t>
  </si>
  <si>
    <t xml:space="preserve">Dispersión nomina </t>
  </si>
  <si>
    <t xml:space="preserve">Dispersión </t>
  </si>
  <si>
    <t>Deuda pública</t>
  </si>
  <si>
    <t xml:space="preserve">Amortización de la deuda (Capital) </t>
  </si>
  <si>
    <t>Pago a capital de financiamiento</t>
  </si>
  <si>
    <t>Pago</t>
  </si>
  <si>
    <t>Costo financiero de la deuda (Intereses)</t>
  </si>
  <si>
    <t>Pago a Intereses de Financiamiento</t>
  </si>
  <si>
    <t>Transferencias</t>
  </si>
  <si>
    <t>Convenios de Coordinación</t>
  </si>
  <si>
    <t>Seguimiento a convenio en términos de la Ley de Coordinación Fiscal</t>
  </si>
  <si>
    <t xml:space="preserve">Seguimiento a convenio </t>
  </si>
  <si>
    <t>Transferencias del ayuntamiento a organismos municipales</t>
  </si>
  <si>
    <t>Transferencia del ayuntamiento  a Organismos Descentralizados</t>
  </si>
  <si>
    <t xml:space="preserve">Transferencia </t>
  </si>
  <si>
    <t>Previsiones para el pago de adeudos de ejercicios fiscales anteriores</t>
  </si>
  <si>
    <t>Pasivos derivados de erogaciones devengadas y pendientes de ejercicios anteriores</t>
  </si>
  <si>
    <t>Pago de las ADEFAS del ejercicio</t>
  </si>
  <si>
    <t>Asistencia Jurídica al Ejecutivo</t>
  </si>
  <si>
    <t>Asesoría Jurídica al Ayuntamiento</t>
  </si>
  <si>
    <t xml:space="preserve">Dar cumplimiento a lo ordenado en las sentencias emitidas por los tribunales </t>
  </si>
  <si>
    <t>Contestación de demandas</t>
  </si>
  <si>
    <t>Demanda</t>
  </si>
  <si>
    <t xml:space="preserve">Desahogos de requerimientos </t>
  </si>
  <si>
    <t>Desahogo</t>
  </si>
  <si>
    <t>Informes previos y justificados</t>
  </si>
  <si>
    <t xml:space="preserve">Interposición de demandas de amparo </t>
  </si>
  <si>
    <t>Amparo</t>
  </si>
  <si>
    <t xml:space="preserve">Interposición de recursos de revisión y de revocación </t>
  </si>
  <si>
    <t>Recurso</t>
  </si>
  <si>
    <t>Oficios de contestación a diversas unidades administrativas</t>
  </si>
  <si>
    <t xml:space="preserve">Oficio </t>
  </si>
  <si>
    <t>Consolidación de la Administración Pública de Resultados</t>
  </si>
  <si>
    <t>Control del Patrimonio y Normatividad</t>
  </si>
  <si>
    <t>Servicio de Reparación y Mantenimiento del Parque Vehicular</t>
  </si>
  <si>
    <t>Servicio</t>
  </si>
  <si>
    <t>Actualización de los resguardos del  Parque Vehicular.</t>
  </si>
  <si>
    <t>Gestión de tramites vehiculares ante autoridades federales y estatales.</t>
  </si>
  <si>
    <t>Modernización del catastro mexiquense</t>
  </si>
  <si>
    <t>Servicios e información catastral estatal y municipal</t>
  </si>
  <si>
    <t>Recepción de solicitudes de trámite catastral presentadas por la ciudadanía</t>
  </si>
  <si>
    <t>Solicitud</t>
  </si>
  <si>
    <t>Atención de las solicitudes de trámite catastral presentadas por la ciudadanía</t>
  </si>
  <si>
    <t>Programación para la realización de las diligencias de inspección y medición física de los predios</t>
  </si>
  <si>
    <t xml:space="preserve">Levantamiento topográficos catastrales de inmuebles realizados </t>
  </si>
  <si>
    <t>Plano</t>
  </si>
  <si>
    <t>Revaluación de cuentas catastrales a través del sistema cartográfico catastral</t>
  </si>
  <si>
    <t>Cuenta</t>
  </si>
  <si>
    <t xml:space="preserve">Área homogénea </t>
  </si>
  <si>
    <t>Asistencia jurídica al ejecutivo</t>
  </si>
  <si>
    <t>Asesoría jurídica al ayuntamiento</t>
  </si>
  <si>
    <t>Demandas en contra de la Administración Pública Municipal atendidas.</t>
  </si>
  <si>
    <t>Resoluciones jurídicas sujetas de derecho, conforme al marco jurídico, normativo y procedimental aplicable en la materia</t>
  </si>
  <si>
    <t>Vivienda para el bienestar</t>
  </si>
  <si>
    <t xml:space="preserve">Regularización de Predios </t>
  </si>
  <si>
    <t>Gestión para la regularización de los predios conforme al régimen jurídico urbano, realizada.</t>
  </si>
  <si>
    <t>Proteccion juridica y registro de los bienes inmuebles</t>
  </si>
  <si>
    <t>Control de la funcion registral</t>
  </si>
  <si>
    <t>Entrega de testamentos a los ciudadanos</t>
  </si>
  <si>
    <t xml:space="preserve">Testamento </t>
  </si>
  <si>
    <t>Integración de Expediente para tramite de testamento ante las Notarias que suscriban convenio</t>
  </si>
  <si>
    <t xml:space="preserve">Protección jurídica de las personas </t>
  </si>
  <si>
    <t>Asesoría jurídica para los mexiquenses</t>
  </si>
  <si>
    <t>Conformación de Comités de Administración en Unidades Habitacionales</t>
  </si>
  <si>
    <t>Comités</t>
  </si>
  <si>
    <t>Pláticas de Cultura Condominal a Conjuntos Habitacionales</t>
  </si>
  <si>
    <t>Platica</t>
  </si>
  <si>
    <t>Procedimientos de conciliación entre condóminos</t>
  </si>
  <si>
    <t>Capacitación a Administradores y Mesas Directivas</t>
  </si>
  <si>
    <t xml:space="preserve">Persona  </t>
  </si>
  <si>
    <t>Procedimientos Arbitrales iniciados</t>
  </si>
  <si>
    <t>Autorización de Libro de Actas de Comité de Administración en Unidades Habitacionales</t>
  </si>
  <si>
    <t>Libro</t>
  </si>
  <si>
    <t>Empleo</t>
  </si>
  <si>
    <t>Fomento y apoyo para el autoempleo</t>
  </si>
  <si>
    <t>Cursos de Auto empleo</t>
  </si>
  <si>
    <t xml:space="preserve">Colocación de trabajadores desempleados </t>
  </si>
  <si>
    <t>Colocación de Personas Desempleadas</t>
  </si>
  <si>
    <t xml:space="preserve">Persona    </t>
  </si>
  <si>
    <t>Ferias y Jornadas de Empleo</t>
  </si>
  <si>
    <t>Evento</t>
  </si>
  <si>
    <t>Modernización industrial y del comercio</t>
  </si>
  <si>
    <t xml:space="preserve">Fortalecimiento a la micro y pequeña empresa </t>
  </si>
  <si>
    <t>Licencia de funcionamiento</t>
  </si>
  <si>
    <t>Simplificación y modernización de la administración pública</t>
  </si>
  <si>
    <t>Sesión de la Comisión Municipal para la Mejora Regulatoria</t>
  </si>
  <si>
    <t>Operativos de inspección de Unidades Económicas</t>
  </si>
  <si>
    <t>Atención en Ventanilla Única</t>
  </si>
  <si>
    <t>Desarrollo integral del turísmo mexiquense</t>
  </si>
  <si>
    <t>Difusión y promoción del turismo mexiquense</t>
  </si>
  <si>
    <t>Eventos, Ferias y/o Actividades  de Difusión para el Turismo</t>
  </si>
  <si>
    <t>Promoción Artesanal</t>
  </si>
  <si>
    <t>Promoción y fomento artesanal para el desarrollo del Estado de México</t>
  </si>
  <si>
    <t>Ferias para la promoción artesanal</t>
  </si>
  <si>
    <t>Apoyo municipal a la educación básica</t>
  </si>
  <si>
    <t>Desfile del 16 de septiembre</t>
  </si>
  <si>
    <t>Reunión Estatal de Bibliotecarios</t>
  </si>
  <si>
    <t>Día de la Bandera</t>
  </si>
  <si>
    <t>Evento civico conmemorativo</t>
  </si>
  <si>
    <t>Apadrinamiento</t>
  </si>
  <si>
    <t>Fomento a la lectura</t>
  </si>
  <si>
    <t>Encuentro con el Magisterio</t>
  </si>
  <si>
    <t xml:space="preserve">Preparacion para examen media superior </t>
  </si>
  <si>
    <t>Alto Rendimiento Educativo de Media Superior</t>
  </si>
  <si>
    <t>Mantenimiento a Escuelas de Media Superior</t>
  </si>
  <si>
    <t>Educación superior</t>
  </si>
  <si>
    <t>Apoyo municipal a la educación superior</t>
  </si>
  <si>
    <t>Alto Rendimiento Educativo Superior</t>
  </si>
  <si>
    <t>Platicas informativas para el Niverl Superior</t>
  </si>
  <si>
    <t>Educación para adultos</t>
  </si>
  <si>
    <t>Alfabetización y educación básica para adultos</t>
  </si>
  <si>
    <t>Difusión y Certificación de Alfabetización</t>
  </si>
  <si>
    <t xml:space="preserve">Entrega de Certificados </t>
  </si>
  <si>
    <t>Formación para el trabajo</t>
  </si>
  <si>
    <t>Difusión de Cursos de Capacitación para adultos</t>
  </si>
  <si>
    <t xml:space="preserve">Capacitacion no formal para adultos </t>
  </si>
  <si>
    <t>Conservación del patrimonio público</t>
  </si>
  <si>
    <t>Infraestructura a las casas de cultura</t>
  </si>
  <si>
    <t>Cultura y arte</t>
  </si>
  <si>
    <t xml:space="preserve">Difusión y servicios culturales del Estado de México </t>
  </si>
  <si>
    <t>Presentación de elencos</t>
  </si>
  <si>
    <t>Exposiciones itinerantes</t>
  </si>
  <si>
    <t>Encuentros Culturales</t>
  </si>
  <si>
    <t>Reunión de Trabajo con Región III</t>
  </si>
  <si>
    <t>Narrativas Históricas</t>
  </si>
  <si>
    <t>Festivales de Temporada</t>
  </si>
  <si>
    <t xml:space="preserve">Visitando el Planetario </t>
  </si>
  <si>
    <t>Programa permanente de Pinta de Murales</t>
  </si>
  <si>
    <t>Talleres culturales</t>
  </si>
  <si>
    <t xml:space="preserve">Programa para la adquisicion de implementos basicos para el desarrollo de la funcion policial </t>
  </si>
  <si>
    <t>Acta</t>
  </si>
  <si>
    <t>Sesiones del consejo municipal de seguridad publica</t>
  </si>
  <si>
    <t>Celebración de sesiones del consejo Intermunicipal de Seguridad pública</t>
  </si>
  <si>
    <t>Coordinación Intergubernamental para la seguridad publica</t>
  </si>
  <si>
    <t>Operativo tránsito seguro</t>
  </si>
  <si>
    <t>Operativos Programa  Conduce sin Alcohol</t>
  </si>
  <si>
    <t>Sanciones Administrativas por Infringir el Reglamento de Tránsito Edo Méx</t>
  </si>
  <si>
    <t>Prueba</t>
  </si>
  <si>
    <t>Pruebas de Alcoholemia  en el Programa Conduce Sin Alcohol</t>
  </si>
  <si>
    <t>Mantenimiento de los dispositivos para el control de transito y educación vial</t>
  </si>
  <si>
    <t>Actividades culturales y deportivas con la comunidad</t>
  </si>
  <si>
    <t>Asesoría a mujeres en situaciones de violencia</t>
  </si>
  <si>
    <t>Atenciones ciudadanas por extravío o desaparición de personas</t>
  </si>
  <si>
    <t>Atenciones ciudadanas en materia de violencia familiar y de género</t>
  </si>
  <si>
    <t>Juicio</t>
  </si>
  <si>
    <t>Integración y seguimiento a Juicios Administrativos, ante diferentes órganos jurisdiccionales, locales y Federales en contra de la comisión de Honor y justicia de la dirección de Seguridad pública y Transito</t>
  </si>
  <si>
    <t>Recepción de expedientes derivado de quejas. Tarjetas informativas, redes sociales o denuncias anónimas, encontrar de los elementos que pertenecen a la DSPYT, así como la resolución de los mismos.</t>
  </si>
  <si>
    <t>Aplicación de Exámenes de Control de Confianza a personal en activo</t>
  </si>
  <si>
    <t>Registro ante el Sistema Nacional de Personal de Seguridad Pública, para la emisión del Certificado Único Policial.</t>
  </si>
  <si>
    <t>Capacitación a las fuerzas policiacas en diversos rubros de seguridad pública</t>
  </si>
  <si>
    <t>Publicaciones informativas a través de las cuentas  oficiales de redes sociales</t>
  </si>
  <si>
    <t>Análisis delictivo para la prevención y combate de los delitos de alto impacto</t>
  </si>
  <si>
    <t>Atlas de incidencia</t>
  </si>
  <si>
    <t>Actualización integral del atlas de la incidencia delictiva municipal</t>
  </si>
  <si>
    <t>Alerta</t>
  </si>
  <si>
    <t>Registro de llamadas de emergencia de la ciudadanía a través del Sistema SafetyNat Cad</t>
  </si>
  <si>
    <t>Informe de Incidencia Delictiva para poder determinar e implementar más operativos.</t>
  </si>
  <si>
    <t>Registro de delitos en el Sistema Nacional de detenciones de faltas administrativas.</t>
  </si>
  <si>
    <t>Registro de delitos en el Sistema Nacional de detenciones del fuero común y federal.</t>
  </si>
  <si>
    <t>Consulta</t>
  </si>
  <si>
    <t>Consulta de los datos generales de las personas y vehículos en el Sistema  Único de Investigación Criminal Estatal (SUICE)</t>
  </si>
  <si>
    <t xml:space="preserve">Consulta de los datos generales de las personas y vehículos en el sistema Único de Investigación Criminal (SUIC) </t>
  </si>
  <si>
    <t>Registro o captura del Informe Policial Homologado puestas a disposición ante el Ministerio Público</t>
  </si>
  <si>
    <t>Folio</t>
  </si>
  <si>
    <t>Generación de folios para realizar puestas a disposición ante el Ministerio Público y las oficialías calificadoras-conciliadoras por faltas administrativas.</t>
  </si>
  <si>
    <t>Tecnología, inteligencia e investigación para la prevención y combate al delito</t>
  </si>
  <si>
    <t>Dispositivo</t>
  </si>
  <si>
    <t>Dispositivos de Seguridad</t>
  </si>
  <si>
    <t>Operación y vigilancia para la seguridad y prevención del delito</t>
  </si>
  <si>
    <t>Protección civil y gestión integral del riesgo</t>
  </si>
  <si>
    <t>Concertación para la protección civil</t>
  </si>
  <si>
    <t xml:space="preserve">Comités vecinales  de protección civil conformados </t>
  </si>
  <si>
    <t>Comités escolares de protección civil conformados</t>
  </si>
  <si>
    <t>Simulacros realizados</t>
  </si>
  <si>
    <t>Acuerdos del Consejo Municipal de Protección Civil cumplidos</t>
  </si>
  <si>
    <t>Acuerdo</t>
  </si>
  <si>
    <t>Acuerdos del Consejo Municipal de Protección Civil registrados</t>
  </si>
  <si>
    <t>Capacitación integral y actualización para la protección civil</t>
  </si>
  <si>
    <t>Cursos de inducción a la protección civil</t>
  </si>
  <si>
    <t>Curso de Primeros auxilios</t>
  </si>
  <si>
    <t>Curso de Prevención y combate de incendios</t>
  </si>
  <si>
    <t>Curso taller para "evitar un niño quemado"</t>
  </si>
  <si>
    <t>Curso taller "prevención de accidentes en la escuela y el hogar dirigido a la población infantil"</t>
  </si>
  <si>
    <t>Promoción de la cultura de protección civil para evitar tirar basura en las calles.</t>
  </si>
  <si>
    <t>Difusión y comunicación para la protección civil</t>
  </si>
  <si>
    <t>Elaborar y distribuir trípticos informativos  con temas preventivos en materia de protección civil</t>
  </si>
  <si>
    <t>Tríptico</t>
  </si>
  <si>
    <t>Diseño, impresión y distribución de carteles informativos, de obligación y desastre en las escuelas del territorio municipal</t>
  </si>
  <si>
    <t>Cartel</t>
  </si>
  <si>
    <t>Valoración de riesgo en edificios públicos y privados, así como en zonas con riesgo geológico</t>
  </si>
  <si>
    <t>Verificación de medidas de seguridad en establecimientos comerciales, industriales y de servicios.</t>
  </si>
  <si>
    <t>Fumigación  en comunidades y escuelas</t>
  </si>
  <si>
    <t>Fumigación</t>
  </si>
  <si>
    <t>Estudios técnicos especializados en zonas de riesgo</t>
  </si>
  <si>
    <t>Estudios</t>
  </si>
  <si>
    <t>Mantenimiento a Alertas sísmicas 2025</t>
  </si>
  <si>
    <t>Identificación, sistematización y atlas de riesgos</t>
  </si>
  <si>
    <t>Actualización del Atlas Municipal de Riesgos en 2025</t>
  </si>
  <si>
    <t>Atlas de riesgo</t>
  </si>
  <si>
    <t>Zonas de riesgo protegidas</t>
  </si>
  <si>
    <t>Atención a emergencias por desastres naturales y antropogénicos</t>
  </si>
  <si>
    <t>Atención estimada de emergencias Urbanas (bomberos) en el territorio municipal</t>
  </si>
  <si>
    <t>Emergencia</t>
  </si>
  <si>
    <t>Atención estimada de emergencias prehospitalarias en el territorio municipal.</t>
  </si>
  <si>
    <t>Atención estimada de emergencias de alto impacto (rescate urbano) en el territorio municipal, que requieren de personal y equipo especializado.</t>
  </si>
  <si>
    <t>Programas emergentes</t>
  </si>
  <si>
    <t>Analíticos estadísticos de las contingencias por factores de riesgo.</t>
  </si>
  <si>
    <t>Actualización de los factores de riesgo  presentadas en 2025</t>
  </si>
  <si>
    <t>Proteccion de los ecosistemas forestales</t>
  </si>
  <si>
    <t>Elaboración o actualización de Planes Específicos de  prevención y combate de incendios</t>
  </si>
  <si>
    <t xml:space="preserve">Plan </t>
  </si>
  <si>
    <t>Cursos de capacitación a la población asentada en zonas con riesgo de incendios forestales</t>
  </si>
  <si>
    <t>Acciones preventivas en zonas de riesgo por incendios forestales (jornadas con la comunidad)</t>
  </si>
  <si>
    <t>Estimación de Atención de incendios forestales en el territorio municipal</t>
  </si>
  <si>
    <t>Incendio</t>
  </si>
  <si>
    <t>Diseño y distribución de trípticos</t>
  </si>
  <si>
    <t>Diseño y distribución de carteles informativos</t>
  </si>
  <si>
    <t xml:space="preserve">Igualdad de trato y oportunidades para la mujer y el hombre </t>
  </si>
  <si>
    <t>Coordinación institucional para la igualdad de género</t>
  </si>
  <si>
    <t>Campañas de dignificación para la igualdad de género</t>
  </si>
  <si>
    <t>Cultura de igualdad entre la mujer y el hombre; y población LGBTIQ+, para la prevención de la violencia de género</t>
  </si>
  <si>
    <t>Talleres de capacitación a servidores públicos en materia de prevención en violencia de género</t>
  </si>
  <si>
    <t>Campañas para atender la "Alerta de Violencia de Género contra las Mujeres"</t>
  </si>
  <si>
    <t>Pláticas de Prevención de Violencia de Género y Familiar</t>
  </si>
  <si>
    <t>Pláticas para el empoderamiento económico</t>
  </si>
  <si>
    <t>Inclusión económica para la igualdad de género</t>
  </si>
  <si>
    <t>Capacitación de la mujer para el trabajo</t>
  </si>
  <si>
    <t>Talleres de capacitación laboral</t>
  </si>
  <si>
    <t>Desarrollo institucional</t>
  </si>
  <si>
    <t xml:space="preserve">Dirigir y coordinar las actividades para la mejora continua que beneficien al sector publico </t>
  </si>
  <si>
    <t xml:space="preserve">Asesoramiento y apoyos a los Organismos Descentralizados </t>
  </si>
  <si>
    <t xml:space="preserve">Canalizacion de atencion al ciudadano </t>
  </si>
  <si>
    <t xml:space="preserve">Revision y actualizacion del contenido basico de manuales de organización que se apeguen a los criterios de la guía técnica </t>
  </si>
  <si>
    <t xml:space="preserve">Revision y actualizacion del contenido basico de manuales de procedimiento que se apeguen a los criterios de la guía técnica </t>
  </si>
  <si>
    <t xml:space="preserve">Revision y actualizacion de los organigramas de las dependencias municipales del Ayuntamiento </t>
  </si>
  <si>
    <t xml:space="preserve">Planeacion y evaluacion para el desarrollo municipal </t>
  </si>
  <si>
    <t>Asesorar y acompañar a las dependencias municipales para la elaboración de sus PBRM anuales operativos así como los trimestrales de seguimiento y evaluación.</t>
  </si>
  <si>
    <t>Capacitar a los enlaces de las dependencias municipales en temas vinculados con planeación y programación.</t>
  </si>
  <si>
    <t>Integración de formatos PBRM anuales  de cada dependencia.</t>
  </si>
  <si>
    <t>Elaborar reportes trimestrales de avance físico-financiero.</t>
  </si>
  <si>
    <t>Revisión trimestral de formatos 08b y 08c de avance de metas físicas</t>
  </si>
  <si>
    <t>Evaluaciones señaladas en el Programa Anual de Evaluación</t>
  </si>
  <si>
    <t>Elaborar reportes de avances del Plan de Desarrollo Municipal.</t>
  </si>
  <si>
    <t>Cuadernos estadísticos para la consulta pública sobre los datos cuantitativos del municipio.</t>
  </si>
  <si>
    <t>Registrar y actualizar bases de datos con información estadística de diversos tópicos que apoyarán los procesos de planeación, programación y evolución.</t>
  </si>
  <si>
    <t>Transparencia</t>
  </si>
  <si>
    <t>Vinculación ciudadana con la administración pública</t>
  </si>
  <si>
    <t>Dar atencion y seguimiento a las solicitudes ingresadas por la ciudadania a través del sistema de acceso a la informacion Mexiquense (SAIMEX)</t>
  </si>
  <si>
    <t>Integración y actualización de la Información Pública de Oficio ante el Sistema de Información Pública de Oficio Mexiquense (IPOMEX).</t>
  </si>
  <si>
    <t>Actualización de las Cedulas de Bases de Datos Personales en el Sistema INTRANET</t>
  </si>
  <si>
    <t>Capacitar a los enlaces de las áreas del Ayuntamiento en temas de transparencia y acceso a la información pública</t>
  </si>
  <si>
    <t>Protección jurídica de las personas</t>
  </si>
  <si>
    <t xml:space="preserve">Actualizacion y operación del registro civil </t>
  </si>
  <si>
    <t>Emitir copias certificadas de actas en las oficialías del Registro Civil aprovechando el uso de las tecnologías.</t>
  </si>
  <si>
    <t>Proporcionar las constancias de no registro de una forma más ágil a los solicitantes</t>
  </si>
  <si>
    <t>Supervisiones a las Oficialías del Registro Civil</t>
  </si>
  <si>
    <t>Incrementar el número de parejas que regularizan su estado civil mediante campañas de matrimonios masivos.</t>
  </si>
  <si>
    <t>Incrementar el número de parejas que regularicen su estatus jurídico y personalidad mediante campañas de registros extemporáneos</t>
  </si>
  <si>
    <t>Eventos de Matrimonios Masivos</t>
  </si>
  <si>
    <t>Tramitación del Pasaporte Ordinario Mexicano dentro del territorio Municipal</t>
  </si>
  <si>
    <t>Recepción de documentos para el trámite del pasaporte</t>
  </si>
  <si>
    <t>Traslado de los expedientes para el trámite de pasaporte en valija</t>
  </si>
  <si>
    <t>Entrega de pasaportes</t>
  </si>
  <si>
    <t>Atención Integral a la Mujer y Personas LGBTTTIQ+ en Situación de Violencia. Asesoría Jurídica</t>
  </si>
  <si>
    <t>Platicas de prevención de violencia a poblaciones LGBTTTIQ+</t>
  </si>
  <si>
    <t>Programa de apoyo LGBTTTIQ+</t>
  </si>
  <si>
    <t>Foros que promueva la defensa y protección de los derechos humanos de las poblaciones LGBTTTIQ+</t>
  </si>
  <si>
    <t>Talleres de capacitación laboral enfocado a poblaciones LGBTTTIQ+</t>
  </si>
  <si>
    <t>Proyectos productivos impulsados por las poblaciones LGBTTTIQ+</t>
  </si>
  <si>
    <t>Proyectos productivos</t>
  </si>
  <si>
    <t xml:space="preserve">Prevención médica </t>
  </si>
  <si>
    <t xml:space="preserve">Promoción de la salud </t>
  </si>
  <si>
    <t>Jornadas de salud permanentes de diversidad sexual y de género</t>
  </si>
  <si>
    <t>Talleres de capacitación a servidores públicos en materia de prevención de  salud integral a poblaciones LGBTTTIQ+</t>
  </si>
  <si>
    <t>Pláticas de prevención de salud sexual, reproductiva y salud integral a poblaciones LGBTTTIQ+</t>
  </si>
  <si>
    <t>Atención Integral a las poblaciones LGBTTTIQ+ en situación de Violencia, Asesoría Psicológica.</t>
  </si>
  <si>
    <t>Proyectos de inclusión financiera e igualdad salarial para la mujer</t>
  </si>
  <si>
    <t>Campaña de empoderamientos a pequeños comercios dentro de las poblaciones LGBTTTIQ+</t>
  </si>
  <si>
    <t>DIRECCION DE ADMINISTRACIÓN</t>
  </si>
  <si>
    <t>DIRECCION DE COMUNICACIÓN SOCIAL</t>
  </si>
  <si>
    <t>DIRECCIÓN DE MOVILIDAD URBANA</t>
  </si>
  <si>
    <t>DIRECCIÓN GENERAL DE SEGURIDAD CIUDADANA Y TRÁNSITO MUNICIPAL</t>
  </si>
  <si>
    <t>DIRECCIÓN DE SALUD</t>
  </si>
  <si>
    <t>INSTITUTO DE CULTURA</t>
  </si>
  <si>
    <t>DIRECCIÓN DE EDUCACIÓN</t>
  </si>
  <si>
    <t>COORDINACIÓN TÉCNICA DE GABINETE</t>
  </si>
  <si>
    <t>SECRETARÍA DE INNOVACIÓN GUBERNAMENTAL</t>
  </si>
  <si>
    <t>DIRECCIÓN DE DESARROLLO URBANO</t>
  </si>
  <si>
    <t>DIRECCIÓN DE OBRAS PÚBLICAS</t>
  </si>
  <si>
    <t>Reuniones con la comision para el  control y crecimiento urbano</t>
  </si>
  <si>
    <t>DIRECCION DE DIVERSIDAD SEXUAL</t>
  </si>
  <si>
    <t>DIRECCIÓN DEL INSTITUTO DE LA MUJERER E IGUALDAD DE GÉNERO</t>
  </si>
  <si>
    <t>SECRETARIA PARTICULAR</t>
  </si>
  <si>
    <t>COORDINACIÓN PARA EL RESCATE DE LA DIGNIDAD, LA IDENTIDAD Y EL TEJIDO SOCIAL</t>
  </si>
  <si>
    <t>COORDINACÓN DE PARTICIPACIÓN CIDUDADANA Y TERRITORIAL</t>
  </si>
  <si>
    <t xml:space="preserve"> </t>
  </si>
  <si>
    <t>DIRECCIÓN DE MEDIO AMBIENTE Y ECOLOGÍA</t>
  </si>
  <si>
    <t>Tarjetas de movilidad. (Para alumnos a nivel superior).</t>
  </si>
  <si>
    <t>Zapatos escolares-ortopedicos. (para niños y niñas de preescolar y primaria).</t>
  </si>
  <si>
    <t>Lentes con armazon (para niños y niñas de preescolar y primaria).</t>
  </si>
  <si>
    <t>Kit de mantenimiento a espacios publicos.</t>
  </si>
  <si>
    <t>Comedores comunitarios.</t>
  </si>
  <si>
    <t>Calentadores solares.</t>
  </si>
  <si>
    <t>Pintando tu fachada.</t>
  </si>
  <si>
    <t>Tarjeta</t>
  </si>
  <si>
    <t>Piezas</t>
  </si>
  <si>
    <t>Jornadas del Bienestar. (Actividades en apoyo a la ciudadania).</t>
  </si>
  <si>
    <t>Impartición de cursos  para el emprendimiento realizado en cdc</t>
  </si>
  <si>
    <t>Taller de mermeladas y conservas.</t>
  </si>
  <si>
    <t>Taller de ornatos.</t>
  </si>
  <si>
    <t>Unidad movil, en atención a personas en situación de calle.</t>
  </si>
  <si>
    <t>Limpiando tu entorno comunitario</t>
  </si>
  <si>
    <t>Certificación del personal que opera la Unidad en los Estándares de Competencia EC1057 y EC1171 a través del INFOEM</t>
  </si>
  <si>
    <t>Asesorías Jurídicas Impartidas</t>
  </si>
  <si>
    <t>Asesoría en beneficio de las niñas, niños y adolecentes</t>
  </si>
  <si>
    <t>Asistencia Jurídica otorgada a la población fundamendata y motivada</t>
  </si>
  <si>
    <t>Desarro conforme a derecho de acompañamientos jurídicpos a la población</t>
  </si>
  <si>
    <t>Difusión de Programas de Salud por medio de espectaculares mantas, lonas y /o bardas.</t>
  </si>
  <si>
    <t xml:space="preserve">Pláticas de promoción  de la salud proporcionadas en las comunidades. </t>
  </si>
  <si>
    <t>Elaboración y publicación de ilustrativos para la promoción de la salud y prevención de enfermedades vía electrónica.</t>
  </si>
  <si>
    <t>Promoción de la salud</t>
  </si>
  <si>
    <t>Prevención médica</t>
  </si>
  <si>
    <t>Capacitación a servidores públicos en materia de combate a la corrupción.</t>
  </si>
  <si>
    <t>Campaña de difusión en Materia de Anticorrupción.</t>
  </si>
  <si>
    <t>Capacitación</t>
  </si>
  <si>
    <t>Vigilar y consultar el padrón de sujetos obligados.</t>
  </si>
  <si>
    <t xml:space="preserve">Vigilar y consultar los movimientos de altas y bajas del sistema Backoffice Decl@raNET </t>
  </si>
  <si>
    <t>Atención de denuncias por posibles faltas administrativas, actos y hechos de corrupción.</t>
  </si>
  <si>
    <t>Campañas de difusión respecto del cumplimiento de obligaciones de los servidores públicos.</t>
  </si>
  <si>
    <t>Seguimiento de la declaración patrimonial y conflicto de intereses por parte de servidores públicos.</t>
  </si>
  <si>
    <t>Inicio de investigación por posibles faltas administrativas, actos y hechos de corrupción.</t>
  </si>
  <si>
    <t>Emisión de informe de Presunta Responsabilidad Administrativa (IPRA)</t>
  </si>
  <si>
    <t>Monitoreo del registro e inventario de los bienes a  cargo de las dependencias del Ayuntamiento.</t>
  </si>
  <si>
    <t>Supervisar el programa de cumplimiento de metas establecidas y alcanzadas por las áreas administrativas.</t>
  </si>
  <si>
    <t>Informe de seguimiento de obra pública.</t>
  </si>
  <si>
    <t>Capacitación a integrantes COCICOVIS</t>
  </si>
  <si>
    <t>DIRECCIÓN DE CONSEJERÍA JURÍDICA</t>
  </si>
  <si>
    <t>Audiencia pública y consulta popular</t>
  </si>
  <si>
    <t>Audiencia al público para tratar diversos asuntos, en desahogo de la agenda de la Presidenta Municipal.</t>
  </si>
  <si>
    <t>Atender peticiones menores realizadas a la Presidenta Municipal mediante las redes sociales.</t>
  </si>
  <si>
    <t>Atender peticiones realizadas a la Presidente Municipal mediante sus giras.</t>
  </si>
  <si>
    <t>Atender peticiones entregadas a la Presidenta Municipal mediante ingreso a Oficialía de Partes.</t>
  </si>
  <si>
    <t>Petición por Oficialía</t>
  </si>
  <si>
    <t>Jovenes Con Honestidad por el Cambio</t>
  </si>
  <si>
    <t>Persona</t>
  </si>
  <si>
    <t>Proponer con herramientas gratuitas la digitalización de los trámites</t>
  </si>
  <si>
    <t>Proponer Reducir la Burocracia en Atención Ciudadana</t>
  </si>
  <si>
    <t>Capacitación del 100% del Personal Administrativo</t>
  </si>
  <si>
    <t>Optimización de la Estructura Organizacional</t>
  </si>
  <si>
    <t xml:space="preserve">Implementación de un Portal de Gobierno Abierto	</t>
  </si>
  <si>
    <t>Incremento en la Interacción Ciudadana Digital</t>
  </si>
  <si>
    <t>Proponer reingeniería organizacional</t>
  </si>
  <si>
    <t>Trámite</t>
  </si>
  <si>
    <t>Elaboración de proyecto de modificación de valores unitarios de suelo para el ejercicio fiscal 2025, (Áreas Homogéneas y bandas de valor)</t>
  </si>
  <si>
    <t>Reportes de servicios de areas</t>
  </si>
  <si>
    <t>Mantenimiento preventivo de equipos de computo</t>
  </si>
  <si>
    <t>Reportes de servicios de RED</t>
  </si>
  <si>
    <t>Reportes de servicios de telefonia</t>
  </si>
  <si>
    <t>Mantenimiento de servidores</t>
  </si>
  <si>
    <t>Implementación de herramientas de desarrollo</t>
  </si>
  <si>
    <t>Actualización de entornos de desarrollo en proceso</t>
  </si>
  <si>
    <t>Publicacion de redes sociales</t>
  </si>
  <si>
    <t>Parrilla de contenido</t>
  </si>
  <si>
    <t>Documentación de aplicaciones</t>
  </si>
  <si>
    <t>Respaldos de bases de datos</t>
  </si>
  <si>
    <t>Mantenimiento pagina WEB</t>
  </si>
  <si>
    <t>Mantenimiento de correos electronicos</t>
  </si>
  <si>
    <t>Talleres de capacitación en igualdad de género a servidores públicos</t>
  </si>
  <si>
    <t>Campañas de difusión y sencibilización en igualdad de género</t>
  </si>
  <si>
    <t>Pláticas de igualdad de género</t>
  </si>
  <si>
    <t>Taller para impartir platicas de sencibilizacion de genero</t>
  </si>
  <si>
    <t>Atención Integral a la Mujer en situación de violencia, Atención Jurídica</t>
  </si>
  <si>
    <t>Atención Integral a la mujer en situación de violencia, Atención Psicológica</t>
  </si>
  <si>
    <t>Remodelación y equipamiento de las casas de la mujer</t>
  </si>
  <si>
    <t>Escuela de manejo para mujeres</t>
  </si>
  <si>
    <t>Capacitacion y actualizacion del personal de la Dirección de Movilidad Urbana.</t>
  </si>
  <si>
    <t>Realizar acciones de mantenimiento corecctivo y preventivo de los dispositivos de control de transito.</t>
  </si>
  <si>
    <t>Elaboración del Programa Anual de Auditoría Financiera.</t>
  </si>
  <si>
    <t>Ejecutar auditorías administrativas.</t>
  </si>
  <si>
    <t>Recomendaciones o pliego de observaciones administrativas emitidas por dependencias externas.</t>
  </si>
  <si>
    <t>Elaboración del Programa Anual de Auditoría Administrativa.</t>
  </si>
  <si>
    <t>Recomendaciones o pliego de observaciones financieras emitidas por dependencias externas.</t>
  </si>
  <si>
    <t>Ejecutar auditoría Financieras</t>
  </si>
  <si>
    <t>Supervisar el programa de cumplimiento de metas establecidas y alcanzadas en áreas financieras.</t>
  </si>
  <si>
    <t>Recomendaciones o pliego de observaciones de obra emitidas por dependencias externas.</t>
  </si>
  <si>
    <t>Elaboración del Programa Anual de Auditoría de Obra Pùblica.</t>
  </si>
  <si>
    <t>Ejecutar auditorías de Obra Publica</t>
  </si>
  <si>
    <t>Supervisar el programa de cumplimiento de metas establecidas y alcanzadas  en Obra Pública</t>
  </si>
  <si>
    <t>Apoyo a la comunidad a través de Construcción de Banquetas en vialidades.</t>
  </si>
  <si>
    <t>Apoyo a la comunidad a través de Construcción de Guarniciones en vialidades.</t>
  </si>
  <si>
    <t>Apoyo a la comunidad a través de Repavimentación de Vialidades.</t>
  </si>
  <si>
    <t>Repavimentación de Vialidades.</t>
  </si>
  <si>
    <t>Crear una base de datos en Sistemas de informacion Geografica de los aspectos de movilidad en Ecatepec asi como principales nodos y corredores Urbanos.</t>
  </si>
  <si>
    <t>Educación vial en espacios públicos y fomento a los medios de movilidad sustentable no contaminantes.</t>
  </si>
  <si>
    <t>Inspeccion a actividades de carga y descarga asi como emision de visto bueno al uso de vialidades.</t>
  </si>
  <si>
    <t>Programa de capacitación y actualización para la sincronización y diagnóstico de semáforos viales.</t>
  </si>
  <si>
    <t>Programa de atencion ciudadana y atencion a quejas.</t>
  </si>
  <si>
    <t>Mantenimiento</t>
  </si>
  <si>
    <t>Plazas cívicas y jardines rehabilitados.</t>
  </si>
  <si>
    <t>Apoyo a la comunidad a través de Pavimentación de Calles.</t>
  </si>
  <si>
    <t>Pavimentación de calles.</t>
  </si>
  <si>
    <t>Construcción y ampliación de edificaciones urbanas.</t>
  </si>
  <si>
    <t>Rehabilitación de edificaciones urbanas.</t>
  </si>
  <si>
    <t>Control y supervisión de obras públicas reportados en los informes.</t>
  </si>
  <si>
    <t>Mantenimiento al sistema de alumbrado público municipal.</t>
  </si>
  <si>
    <t>01</t>
  </si>
  <si>
    <t>03</t>
  </si>
  <si>
    <t>09</t>
  </si>
  <si>
    <t>02</t>
  </si>
  <si>
    <t>05</t>
  </si>
  <si>
    <t>08</t>
  </si>
  <si>
    <t>06</t>
  </si>
  <si>
    <t>04</t>
  </si>
  <si>
    <t>07</t>
  </si>
  <si>
    <t>Proyectos productivos para el desarrollo de la mujer</t>
  </si>
  <si>
    <t>Apoyo social para el empoderamiento y bienestar económico de la mujer</t>
  </si>
  <si>
    <t>Mitigación del impacto de fenómenos perturbadores</t>
  </si>
  <si>
    <t>Vialidades urbanas</t>
  </si>
  <si>
    <t>Electrificación urbana</t>
  </si>
  <si>
    <t>Vinculación, participación, prevención del delito y denuncia social</t>
  </si>
  <si>
    <t>Formación profresional especializada para personas servidoras públicas de instituciones de seguridad pública</t>
  </si>
  <si>
    <t xml:space="preserve">Acciones del programa  nacional de seguridad pública </t>
  </si>
  <si>
    <t>Conservación, restauración y difusión del patrimonio cultural</t>
  </si>
  <si>
    <t>Oportunidades para los adolescente y jóvenes</t>
  </si>
  <si>
    <t>Promoción del bienestar adolescente y juvenil</t>
  </si>
  <si>
    <t>Atención y reducción del embarazo adolescente</t>
  </si>
  <si>
    <t>Conducción de las políticas de gobierno</t>
  </si>
  <si>
    <t>Obejetivo</t>
  </si>
  <si>
    <t>Propuesta de Objetivo para el PDM 2025</t>
  </si>
  <si>
    <t>Metas</t>
  </si>
  <si>
    <t>Qué podemos aprovechar</t>
  </si>
  <si>
    <t>Qué temas podemos atender</t>
  </si>
  <si>
    <t>Incluye todos los procesos necesarios para que los ayuntamientos desarrollen los trabajos para creación, rediseño, actualización, publicación y difusión de la reglamentación municipal.</t>
  </si>
  <si>
    <t>Se orienta al cumplimiento de las atribuciones municipales contenidas en la Ley de Justicia Cívica del Estado de México y Municipios, así como la Ley de Mediación, Conciliación y Promoción de la 
Paz Social para el Estado de México, vigentes</t>
  </si>
  <si>
    <t>Comprende el conjunto de actividades y herramientas para coadyuvar a que la actuación de los servidores públicos sea eficaz, eficiente y transparente, a fin de generar resultados con apego a los principios de legalidad, objetividad, profesionalismo, honradez, lealtad, imparcialidad, eficiencia, eficacia, equidad, transparencia, economía, integridad, que permiten la toma de decisiones sobre la aplicación de los recursos públicos con el objeto de mejorar la calidad del gasto público y la rendición de cuentas.</t>
  </si>
  <si>
    <t>Ejercer un gobierno democrático que impulse la participación social y ofrezca servicio de calidad en el marco de legalidad y justicia, para elevar las condiciones de vida en la población</t>
  </si>
  <si>
    <t>Conjunto de acciones para el fortalecimiento de la certeza jurídica, edificando una alianza entre los distintos órdenes de gobierno y la población, a fin de consolidar una cultura de legalidad que impacte en la prevención del delito.</t>
  </si>
  <si>
    <t>Tiene por objeto integrar los recursos financieros presupuestales para el pago de adeudos que no fueron cubiertos en ejercicios anteriores.</t>
  </si>
  <si>
    <t>Integra los proyectos orientados a proteger, defender y garantizar los derechos humanos de todas las personas que se encuentren en cada territorio municipal, sin discriminación por condición alguna y fomentar la cultura de los derechos humanos para promover el respeto y la tolerancia entre los individuos en todos los ámbitos de la interrelación social apoyando a las organizaciones sociales que impulsan estas actividades</t>
  </si>
  <si>
    <t>Engloba los proyectos orientados a proteger, defender y garantizar los derechos humanos de todas las personas que se encuentren en cada territorio municipal, sin discriminación por condición alguna y fomentar la cultura de los derechos humanos para promover el respeto y la tolerancia entre los individuos en todos los ámbitos de la interrelación social apoyando a las organizaciones sociales que impulsan estas actividades.</t>
  </si>
  <si>
    <t>Implementar y consolidar procesos innovadores, significativamente mejorados, así como nuevos métodos organizacionales y de relaciones públicas en la administración pública del Gobierno Municipal, con el propósito de optimizar la eficiencia gubernamental, fortalecer la transparencia y mejorar la calidad de los servicios brindados a la ciudadanía.</t>
  </si>
  <si>
    <t>Incluye las acciones que favorezcan  el desarrollo de un gobierno democrático que impulse la participación social y ofrezca servicio de calidad en el marco de legalidad y justicia, para elevar las condiciones de vida de la población.</t>
  </si>
  <si>
    <t>Comprende el conjunto de actividades y herramientas para colaborar a que la actuación de los servidores públicos sea eficiente y transparente, a fin de generar resultados con apego a los principios de legalidad, objetividad, profesionalismo, honradez, lealtad, imparcialidad, eficiencia, eficacia, equidad, transparencia, economía, integridad, que permiten la toma de decisiones sobre la aplicación de los recursos públicos con el objeto de mejorar la calidad del gasto público y la rendición de cuentas</t>
  </si>
  <si>
    <t>Se refiere a la obligación que tiene el sector público en el ejercicio de sus atribuciones para generar un ambiente de confianza, seguridad y franqueza, de tal forma que se tenga informada a la ciudadanía sobre las responsabilidades, procedimientos, reglas, normas y demás información que se genera en el sector, en un marco de abierta participación social y escrutinio público; así como garantizar la protección de sus datos personales en posesión de los sujetos obligados.</t>
  </si>
  <si>
    <t xml:space="preserve">Incluye los proyectos encaminados a promover la difusión y desarrollo de las diferentes manifestaciones culturales y artísticas,    </t>
  </si>
  <si>
    <t xml:space="preserve">Incluye los proyectos encaminados a promover la difusión y desarrollo de las diferentes manifestaciones culturales y artísticas,  </t>
  </si>
  <si>
    <t>Integra las acciones encaminadas a atender las necesidades de desarrollo integral, a través de orientación de los temas relacionados con la economía juvenil, el desarrollo comunitario, prevención de adicciones, sexualidad, planificación familiar y salud mental entre los jóvenes mexiquenses.</t>
  </si>
  <si>
    <t>Comprende acciones de participación y expresión juvenil a través del reconocimiento y difusión de las actividades culturales y sociales emprendidas por los jóvenes, que permitan la inclusión de los conocimientos y habilidades</t>
  </si>
  <si>
    <t>Comprende las acciones enfocadas a difundir, asistir y prevenir el embarazo en los adolescentes en la sociedad, concientizándolos en la afectación del embarazo no deseado, por temas de salud, educación, proyecto de vida, relaciones sociales y culturales, así como en la economía</t>
  </si>
  <si>
    <t>Incluye acciones de promoción, prevención y difusión de la salud pública para contribuir a la disminución de enfermedades y mantener un buen estado de salud de la población municipal.</t>
  </si>
  <si>
    <t>Se orienta a la coordinación de acciones que permitan eficientar los mecanismos en materia de seguridad pública con apego a la legalidad que garantice el logro de objetivos gubernamentales.</t>
  </si>
  <si>
    <t>Incluye los proyectos orientados a combatir la inseguridad pública con estricto apego a la ley para erradicar la impunidad y la corrupción, mediante la profesionalización de los cuerpos de seguridad, modificando los métodos y programas de estudio para humanizarlos, dignificarlos y hacerlos más eficientes, aplicando sistemas de reclutamiento y selección confiable y riguroso proceso estandarizado de evaluación, así como promover la participación social en acciones preventivas del delito.</t>
  </si>
  <si>
    <t>Conjunto articulado e interrelacionado de acciones, para el manejo integral de residuos sólidos, desde su generación hasta la disposición final, a fin de lograr beneficios ambientales, la optimización económica de su manejo y la aceptación social para la separación de los mismos, proporcionando una mejor calidad de vida de la población.</t>
  </si>
  <si>
    <t>Acciones enfocadas para otorgar a la población la infraestructura de energía eléctrica e iluminación de espacios de libre circulación, fomentando la utilización de tecnologías avanzadas en los sistemas 
de alumbrado público y energía eléctrica para alcanzar un desarrollo sostenible y mitigar los impactos del cambio climático.</t>
  </si>
  <si>
    <t>Se refiere al conjunto de acciones que se llevan a cabo para la modernización y rehabilitación de plazas, jardines públicos, centros comerciales y demás infraestructura en donde se presten servicios comunales, contando con la participación de los diferentes niveles de gobierno incluyendo la iniciativa privada.</t>
  </si>
  <si>
    <t>Incluye las acciones municipales y aquellas que son coordinadas con el Gobierno Estatal que apoyan la implementación y  actualización de instrumentos administrativos, asimismo incorpora aquellas necesarias para la conservación de los panteones, con el propósito de ofertar un servicio de calidad.</t>
  </si>
  <si>
    <t>Incorpora los proyectos que fomentan al uso de tecnologías que mejoren la calidad de los servicios de electrificación; así como la habitabilidad, seguridad e higiene de la vivienda social, para hacerla económica y ambientalmente sustentable, privilegiando en la atención de las comunidades que carecen del servicio.</t>
  </si>
  <si>
    <t>Incluye aquellas acciones dirigidas a atender la demanda actual y el rezago en el servicio eléctrico domiciliario; así mismo, mejorar la calidad del servicio eléctrico en aquellas zonas donde se presentan deficiencias, y promover la creación de comités pro- electrificación, con el fin de agilizar y dar seguimiento hasta su conclusión de los trámites ante las instancias responsables de la introducción del servicio.</t>
  </si>
  <si>
    <t>Contiene el conjunto de acciones encaminadas a fortalecer el equipamiento e infraestructura urbana en el municipio, mediante la rehabilitación de las vialidades urbanas existentes.</t>
  </si>
  <si>
    <t xml:space="preserve">Comprender el conjunto de acciones orientadas al desarrollo de proyectos que contribuyan a la prevención, conservación, protección, saneamiento y restauración de los ecosistemas, con la finalidad de garantizar la permanencia de la biodiversidad en los municipios del Estado de México, así como fomentar la educación ambiental, el manejo de áreas verdes y arbolado en zonas urbanas. </t>
  </si>
  <si>
    <t>Consiste en impartir pláticas, cursos, simulacros y talleres de carácter preferentemente preventivo para proporcionar conocimientos y habilidades básicas a la población del municipio, para actuar de manera adecuada, en forma preventiva, ante la probable ocurrencia de un fenómeno perturbador, así como capacitar de manera específica a individuos que les permita impulsar la cultura de la prevención y salvaguarda de las personas y sus bienes, así como mantener el funcionamiento de los servicios públicos y el equipamiento estratégico en el caso de riesgo, siniestro o desastre.</t>
  </si>
  <si>
    <t>Contiene acciones que promueven la participación de los sectores público, social y privado en el fomento a la cultura de la protección civil, a través de acuerdos que permitan lograr que se genere en 
la población hábitos y conductas de autoprotección y conciencia de corresponsabilidad.</t>
  </si>
  <si>
    <t>Comprende actividades para difundir las medidas de prevención, para saber cómo actuar antes, durante y después de un desastre natural o siniestro, mediante los medios masivos electrónicos e 
impresos para fomentar con esto, una cultura de protección civil entre la población.</t>
  </si>
  <si>
    <t>Incluye  las acciones para recopilar, integrar y analizar la información que permita la identificación y determinación de las condiciones de riesgo existentes o potenciales, por posibles fenómenos naturales o antropogénicos en inmuebles destinados al desarrollo de actividades industriales, comerciales y de servicio, incorpora el manejo de sustancias explosivas que impacten el desarrollo de proyectos o a la población, con la finalidad de proteger la integridad física de las personas, el entorno y sus bienes, trabajando coordinadamente con los sectores públicos, privado y social, así como elaborar programas de protección civil.</t>
  </si>
  <si>
    <t>Agrupa las acciones enfocadas al levantamiento, sistematización y análisis de información cartográfica y estadística sobre los agentes perturbadores, afectable y regulador, tendientes a una eficiente y eficaz gestión integral del riesgo en el municipio.</t>
  </si>
  <si>
    <t>Comprende las acciones enfocadas al auxilio, recuperación y reconstrucción para hacer frente oportunamente a las emergencias y desastres para salvaguardar la integridad física de la población y sus bienes, a través de la coordinación de instancias de los diferentes órdenes de gobierno, los sectores social y privado, así como los mecanismos de comunicación para la localización de personas e información meteorológica.</t>
  </si>
  <si>
    <t>Comprende las acciones orientadas a la modernización y optimización del servicio transporte terrestre, a través de la coordinación intergubernamental para la organización técnica oportuna y racional que contribuya a la eficiencia y calidad en la prestación del servicio de transporte público.</t>
  </si>
  <si>
    <t>Incluye las acciones para ordenar y regular el crecimiento urbano municipal vinculándolo a un desarrollo regional sustentable, replanteando los mecanismos de planeación urbana y fortaleciendo el papel del municipio como responsable de su planeación y operación.</t>
  </si>
  <si>
    <t xml:space="preserve">Se refiere al conjunto de acciones que se llevan a cabo para la modernización y rehabilitación de plazas, jardines públicos, centros comerciales y demás infraestructura en donde se presten servicios comunales, contando con la participación de los diferentes niveles de gobierno incluyendo la iniciativa privada. </t>
  </si>
  <si>
    <t>Conjunto de acciones para el fortalecimiento de la certeza jurídica una alianza entre los distintos órdenes de gobierno y la población, a fin de consolidar una cultura de legalidad que impacte en la prevención del delito</t>
  </si>
  <si>
    <t>COMPREMDE TODAS LAS ACCIONES ORIENTADAS AL FORTALECIMIENTO Y MEJORA DE LOS PROCEDIMIENTOS REGULATORIOS Y CONDUCTOS LEGALES ESTABLECIDOS, QUE INFLUYAN DIRECTAMENTE EN LA GARANTÍA JURÍDICA DEL GOBIERNO Y LA SOCIEDAD</t>
  </si>
  <si>
    <t>Engloba los proyectos para promover en todos los ámbitos sociales la igualdad sustantiva desde una perspectiva de género como una condición necesaria para el desarrollo integral de la sociedad, en igualdad de condiciones, oportunidades, derechos y obligaciones</t>
  </si>
  <si>
    <t>Desarrollar acciones enfocadas a disminuir las barreras para la inclusión de la mujer en la actividad económica del municipio que permitan el pleno ejercicio de sus derechos laborales, fomentando valores de igualdad de género, para construir una relación de respeto e igualdad social</t>
  </si>
  <si>
    <t>Conjunto de acciones para el formtalecimiento de la seguridad pública municipal, edificando una alianza entre los distintos órdenes de gobierno y la población, a fin de consolidad una cultura de legalidad que impacten en la prevención del delito.</t>
  </si>
  <si>
    <t xml:space="preserve">Incluye el quehacer gubernamental para impulsar el desarrollo integral de los pueblos indígenas con la participación social y el respeto a sus costumbres y tradiciones. </t>
  </si>
  <si>
    <t>Incluye las políticas públicas orientadas al fortalecimiento de la gobernanza democrática, la modernización de la participación  social organizada, contando con mecanismos técnicos para la solución de los problemas actuales en los diversos ámbitos de la agenda pública.</t>
  </si>
  <si>
    <t>Incorporar las acciones orientadas a la realización de acciones de apoyo al estado democrático con la participación ciudadana y la consolidación del estado de derecho y la justicia social, propiciando una cultura política.</t>
  </si>
  <si>
    <t>Realizar acciones tendientes al mejoramiento de los servicios de Educación en los diferentes sectores de la población en sus niveles inicial, preescolar, primaria y secundaria conforme a los programas de estudios establecidos en el plan y programas autorizados por la SEP, fortaleciendo la formación, actualización, capacitación y profesionalización de docentes y administrativos en concordancia con las necesidades del proceso educativo.</t>
  </si>
  <si>
    <t>Realizar acciones de apoyo tendientes a mejorar los servicios de Bachillerato general y Tecnológico en las Modalidades escolarizada, no Escolarizada, Mixto, a Distancia y abierto, conforme a los programas de Estudio establecidos en el Plan y Programas autorizados por la SEP, fortaleciendo la formación, Actualización, Capacitación y Profesionalización de Docentes y Administrativos en concordancia con las necesidades del proceso Educativo.</t>
  </si>
  <si>
    <t>Incluye las acciones de apoyo tendientes a mejorar la atención a la demanda educativa del tipo superior, tecnológica, universitaria, a distancia y formación docente, en las modalidades escolarizada, no escolarizada , abierta, a distancia y mixta, con programas de estudio de calidad basados en competencias profesionales acordes a las necesidades del sector productivo, público y social; fortaleciendo la formación, actualización, capacitación y profesionalización de docentes y administrativos, con la finalidad de formar profesionales con conocimientos científicos, tecnológicos y humanísticos.</t>
  </si>
  <si>
    <t>Incluye los proyectos tendientes a incrementar programas que ofrezcan a la población adulta con rezago educativo o desempleo oportunidades para concluir la educación básica, así como capacitarse para incorporarse al mercado laboral.</t>
  </si>
  <si>
    <t>Incluye acciones de promoción, prevención y difusión de la salud pública para contribuir a la disminución de enfermedades y mantener un buen estado de salud de la población LGBTTTIQ+</t>
  </si>
  <si>
    <t xml:space="preserve">Promover, impulsar y llevar a cabo acciones de capacitación a integrantes de las poblaciones LGBTTTIQ+ para su inserción en el mercado laboral, que generen mejoras en su ingreso.    </t>
  </si>
  <si>
    <t>Incorpora las actividades enfocadas a promover, fomentar y consolidar la igualdad de derechos entre hombres y mujeres; y población LGBTIQ+, mediante acciones que permitan ejercer sus derechos, impulsando valores de convivencia, ayuda mutua y no discriminación.</t>
  </si>
  <si>
    <t xml:space="preserve">Promover, impulsar y llevar a cabo acciones de capacitación a integrantes de las poblaciones LGBTTTIQ+ para su inserción en el mercado laboral, que generen mejoras en su ingreso.      </t>
  </si>
  <si>
    <t>Acciones enfocadas para otorgar a la población la infraestructura de energía eléctrica e iluminación de espacios de libre circulación, fomentando la utilización de tecnologías avanzadas en los sistemas de alumbrado público y energía eléctrica para alcanzar un desarrollo sostenible y mitigar los impactos del cambio climático.</t>
  </si>
  <si>
    <t xml:space="preserve">Comprende las acciones de apoyo tendientes a mejorar los servicios de bachillerato general y tecnológico en las modalidades escolarizada, no escolarizado, mixto, a distancia y abierto, conforme a los programas de estudio establecidos en el plan y programas autorizados por la SEP, con el objeto de fortalecer la formación, actualización, capacitación y profesionalización de docentes y administrativos en concordancia con las necesidades del proceso educativo. </t>
  </si>
  <si>
    <t>Engloba las acciones de apoyo tendientes al mejoramiento de los servicios de educación en los diferentes sectores de la población en sus niveles inicial, preescolar, primaria y secundaria conforme a los programas de estudio establecidos en el Plan y programas autorizados por la SEP, asimismo incluye las acciones de apoyo para el fortalecimiento de la formación, actualización, capacitación y profesionalización de docentes y administrativos en concordancia con las necesidades del proceso educativo.</t>
  </si>
  <si>
    <t>Incluye las acciones para ordenar y regular el crecimiento urbano municipal vinculandolo a un desarrollo regional sustentable, replanteando los mecanismos de planeación urbana, fortaleciendo el papel del municipio en la materia como responsable de la planeación y ejecución de la obra pública que permita aumentar y mejorar las condiciones de la infraestructura urbana y vial en beneficio de los habitantes.</t>
  </si>
  <si>
    <t>Considera el conjunto de procedimientos que se llevan a cabo para el tratamiento de aguas residuales y saneamiento de redes de drenaje y alcantarillado, manteniendo en condiciones adecuadas la infraestructura para proporcionar una mejor calidad de servicios a la población.</t>
  </si>
  <si>
    <t>Engloba el conjunto de acciones encaminadas al desarrollo de proyectos que propicien en la población el cuidado y manejo eficiente del agua, procurando la conservación del vital líquido para otorgar este servicio con calidad.</t>
  </si>
  <si>
    <t>Comprende las líneas de acción destinadas al apoyo de la investigación científica básica y aplicada, promoviendo el desarrollo del conocimiento científico.</t>
  </si>
  <si>
    <t>Incluye las acciones orientadas a la producción de árboles en cantidad y calidad, de las especies que se requieren para abastecer los programas de forestación, reforestación y plantaciones forestales comerciales; considerando asegurar la disponibilidad de semilla para la producción de la planta y su mantenimiento hasta lograr la talla óptima para su salida a plantación, llevando a cabo los procesos de riego fertilización, deshierbe, prevención y combate de plagas, enfermedades y control de las heladas.</t>
  </si>
  <si>
    <t>Comprende el conjunto de acciones orientadas al desarrollo de proyectos que contribuyan a la prevención, conservación, protección, saneamiento y restauración de los ecosistemas, con la finalidad de garantizar la permanencia de la biodiversidad en los municipios del Estado de México, así como fomentar la educación ambiental, el manejo de áreas verdes y arbolado en zonas urbanas.</t>
  </si>
  <si>
    <t>Comprende el conjunto de acciones orientadas al desarrollo de proyectos que contribuyan a la prevención, conservación, protección, saneamiento y restauración de los ecosistemas, con la finalidad de garantizar la permanencia de la biodiversidad en los municipios del Estado de México, así como fomentar la educación ambiental, el manejo de áreas verdes y arbolado en zonas urbanas</t>
  </si>
  <si>
    <t>Considera acciones relacionadas con la protección, conservación y restauración del equilibrio ambiental, la mitigación de los contaminantes atmosféricos para mejorar la calidad del aire, así como la gestión integral de los residuos sólidos, el fomento de la participación ciudadana y la promoción de la educación ambiental en todos los sectores de la sociedad, orientadas a promover el desarrollo sustentable en el municipio y el combate al cambio climático en el Estado de México.</t>
  </si>
  <si>
    <t>Establece las bases para la coordinación y gobernanza metropolitana con los tres órdenes de gobierno para impulsar acciones encaminadas al desarrollo sostenible y sustentable de las Zonas 
Metropolitanas de la Entidad, a través de los mecanismos, instrumentos e instancias establecidas en las disposiciones normativas en la materia</t>
  </si>
  <si>
    <t>Engloba las actividades orientadas a promover y fomentar la adquisición, construcción y mejoramiento de la vivienda en beneficio de la población de menores ingresos, para abatir el rezago existente, y que ésta sea digna y contribuya al mejoramiento de la calidad de vida y al desarrollo e integración social de las comunidades.</t>
  </si>
  <si>
    <t>Contempla las acciones encaminadas a fortalecer la infraestructura urbana en el municipio, mediante el equipamiento de las vialidades urbanas existentes.</t>
  </si>
  <si>
    <t>Agrupa los proyectos destinados a preservar y fomentar las expresiones artesanales municipales e impulsar su creatividad, diseño, producción y comercialización en el mercado local, nacional e internacional, a fin de mejorar el nivel de vida de los artesanos y grupos étnicos.</t>
  </si>
  <si>
    <t>Implementar actividades y herramientas para coadyuvar a que la actuación de los servidores públicos sea eficaz, eficiente y transparente, a fin de generar resultados con apego a los principios de legalidad, objetividad, profesionalismo, honradez, lealtad, imparcialidad, eficiencia, eficacia, equidad, transparencia, economía, integridad, que permiten la toma de decisiones sobre la aplicación de los recursos públicos con el objeto de mejorar la calidad del gasto público y la rendición de cuentas.</t>
  </si>
  <si>
    <t>Implementar proyectos que lleva a cabo el Gobierno Municipal para impulsar la inversión social y privada que incremente la calidad de los servicios turísticos, desarrollando nuevos destinos altamente competitivos que generen ingresos y empleo para la población, a través de acciones tendientes a mejorar, diversificar y consolidar la oferta de infraestructura turística con una regulación administrativa concertada con los prestadores de servicios.</t>
  </si>
  <si>
    <t>Desarrollar proyectos dirigidos a dinamizar el empleo en territorio municipal, fomentando el desarrollo de la planta productiva, aumentar la oportunidad de empleo, vinculando su oferta y demanda, y garantizar que la población económicamente activa disfrute de las mismas condiciones de empleo, remuneración y oportunidades sin discriminación alguna, mediante la formación de los recursos humanos para el trabajo.</t>
  </si>
  <si>
    <t>Agrupa los proyectos orientados a fomentar una cultura empresarial que asegure al desarrollo del comercio y la modernización industrial para proyectar y atraer inversión productiva extranjera, nacional y local con fuerte impulso de las exportaciones, donde las cadenas productivas concreten el fortalecimiento de las micro, pequeñas, medianas y grandes empresas con absoluto apego a la normatividad aplicable y respeto al medio ambiente.</t>
  </si>
  <si>
    <t>Difundir los valores y principios de gobierno, promoviendo la cultura de la información transparente y corresponsable entre gobierno, medios y sectores sociales, con pleno respeto a la libertad de expresión y mantener informada a la sociedad sobre las acciones gubernamentales, convocando su participación en asuntos de interés público.</t>
  </si>
  <si>
    <t>Incluye proyectos cuyas acciones de coordinación para la concurrencia de los recursos en los programas de desarrollo social se orientan a la mejora de los distintos ámbitos de los municipios y los grupos sociales que en ellos habitan, en especial a los de mayor vulnerabilidad  y que tengan como propósito asegurar la reducción de la pobreza.</t>
  </si>
  <si>
    <t>Considera acciones que permitan generar una relación respetuosa, solidaria y equitativa entre los tres órdenes de Gobierno, promoviendo la descentralización de facultades, funciones y recursos, estableciendo esquemas de coordinación que equilibren las cargas de responsabilidad y beneficios en las acciones compartidas, además de fomentar el desarrollo integral de los municipios, mediante su inclusión en proyectos y acciones que consoliden administraciones municipales eficaces y eficientes.</t>
  </si>
  <si>
    <t>Comprende el conjunto de actividades y herramientas para coadyuvar a que la actuación de los servidores públicos sea eficaz, eficiente y transparente, a fin de generar resultados con apego a los principios de legalidad, objetividad, profesionalismo, honradez, lealtad, imparcialidad, eficiencia, eficacia, equidad, trasparencia, economia, integridad, que permiten la toma de desiciones sobre la aplicación de los recursos públicos con el objeto de mejorar la calidad del gasto público y la rendición de cuentas.</t>
  </si>
  <si>
    <t>Elevar la calidad y atención de los servicios que se otorgan al pueblo, previniendo actos de corrupción y conflictos de intereses, a través de la selección,  capacitación, sensibilización, profesionalización continua, permanencia de las personas servidoras públicas y logro de objetivos; además, promover que todo el personal que desempeñe un empleo, cargo o comisión anteponga los principios, valores y reglas de integridad que rigen el servicio público.</t>
  </si>
  <si>
    <t>Elevar la calidad y atención de los servicios que se otorgan al pueblo, previniendo actos de corrupción y conflictos de intereses, a través de la selección,  capacitación,sensibilización, profesionalización continua, permanencia de las personas servidoras públicas y logro de objetivos; además, promover que todo el personal que desempeñe un empleo, cargo o comisión anteponga los principios, valores y reglas de integridad que rigen el servicio público.</t>
  </si>
  <si>
    <t>Conjunto de acciones orientadas a establecer las bases de coordinación entre el Estado y los Municipios para el funcionamiento de los Sistemas Anticorrupción, de conformidad con lo dispuesto en la Constitución Política de los Estados Unidos Mexicanos, la Constitución Política del Estado Libre y Soberano de México, la Ley General del Sistema Nacional Anticorrupción y la Ley del Sistema Anticorrupción del Estado de México y Municipios, para que las autoridades estatales y municipales competentes prevengan, investiguen y sancionen las faltas administrativas y los hechos de corrupción.</t>
  </si>
  <si>
    <t>Fortalecimiento y mejora de los procedimientos regulatorios y conductos legales establecidos, que influyan directamente en la garantía jurídica del gobierno y la sociedad.</t>
  </si>
  <si>
    <t>Comprende la suma de recursos transferidos por los municipios y organismos municipales para cumplir con objetivos diversos, además engloba las acciones necesarias para la celebración de convenios previstos en la Ley de Coordinación Fiscal vigente</t>
  </si>
  <si>
    <t>Incluye las acciones y procedimientos necesarias para desarrollar y fortalecer las fases para la planeación, programación-presupuestación, seguimiento y evaluación programatica presupuestal, considerando las fases de registro contable - presupuestal y el correspondiente proceso de rendición de cuentas, adicionalmente incluye los procedimientos de planeación, evaluación de los planes de desarrollo municipal, los programas regionales y sociales que de él dervan.</t>
  </si>
  <si>
    <t>Refiere todas aquellas acciones relacionadas con el manejo eficiente y sustentable de la deuda pública, entre ellas, la contratación, amortización, servicio. Refinanciamiento y/o reestructuración de la deuda del gobierno municipal, así como el registro, vigilancia, seguimiento y control de sus obligaciónes multianuales correpondientes al gobierno municipal.</t>
  </si>
  <si>
    <t>Elaborar con las Dependencias y Organismos municipales los planes y programas estatales, sectoriales, regionales y los referentes a inversión pública física, vigilanbdo que los recursos que se asignen se apliquen de acuerdo a la normatividad vigente, así como fortalecer a relación con el estado, la federación y otros municipios, reconociendo sus responsabilidades en la ejecución de la obra pública.</t>
  </si>
  <si>
    <t>Incluye acciones que permitan elevar la calidad, capacidad  y equidad tributaria, con seguridad jurídica , transparencia y simplificación de trámites para el contribuyente, desarrollando un régimen fiscal que amplíe la base de contribuyentes e intensificando las acciones de control para el cumplimiento de las obligaciones tributarias que eviten la elusión y evasión fiscal.</t>
  </si>
  <si>
    <t>Engloba las acciones que se llevan a cabo por los gobiernos municipales en los procesos de registro de bienes inmuebles en el territorio estatal, así como determinar extensión geográfica y valor catastral por demarcación que definan la imposición fiscal.</t>
  </si>
  <si>
    <t xml:space="preserve">ENGLOBA TODAS LAS ACTIVIDADES O SERVICIOS QUE LAS ADMINISTRACIONES MUNICIPALES OTORGAN A LA POBLACIÓN A TRAVÉS DE TECNOLOGÍAS DE INFORMACIÓN, MEJORANDO LA EFICIENCIA Y EFICACIA EN LOS PROCESOS FACILITANDO LA OPERACIÓN Y DISTRIBUCIÓN DE INFORMACIÓN QUE SE BRINDA A LA POBLACIÓN. </t>
  </si>
  <si>
    <t>Incluye las acciones y procedimientos necesarios para desarrollar y fortalecer las fases para la planeación, programación, presupuestación, seguimiento y evaluación programático-presupuestal, considerando las fases del registro contable-presupuestal y el correspondiente proceso de rendición de cuentas, adicionalmente incluye los procedimientos de planeación y evaluación de los Planes de Desarrollo Municipal, los programas regionales y sectoriales que de él derivan.</t>
  </si>
  <si>
    <t xml:space="preserve">Ecatepec como Modelo de Protección Civil </t>
  </si>
  <si>
    <t>Incrementar la cooordinación con otras instancias de gobierno, con la iniciativa privada y sectores de la sociedad civil con el fin de crear mecanismos de colaboración a favor de la seguridad y la paz.</t>
  </si>
  <si>
    <t xml:space="preserve">Implementar acciones específicas para mejorar la gestión de la
seguridad vial,        /       proveer infraestructura segura y con accesibilidad universal,    /        fomentar el uso de vehículos más  seguros      /     educar a las personas usuarias sobre la importancia de la seguridad vial               /     mejorar la respuesta posterior a los hechos de tránsito para dar una atención integral a las víctimas directas e indirectas en términos  de atención pre-hospitalaria y acceso a la justicia. </t>
  </si>
  <si>
    <t>Eficientar los mecanismos en materia de seguridad pública, para ampliar el alcacnce a la respueta policial y de prevención</t>
  </si>
  <si>
    <t xml:space="preserve">Elevar la percepción de seguridad por medio de programas anticorrupción, de prevención dirigidos a la capacitación de elementos de seguridad y servidores públicos en el municipio.                                          Atender las causa que originan la violencia a través de recuperación de espacios, promoción de ética, valores y sentido de pertenencia, respeto a los derechos humanos,                                </t>
  </si>
  <si>
    <t xml:space="preserve">proyecto </t>
  </si>
  <si>
    <t>programa</t>
  </si>
  <si>
    <t>Estrategias</t>
  </si>
  <si>
    <t>Con la ayuda de la tenología, inteligencia e investigación</t>
  </si>
  <si>
    <t xml:space="preserve">Fortalecer la inteligencia e investigación, por medio de la explotación y el emleo de las tecnologías de informació y comunicación. </t>
  </si>
  <si>
    <t xml:space="preserve">Disminuir, índice de delitos por medio de la optimización del Modelo Operativo Policial.
Territorialidad del Municipio para la proximidad de elementos policiales así como identificar los cuadrantes para ejecutar operativos conjuntos para reducir la generación de violencia y delitos que atenten a la sociedad. </t>
  </si>
  <si>
    <t>Evaluación de los elementos de seguridad para la depuración y reclutamiento</t>
  </si>
  <si>
    <t xml:space="preserve">Pln de comunicaciones policial </t>
  </si>
  <si>
    <t>Disminuir la incidencia delictiva, mediante la reestructuración del territorio del municiio como Plan operativo, en el municipio cde Ecatepec.</t>
  </si>
  <si>
    <t>OFICINA DE LA PRESIDENCIA</t>
  </si>
  <si>
    <t>DIRECCIÓN DE BIENESTAR, PARTICIPACIÓN CIUDADANA Y TERRITORIAL</t>
  </si>
  <si>
    <t>COORDINACIÓN TÉCNICA DE PRESIDENCIA</t>
  </si>
  <si>
    <t>ÓRGANO INTERNO DE CONTROL MUNICIPAL</t>
  </si>
  <si>
    <t>DIRECCIÓN DE ADMINISTRACIÓN</t>
  </si>
  <si>
    <t xml:space="preserve">Participación comunitaria para el mejoramiento urbano </t>
  </si>
  <si>
    <t>Protección, control y bienestar animal</t>
  </si>
  <si>
    <t>Concientización y canalización Animal</t>
  </si>
  <si>
    <t>Servicios de Atención médico veterinaria</t>
  </si>
  <si>
    <t>Igualdad de trato y oportunidades para la mujer, el hombre y personas LGBTTTIQ+</t>
  </si>
  <si>
    <t xml:space="preserve">Justicia Cívica Municipal </t>
  </si>
  <si>
    <t>10</t>
  </si>
  <si>
    <t>11</t>
  </si>
  <si>
    <t>Administración del programa de inversión pública</t>
  </si>
  <si>
    <t xml:space="preserve">Proporcionar asesorias psicologicas y preventivas escolares, enfocado a pdres y adolecentes </t>
  </si>
  <si>
    <t xml:space="preserve">Realizar talleres para jovenes menores infractores para su readapatcion </t>
  </si>
  <si>
    <t>Actualización de registros de bienes inmuebles propiedad municipal</t>
  </si>
  <si>
    <t>Registros actualizados</t>
  </si>
  <si>
    <t>Realizar acciones, obras y apoyos en comunidades  por medio de atención a la ciudadanía</t>
  </si>
  <si>
    <t xml:space="preserve">Llevar  acabo Sesiones de cabildo para abordar temas en benificio de la poblacion </t>
  </si>
  <si>
    <t xml:space="preserve">Realizar sesiones coadyuvando con las áreas administrativas municipales en encomineda establecida bajo comité </t>
  </si>
  <si>
    <t>Asistencia</t>
  </si>
  <si>
    <t>Sesiones</t>
  </si>
  <si>
    <t xml:space="preserve">Función pública y combate a la corrupción y control de riesgos administrativos </t>
  </si>
  <si>
    <t>Atención a las recomendaciones  o pliego de observaciones de auditorías externas</t>
  </si>
  <si>
    <t xml:space="preserve">Elaboración del Programa Anual de Auditoría </t>
  </si>
  <si>
    <t xml:space="preserve">Ejecutar auditoría </t>
  </si>
  <si>
    <t>Supervisiones a las dependencias administrativas</t>
  </si>
  <si>
    <t>Inspecciones a las dependencias administrativas</t>
  </si>
  <si>
    <t>Verificar el cumplimiento de metas establecidas y alcanzadas por las dependencias administrativas.</t>
  </si>
  <si>
    <t>Monitoreo del registro e inventario de los bienes a cargo de las dependencias del Ayuntamiento</t>
  </si>
  <si>
    <t xml:space="preserve">Curso </t>
  </si>
  <si>
    <t>Capacitación y profesionalización  para el desarrollo personal.</t>
  </si>
  <si>
    <t xml:space="preserve">Personal </t>
  </si>
  <si>
    <t>Gestionar cursos de capacitación a servidores públicos</t>
  </si>
  <si>
    <t>Validar expedientes del padron de proveedores de bienes y servicios</t>
  </si>
  <si>
    <t>Expedientes</t>
  </si>
  <si>
    <t>Verificar la actualización del padron del Parque Vehicular</t>
  </si>
  <si>
    <t>Implementar Ferias Municipales del Bienestar en beneficio de los ecatepenses</t>
  </si>
  <si>
    <t>Impartir talleres de desarrollo personal y laboral en los Centros de Desarrollo Comunitario</t>
  </si>
  <si>
    <t>Realizar jornadas para mejorar el entorno comunitario de los ecatepenses</t>
  </si>
  <si>
    <t>Mejorar el equipamiento de los Centros de Desarrollo Comunitario para beneficiar a los ciudadanos</t>
  </si>
  <si>
    <t>Manteniminto</t>
  </si>
  <si>
    <t>Realizar consultas de Salud Bucal en los Centros de Desarrollo Comunitario para mejorar el bienestar social</t>
  </si>
  <si>
    <t>Consultas</t>
  </si>
  <si>
    <t>Realizar reuniones vecinales a cargo de las Unidades Territoriales Comunitarias para atender las demandas ciudadanas en materia de bienestar social</t>
  </si>
  <si>
    <t>Reuniones</t>
  </si>
  <si>
    <t>Jornadas</t>
  </si>
  <si>
    <t>Actividades de las UTC de mejoramiento urbano y social</t>
  </si>
  <si>
    <t>Entregar Tarjetas de Movilidad a estudiantes del municipio que se encuentran en condiciones de rezago social</t>
  </si>
  <si>
    <t>Realizar Pintando tu fachada</t>
  </si>
  <si>
    <t>Vivienda</t>
  </si>
  <si>
    <t>Entregar sillas de ruedas para contribuir en el bienestar de las personas con movilidad reducida</t>
  </si>
  <si>
    <t>Entregar auxiliares auditivos para contribuir en el bienestar de las personas con debilidad auditiva</t>
  </si>
  <si>
    <t>Entregar apoyos para emprendimientos de los ciudadanos ecatepenses en los Centros de Desarrollo Comunitario</t>
  </si>
  <si>
    <t>Paqete</t>
  </si>
  <si>
    <t>Entregar apoyos que contribuyan a mejorar la economía del hogar de los ecatepenses</t>
  </si>
  <si>
    <t>Paquete</t>
  </si>
  <si>
    <t xml:space="preserve"> Campañas publicitarias de acciones gubernamentales </t>
  </si>
  <si>
    <t>Cobertura de eventos relacionados al municipio</t>
  </si>
  <si>
    <t>Boletin</t>
  </si>
  <si>
    <t>Reuniones con  medios de comunicación</t>
  </si>
  <si>
    <t>Reels</t>
  </si>
  <si>
    <t>Capsula</t>
  </si>
  <si>
    <t>Sintesis informativa</t>
  </si>
  <si>
    <t>Documentos</t>
  </si>
  <si>
    <t>Transmisiones en vivo</t>
  </si>
  <si>
    <t>Enlace</t>
  </si>
  <si>
    <t>Vinculación de personas desempleadas</t>
  </si>
  <si>
    <t>Solicitudes de Licencia de funcionamiento</t>
  </si>
  <si>
    <t xml:space="preserve">Taller para emprendedores </t>
  </si>
  <si>
    <t>Notificacion y/o Carta Invitación a las Unidades Economicas</t>
  </si>
  <si>
    <t>Usuarios</t>
  </si>
  <si>
    <t>Eventos, Ferias o acciones para la Promoción Artesanal</t>
  </si>
  <si>
    <t>Realizar la recepción de solicitudes de trámite catastral</t>
  </si>
  <si>
    <t>Realizar diligencias de inspección y medición física de los predios</t>
  </si>
  <si>
    <t>Verificar los linderos de inmuebles realizados</t>
  </si>
  <si>
    <t>verificar la Certificación de clave y valor catastral</t>
  </si>
  <si>
    <t>Certificación de plano manzanero</t>
  </si>
  <si>
    <t>Dar seguimiento de modificiación de valores unitarios de suelo para el ejercicio fiscal 2027, (Áreas Homogéneas y bandas de valor)</t>
  </si>
  <si>
    <t>Difundir de forma masiva  los apoyos, subsidios fiscales y exhortación al pago predial puntual</t>
  </si>
  <si>
    <t xml:space="preserve">Actualizar el Padrón de cobro de impuesto predial </t>
  </si>
  <si>
    <t>Actualizar y cobrar de Impuesto Predial por concepto de Diferencia de Construcción No Declaradas.</t>
  </si>
  <si>
    <t>Generar la Emisión, Pago y Entrega de Certificaciones de No Adeudo de Impuesto Predial y Aportación de Mejoras</t>
  </si>
  <si>
    <t>Generar Convenios de Pago</t>
  </si>
  <si>
    <t>Verificar Notificaciones de oficios Divesas</t>
  </si>
  <si>
    <t xml:space="preserve">Determinar los  Créditos Fiscales para contribuyentes morosos, omisos y remisos (Contribuciones, Derechos y Aprovechamientos) </t>
  </si>
  <si>
    <t xml:space="preserve">Recuperar los créditos fiscales </t>
  </si>
  <si>
    <t>Emitir y entregar de cartas invitación para pagos pendientes (Predial)</t>
  </si>
  <si>
    <t>Notificar para  el Pago de contribuyentes morosos</t>
  </si>
  <si>
    <t>Visitar las cajas móviles en las comunidades para la recaudación del impuesto predial</t>
  </si>
  <si>
    <t>Generar el Traslado de Dominio Autorizado</t>
  </si>
  <si>
    <t>Emitir la  Certificación de Traslado de Dominio</t>
  </si>
  <si>
    <t>Llevar el control y registro de cajas, mediante el reporte del total de operaciones, inspeccionando el buen manejo de éstas</t>
  </si>
  <si>
    <t>Seguimiento a las Aportaciones Federales</t>
  </si>
  <si>
    <t>Transferencia a Organismos Descentralizados</t>
  </si>
  <si>
    <t>Realizar capacitaciones</t>
  </si>
  <si>
    <t>Gobierno digítal</t>
  </si>
  <si>
    <t>Reportar  servicios de áreas, telefonía y servicios de red.</t>
  </si>
  <si>
    <t>Mantener de forma preventiva equips de computo y servidores.</t>
  </si>
  <si>
    <t>Publicar en  redes sociales y parrilla de contenido</t>
  </si>
  <si>
    <t>Desarrollar y documentar las aplicaciones página WEB, correo electrónico y bases de datos.</t>
  </si>
  <si>
    <t>Otorgar licencias de construccion y licencias de uso de suelo</t>
  </si>
  <si>
    <t xml:space="preserve">Creación de acervos de información </t>
  </si>
  <si>
    <t>Digitalización de la información del archivo de concentración de la dependencia</t>
  </si>
  <si>
    <t>Base de datos</t>
  </si>
  <si>
    <t>Elaboración de Plan Municipal de Desarrolllo Urbano</t>
  </si>
  <si>
    <t>Reuniones con el Comité de Ordenamiento Territorial</t>
  </si>
  <si>
    <t>Capacitación de los enlaces institucionales</t>
  </si>
  <si>
    <t>Certificación del personal adscrito a la dependencia</t>
  </si>
  <si>
    <t>Reuniones de trabajo con Consultorías en la actualización del PMDU</t>
  </si>
  <si>
    <t>Concentración de las propuestas de la ciudadanía</t>
  </si>
  <si>
    <t>Reunion</t>
  </si>
  <si>
    <t>Certificación</t>
  </si>
  <si>
    <t>Foros de participación</t>
  </si>
  <si>
    <t>Gstión</t>
  </si>
  <si>
    <t>Intervencion para rehabilitación de fachadas en zonas prioritarias</t>
  </si>
  <si>
    <t>Fachada</t>
  </si>
  <si>
    <t>Reuniones informativas con los habitantes</t>
  </si>
  <si>
    <t>Generar diagnósticos y planes de trabajo</t>
  </si>
  <si>
    <t>Diagnóstico</t>
  </si>
  <si>
    <t>estión para la regularización de los predios conforme al régimen jurídico urbano, realizada.</t>
  </si>
  <si>
    <t>Asesoría jurídíca administrativa en materia de vivienda</t>
  </si>
  <si>
    <t>Campañas de regularización de predios</t>
  </si>
  <si>
    <t>Integración de expediente para trámite de testamento ante las Notarias que suscriban convenio</t>
  </si>
  <si>
    <t>Asesorias para obtener testamento</t>
  </si>
  <si>
    <t>Reforestación y restauración forestal integral</t>
  </si>
  <si>
    <t>Protección integral del ambiente para el bienestar</t>
  </si>
  <si>
    <t>13</t>
  </si>
  <si>
    <t>Rehabilitación, equipamiento y/o reposición de pozos</t>
  </si>
  <si>
    <t>Metros</t>
  </si>
  <si>
    <t xml:space="preserve">Construcción de Obras de Infraestra del manejo de aguas residuales y drenaje </t>
  </si>
  <si>
    <t>Metros colocados de tuberia</t>
  </si>
  <si>
    <t>Entrega de las obras concluidas de Infraestructura de alcantarillado</t>
  </si>
  <si>
    <t>Construcción de vialidades urbanas</t>
  </si>
  <si>
    <t xml:space="preserve">Construcción y ampliación de edificaciones urbanas </t>
  </si>
  <si>
    <t>12</t>
  </si>
  <si>
    <t xml:space="preserve">Entrega de las obras concluidas de Infraestructura y espacios publicos </t>
  </si>
  <si>
    <t xml:space="preserve">Area de vialidades urbanas rehabilitadas </t>
  </si>
  <si>
    <t xml:space="preserve">Entrega de las obras concluidas de vialidades urbanas </t>
  </si>
  <si>
    <t xml:space="preserve">Suministro y colocación de luminarias </t>
  </si>
  <si>
    <t xml:space="preserve">Entrega de las obras concluidas de equipamiento de vialidades urbanas </t>
  </si>
  <si>
    <t>Pieza</t>
  </si>
  <si>
    <t>Avance de ejecucuion de edificación urbana</t>
  </si>
  <si>
    <t xml:space="preserve">Entrega de las obras concluidas de construcción y ampliación de edificaciones urbanas </t>
  </si>
  <si>
    <t xml:space="preserve"> Celebración de Sesiones del Consejo Intermunicipal de Seguridad Pública</t>
  </si>
  <si>
    <t>Cumplimiento de acuerdos en el seno del Consejo Intermunicipal de Seguridad Pública</t>
  </si>
  <si>
    <t>Celebración de sesiones del Consejo Municipal de Seguridad Pública</t>
  </si>
  <si>
    <t>Cumplimiento de acuerdos en el seno del Consejo Municipal de Seguridad Pública</t>
  </si>
  <si>
    <t>Coordinar con la Secretaría de Seguridad del Estado el Programa de desarme</t>
  </si>
  <si>
    <t>Dar seguimiento y cumplimiento a lo establecido en el Fondo de Aportaciones para la Seguridad Pública (FASP)</t>
  </si>
  <si>
    <t>Dar seguimiento y cumplimiento a lo establecido en el Fondo para el Fortalecimiento de las Instituciones de Seguridad Pública (FOFISP)</t>
  </si>
  <si>
    <t>Consulta de los datos generales de las personas y vehículos en el Sistema  Único de Investigación Criminal Estatal (SUICE).</t>
  </si>
  <si>
    <t>Registro de delitos en el Registro Nacional de Detenciones del fuero común y federal</t>
  </si>
  <si>
    <t>Registros en el Registro Nacional de Detenciones por faltas administrativas</t>
  </si>
  <si>
    <t>Registro de llamadas de emergencia de la ciudadanía a través del Sistema SafetyNat Cad.</t>
  </si>
  <si>
    <t>Actualización integral del atlas de la incidencia delictiva municipal.</t>
  </si>
  <si>
    <t>Informe de productividad con la finalidad de llevar un control del trabajo realizado.</t>
  </si>
  <si>
    <t>Aplicación de exámenes de control de confianza a los elementos policiacos municipales.</t>
  </si>
  <si>
    <t>Recepción de expedientes derivado de quejas. Tarjetas informativas, redes sociales o denuncias anónimas, en contra de los elementos que pertenecen a la DGSCyT, así como la resolución de los mismos.</t>
  </si>
  <si>
    <t>Integración y seguimiento a Juicios Administrativos, ante diferentes órganos jurisdiccionales, locales y Federales en contra de la Comisión de Honor y Justicia de la Dirección General de Seguridad Ciudadana y Tránsito.</t>
  </si>
  <si>
    <t>Recepción de expedientes de aspirantes derivado de la convocatoria vigente para policía municipal preventivo de Ecatepec de Morelos.</t>
  </si>
  <si>
    <t>Elemento capacitado</t>
  </si>
  <si>
    <t>Elemento Evaluado</t>
  </si>
  <si>
    <t>Atenciones Ciudadanas en materia de violencia familiar y de género</t>
  </si>
  <si>
    <t>Atención y creación de Redes Vecinales de Seguridad</t>
  </si>
  <si>
    <t>Operativo Mochila Segura</t>
  </si>
  <si>
    <t>Actividades lúdicas, informativas y de sensibilización de Prevención de la Violencia Social y la Delincuencia en línea y presencial</t>
  </si>
  <si>
    <t>Atención ciudadana</t>
  </si>
  <si>
    <t>Red Vecinal</t>
  </si>
  <si>
    <t>Realizar asesorías a mujeres y población LGBTTTIQ+ que viven situaciones de violencia</t>
  </si>
  <si>
    <t>Capacitar a los servidores públicos de las dependencias municipales para atender los protocolos de acompañamiento en caso de discriminación a la población LGBTTTIQ+ del municipio</t>
  </si>
  <si>
    <t>Realizar foros que promuevan la defensa y protección de los derechos humanos de la población LGBTTTIQ+ del municipio</t>
  </si>
  <si>
    <t>foro</t>
  </si>
  <si>
    <t>Plática</t>
  </si>
  <si>
    <t>Jornadas de Salud Sexual para la Comunidad LGBTTTIQ+</t>
  </si>
  <si>
    <t>15</t>
  </si>
  <si>
    <t>Apoyo municipal a la prestación de servicios de salud dpara las personas</t>
  </si>
  <si>
    <t>Atención médica</t>
  </si>
  <si>
    <t>ehabilitación de  espacios para el desarrollo integral los adolescentes</t>
  </si>
  <si>
    <t>Servicio de atención, médica,ginecologica, psicologica, psiquiatrica, paidopsiquiatría, nutricional, dental,  orientación jurídica o educativa a los adolescentes que acudan a la Casa del Adolescente</t>
  </si>
  <si>
    <t>Referencias a otras instutuciones de acuerdo a la problemática detectada en la usuaria o el usuario en la Casa del Adolescente</t>
  </si>
  <si>
    <t>Impartir talleres para adolescentes sobre temas de autoestima, depresión, violencia, nutrición, prevención del delito, adicciones, en la Casa del Adolescente</t>
  </si>
  <si>
    <t>Sesiones de taller para adolescentes sobre temas de autoestima, depresión, violencia, nutrición, prevención del delito, adicciones. En la Casa del Adolescent</t>
  </si>
  <si>
    <t>Pláticas de concientización con la temática de adicciones, sexualidad, planificación familiar, prevención de delito, nutricionales, médicas entre otras, en la Casa del adolescente, publico cautuvo (escuelas) y población abiert</t>
  </si>
  <si>
    <t>Difusión permanente de información preventiva sobre el embarazo en la adolescencia en medios digitales</t>
  </si>
  <si>
    <t>Actividades de promoción de la salud, salud sexual y reproductiva (metodos anticonceptivos), de educación,  culturales y/o deportivas enfocadas a la prevención del embarazo, en la Casa del Adolescente</t>
  </si>
  <si>
    <t>Difusión</t>
  </si>
  <si>
    <t>Espacio</t>
  </si>
  <si>
    <t>Canalización</t>
  </si>
  <si>
    <t>Difusión de programas de salud por medio de mantas en jornadas asistenciales.</t>
  </si>
  <si>
    <t>Publicaciones en medios digitales sobre promoción de la salud y prevención de enfermedades.</t>
  </si>
  <si>
    <t>Distribución de folletos con información para el cuidado de la salud.</t>
  </si>
  <si>
    <t>Pláticas de prevención de transtornos emocionales, prevención de enfermedades y atención a la salud.</t>
  </si>
  <si>
    <t>Acciones de atención de prevención y promoción enfocadas a la salud de la comunidad.</t>
  </si>
  <si>
    <t xml:space="preserve">Difusión </t>
  </si>
  <si>
    <t xml:space="preserve">Publicación </t>
  </si>
  <si>
    <t>Folleto</t>
  </si>
  <si>
    <t xml:space="preserve">Atención </t>
  </si>
  <si>
    <t>Control poblacional animal</t>
  </si>
  <si>
    <t>Jornada de adopción de canino y/o felino</t>
  </si>
  <si>
    <t>Campaña  de concientización de maltrato hacia los animales en medios digitales, en los diferentes niveles educativos.</t>
  </si>
  <si>
    <t>Orientación para que el ciudadano realice reporte de maltrato animal al PROPAEM.</t>
  </si>
  <si>
    <t xml:space="preserve">Orientación </t>
  </si>
  <si>
    <t>Esterilización en canino y/o felino</t>
  </si>
  <si>
    <t>Rster</t>
  </si>
  <si>
    <t>Caninos y felinos observados  para su protección y bienestar.</t>
  </si>
  <si>
    <t>Atención médica veterianaria</t>
  </si>
  <si>
    <t>Canino y felino que se rescató y se encuentra bajo resguardo del Centro de Bienestar Animal</t>
  </si>
  <si>
    <t>Jornada de vacunación a canino y felino</t>
  </si>
  <si>
    <t>Eutanacia de canino y felino.</t>
  </si>
  <si>
    <t>Monitoreo de canino y felino sospechosos de rabia</t>
  </si>
  <si>
    <t>Canino y felino</t>
  </si>
  <si>
    <t xml:space="preserve">Canino y felino </t>
  </si>
  <si>
    <t xml:space="preserve">Monitoreo </t>
  </si>
  <si>
    <t>Jornadas Médico-Asistenciales realizadas  en comunidades con mayores índices de pobreza o personas en situación de vulnerabilidad</t>
  </si>
  <si>
    <t>Gestión para la adquisición de suministros médicos y equipo médico para ortogar servicio de salud a la población en situación de vulnerabilidad</t>
  </si>
  <si>
    <t>Ejecución de programas para contribuir a mejorar el desarrollo integral de la comunidad estudiantil de Educación básica</t>
  </si>
  <si>
    <t>Realización de eventos conmemorativos, educativos y culturales para escuelas de Educación básica en beneficio de niñas, niños y adolescentes</t>
  </si>
  <si>
    <t>Entrega de apoyos para el matenimiento, rehabilitación y equipamiento de Escuelas de Educación básica</t>
  </si>
  <si>
    <t xml:space="preserve">Evento </t>
  </si>
  <si>
    <t>Apoyo</t>
  </si>
  <si>
    <t>Cursos de Capacitación para adultos</t>
  </si>
  <si>
    <t xml:space="preserve">Programa  </t>
  </si>
  <si>
    <t xml:space="preserve">Alto Rendimiento Educativo de Media Superior </t>
  </si>
  <si>
    <t>Feria de Oferta Superior</t>
  </si>
  <si>
    <t>Alto Rendimieno Educativo Superior</t>
  </si>
  <si>
    <t>Platicas informativas Nivel Superior</t>
  </si>
  <si>
    <t>Plarica</t>
  </si>
  <si>
    <t xml:space="preserve">Pavimentación </t>
  </si>
  <si>
    <t>Rehabilitación de guarniciones</t>
  </si>
  <si>
    <t>Tehabilitación de banquetas</t>
  </si>
  <si>
    <t>Distribuir trípticos a ciudadanos y migrantes con información referente a sus derechos humanos y de relevancia.</t>
  </si>
  <si>
    <t>Brindar acompañamiento y apoyo en trámites a los migrante</t>
  </si>
  <si>
    <t>Ofrecer Pláticas jurídicas a los migrantes que, así como a las familias de migrantes que radican en Ecatepec</t>
  </si>
  <si>
    <t>Tríptco</t>
  </si>
  <si>
    <t>Distribuir trípticos a la comunidad en general en cuanto a  atribuciones, obligaciones y prohibiciones de delegaciones municipales y copacis, dando un enfoque referente al contenido sobre normatividad municipal, cívica y democrática.</t>
  </si>
  <si>
    <t>Plantear campañas que promueven la participacion ciudadana, con temas de valores civicos y democraticos en las personas y su vida en sociedad</t>
  </si>
  <si>
    <t>Crear mesa de trabajo y/o atención a reuniones vecinales y manifestaciones generadas por diversos motivos, con el fin de mantener la paz social</t>
  </si>
  <si>
    <t>Formular supervisiones a los integrantes de los Consejos de Participación Ciudadana y Delegados Municipales, para impulsar sus habilidades de gestión</t>
  </si>
  <si>
    <t>Supervición</t>
  </si>
  <si>
    <t>Distribución de la infografia para la atención, orientación y conocimiento para  seguimiento a las peticiones de las Organizaciones políticas, sociales y civiles</t>
  </si>
  <si>
    <t>Distribución de trípticos para información y orientación a la ciudadanía referente a las Organizaciones religiosas; informando de los beneficios que se obtienen para la mejora de su entorno</t>
  </si>
  <si>
    <t>Document</t>
  </si>
  <si>
    <t>Encuentro con líderes religiosos</t>
  </si>
  <si>
    <t>Triptico</t>
  </si>
  <si>
    <t>Distribución de trípticos con información sobre los diferentes servicios que ofrece la oficina de atención a pueblos originarios y comunidades indígenas residentes.</t>
  </si>
  <si>
    <t>Taller para fomentar el interés de la población infantil y juvenil en el aprendizaje de las lenguas originarias, así como su promoción y difusión</t>
  </si>
  <si>
    <t>Evento de celebración del día Internacional de los Pueblos Originarios y Comunidades Indígenas Residentes</t>
  </si>
  <si>
    <t>Curso para el aprendizaje de las lenguas originarias, así como su promoción y difusión de la población adulta</t>
  </si>
  <si>
    <t>Trípticos con información sobre cultura condóminal</t>
  </si>
  <si>
    <t>Capacitación y profesinalización  para el desarrollo de personal</t>
  </si>
  <si>
    <t xml:space="preserve">Infraestructura de espacios públicos </t>
  </si>
  <si>
    <t xml:space="preserve">Rehabilitación de vialidades urbanas </t>
  </si>
  <si>
    <t xml:space="preserve">Manejo integral de residuos sólidos </t>
  </si>
  <si>
    <t xml:space="preserve"> Eficiencia energética</t>
  </si>
  <si>
    <t>Apoyo y asesoría en la gestión de servicios de electrificación y alumbrado público</t>
  </si>
  <si>
    <t xml:space="preserve">Coordinación para servicios de administración y mantenimiento de panteones </t>
  </si>
  <si>
    <t xml:space="preserve">Promoción y difusión de las manifestaciones artísticas y culturales  </t>
  </si>
  <si>
    <t>169</t>
  </si>
  <si>
    <t xml:space="preserve">Protección de los ecosistemas forestales </t>
  </si>
  <si>
    <t>Capacitación y profesionalización  para  el desarrollo municipal</t>
  </si>
  <si>
    <t>MEDIO AMBIENTE Y ECOLOGIA</t>
  </si>
  <si>
    <t>Protección Jurídica de las Personas</t>
  </si>
  <si>
    <t xml:space="preserve">Actualizacion y operación del Registro Civil </t>
  </si>
  <si>
    <t>Copia</t>
  </si>
  <si>
    <t>Emitir copias certificadas de actas en las Oficialías del registro civil aporvechando el uso de las tecnologías</t>
  </si>
  <si>
    <t>Supervisiones a las oficialías del Registro Civil</t>
  </si>
  <si>
    <t>Evaluar el número de parejas que regularizan su estado civil mediante campañas de matrimonios masivos</t>
  </si>
  <si>
    <t>Incrementar el número de personas que regularicen su estatus jurídico y personalidad, mediante campañas de registros extemporáneos</t>
  </si>
  <si>
    <t>Jornadas ciudadanas (matrimonios, registro de nacimientos, expedición de copias, reclusorios)</t>
  </si>
  <si>
    <t>MEDIO AMBUENTE Y ECOLOGÍA</t>
  </si>
  <si>
    <t>Emisión de permisos, contancias y licencias en pro del mejoramiento ambienta</t>
  </si>
  <si>
    <t>Permiso/licencia</t>
  </si>
  <si>
    <t>Promoción y difusión de parques recreativos</t>
  </si>
  <si>
    <t>Crear una comunidad esponja en una localidad donde siempre falta agua</t>
  </si>
  <si>
    <t>Mejorar la atención zoologica con programas enfocados en el bienestar animal.</t>
  </si>
  <si>
    <t>Santuario</t>
  </si>
  <si>
    <t>Caja de captaión</t>
  </si>
  <si>
    <t xml:space="preserve">Convertir el Parque Ehécatl en un espacio ecologico y sustentable </t>
  </si>
  <si>
    <t>Distribución de arboles de especies nativas para abastacer los programas de forestación y reforestación</t>
  </si>
  <si>
    <t>Creación de brigada de vigilancia ambiental Tlaloque</t>
  </si>
  <si>
    <t>Brigada</t>
  </si>
  <si>
    <t xml:space="preserve">Vivero </t>
  </si>
  <si>
    <t>DIRECCIÓN DEL INSTITUTO DE LA MUJER E IGUALDAD DE GÉNERO</t>
  </si>
  <si>
    <t>Campaña de prevención del embarazo adolescente</t>
  </si>
  <si>
    <t>Acuerdos y/o convenios con instituciones educativas y/o organismos empresariales</t>
  </si>
  <si>
    <t>Reuniones mensuales de coordinación con Céluas de Búsqueda y Atención a la Violencia</t>
  </si>
  <si>
    <t xml:space="preserve">Rehabilitar servicio odontológico para mujeres </t>
  </si>
  <si>
    <t xml:space="preserve">Reunión </t>
  </si>
  <si>
    <t>Rehabilitación</t>
  </si>
  <si>
    <t>Talleres de capacitación a servidores públicos en materia de preveción en violencia de género</t>
  </si>
  <si>
    <t>Atención integral a la mujer en situación de violenca, Atención Jurídica</t>
  </si>
  <si>
    <t>Predenuncias realizadas</t>
  </si>
  <si>
    <t>Atención inicial mujeres en situación de violenca, Atención Psicológica</t>
  </si>
  <si>
    <t>Sesiones de Terapia a mujeres violentadas en situación de violencia</t>
  </si>
  <si>
    <t>Campañas para atender la "Alerta de Violencia de Género contra las Mujeres" y fomento a la denuncia</t>
  </si>
  <si>
    <t>Campaña de prevención y atención a todo tipo de acoso</t>
  </si>
  <si>
    <t>Pláticas de prevención de violencia de género y familiar</t>
  </si>
  <si>
    <t>Programa para la remodelación y equipamiento de las Casas de la Mujer</t>
  </si>
  <si>
    <t>Jornadas de la Unidad Móvil</t>
  </si>
  <si>
    <t>Jornadas del Módulo de Atención en el CJM</t>
  </si>
  <si>
    <t>Atención</t>
  </si>
  <si>
    <t>Sesión</t>
  </si>
  <si>
    <t>Cerificaciones a mujeres en habilidades laborales</t>
  </si>
  <si>
    <t xml:space="preserve">Igualdad de trato y oportunidades para la mujer y el hombreIgualdad de trato y oportunidades para la mujer, el hombre y personas LGBTTTIQ+ </t>
  </si>
  <si>
    <t xml:space="preserve"> Tecnología, inteligencia e investigación para la prevención y combate al delito</t>
  </si>
  <si>
    <t>Atender demandas en contra de la Administración Pública Municipal atendidas.</t>
  </si>
  <si>
    <t>Resoluciones jurídicas sujetas a derecho, conforme al marco jurídico, normativo y procedimental aplicable en la materia</t>
  </si>
  <si>
    <t>Asistir a la ciudadania en la gestión de sus asuntos juridicos</t>
  </si>
  <si>
    <t>Orientación Juridica en beneficio a niñas, niños y adolescentes.</t>
  </si>
  <si>
    <t>Resolución</t>
  </si>
  <si>
    <t>Brindar asistencia jurídica otorgada a la población fundamentada y motivada</t>
  </si>
  <si>
    <t>Procedimiento Administrativo para la reactivación de locales inactivos en mercados públicos municipales</t>
  </si>
  <si>
    <t xml:space="preserve">Actualzación  refrendo 2026 de cédulas de concesión de mercado público municipal </t>
  </si>
  <si>
    <t xml:space="preserve">Actualización y/o refrendo de permiso de tianguis </t>
  </si>
  <si>
    <t xml:space="preserve">Padrón de comerciantes de vía pública </t>
  </si>
  <si>
    <t>Mejorar la infraestructura  de los mercados públicos municipales, con apoyo de materiales.</t>
  </si>
  <si>
    <t>Mercado</t>
  </si>
  <si>
    <t>Local</t>
  </si>
  <si>
    <t>Cedula</t>
  </si>
  <si>
    <t xml:space="preserve">Registro </t>
  </si>
  <si>
    <t>Elaboración de mapas georeferenciados sobre los casos de violencia de género registrados</t>
  </si>
  <si>
    <t>Mapas</t>
  </si>
  <si>
    <t>Elaboración de informes mensuales de resultados obtenisdos</t>
  </si>
  <si>
    <t>Informes</t>
  </si>
  <si>
    <t>Instalación de señalética vertical en vialidades para mejorar la seguridad y orientación vial</t>
  </si>
  <si>
    <t>Atención de solicitudes para instalar, retirar o ajustar topes y boyas en vías secundarias</t>
  </si>
  <si>
    <t>Pinta de cruces seguros en zonas escolares para fortalecer la seguridad vial</t>
  </si>
  <si>
    <t>Inspecciones de maniobras de carga y descarga, y emisión de visto bueno para uso de vialidades.</t>
  </si>
  <si>
    <t>Señal</t>
  </si>
  <si>
    <t>Se brindan las herramientas al personal mediante programas de capacitación técnica, operativa y de educación vial.</t>
  </si>
  <si>
    <t>Solicitudes de buzón de atención ciudadana y quejas</t>
  </si>
  <si>
    <t>Mantenimiento, reparación e innovación de las Red de Semáforos Municipal</t>
  </si>
  <si>
    <t>Intervenciones</t>
  </si>
  <si>
    <t>Apoyo Vial (Grúas a Vehículos Descompuestos)</t>
  </si>
  <si>
    <t>Retirar obstrucciones y vehículos abandonados para mejorar la seguridad y circulación en vía pública.</t>
  </si>
  <si>
    <t xml:space="preserve">Servicios </t>
  </si>
  <si>
    <t>Retiros</t>
  </si>
  <si>
    <t>Optimizar el transporte público mediante inspecciones, mapeo de bases de taxis y concientización vial</t>
  </si>
  <si>
    <t>Dejan de utilizar 0202010106 Participación comunitaria para el mejoramiento urbano</t>
  </si>
  <si>
    <t>MOVILIDAD Y TRANSPORTE</t>
  </si>
  <si>
    <t>Capacitación  integral y actualización para la protección civil</t>
  </si>
  <si>
    <t>Difusión y comunicación  para la protección civil</t>
  </si>
  <si>
    <t>Valoración de riesgos en edificios públicos y privados, así como en zonas con riesgo geológico.</t>
  </si>
  <si>
    <t xml:space="preserve">Fumigación en comunidades y escuelas </t>
  </si>
  <si>
    <t>Mantenimiento a Alertas sísmicas</t>
  </si>
  <si>
    <t>Atención de emergencias prehospitalarias en el territorio municipal</t>
  </si>
  <si>
    <t>Atención de emergencias de alto impacto (rescate urbano) dentro del territorio municipal, que requieren de personal y equipo especializado.</t>
  </si>
  <si>
    <t>Actualización de los factores de riesgo a las estancias de Gobierno en materia de Protección Civil</t>
  </si>
  <si>
    <t>Rescate</t>
  </si>
  <si>
    <t>Actualización del Atlas Municipal de Riesgos</t>
  </si>
  <si>
    <t>Zonas geográfica</t>
  </si>
  <si>
    <t xml:space="preserve"> Comités vecinales de protección civil conformado   
</t>
  </si>
  <si>
    <t xml:space="preserve">Comités escolares de protección civil conformado   
</t>
  </si>
  <si>
    <t xml:space="preserve">Simulacros realizados   
</t>
  </si>
  <si>
    <t xml:space="preserve">Acuerdos del Consejo Municipal de Protección Civil cumplidos   
</t>
  </si>
  <si>
    <t xml:space="preserve">Acuerdos del Consejo Municipal de Protección Civil registrados   
</t>
  </si>
  <si>
    <t xml:space="preserve"> Comité
</t>
  </si>
  <si>
    <t xml:space="preserve">Comité
</t>
  </si>
  <si>
    <t xml:space="preserve">Simulacro
</t>
  </si>
  <si>
    <t xml:space="preserve">Acuerdo
</t>
  </si>
  <si>
    <t>Curso de primeros auxilios</t>
  </si>
  <si>
    <t xml:space="preserve">Curso de prevención y combate de incendios </t>
  </si>
  <si>
    <t>Curso taller para "evitar un niño quemado".</t>
  </si>
  <si>
    <t>Curso taller "Prevención de accidentes en la escuela y el hogar", dirigido a la población infantil.</t>
  </si>
  <si>
    <t>Promoción de la cultura de protección civil para evitar tirar basura en las calles</t>
  </si>
  <si>
    <t>Población</t>
  </si>
  <si>
    <t>Elaborar y distribuir trípticos informativos con temas preventivos en materia de protección civil</t>
  </si>
  <si>
    <t xml:space="preserve">Cartel </t>
  </si>
  <si>
    <t>Prevención de la Violencia</t>
  </si>
  <si>
    <t>Prevención de las Adicciones</t>
  </si>
  <si>
    <t>Conversatorios Juveniles</t>
  </si>
  <si>
    <t>Concurso Juegos de Destreza</t>
  </si>
  <si>
    <t>Jóvenes con honestidad por el Cambio</t>
  </si>
  <si>
    <t xml:space="preserve">Talleres para fomentar de la participación activa de las juventudes </t>
  </si>
  <si>
    <t>Actividades recreativas en beneficio de los jóvenes</t>
  </si>
  <si>
    <t>Jornadas de concientización y revisión en torno al ambito sexual y reproductivo</t>
  </si>
  <si>
    <t>Concurso "Presea Jóvenes con Valores"</t>
  </si>
  <si>
    <t>Concurso de fotografía</t>
  </si>
  <si>
    <t>Cine en tu Colonia</t>
  </si>
  <si>
    <t>Concursos para incentivar el bienestar de las juventudes</t>
  </si>
  <si>
    <t>Jornadas de capacitación en tecnologías de la información con enfoque recreativo</t>
  </si>
  <si>
    <t>Sesiones de Cabildo Juvenil</t>
  </si>
  <si>
    <t>Cabildo</t>
  </si>
  <si>
    <t>Rehabilitación de espacios culturales, patrimonio histórico y espacios públcos utilizados para la cultura</t>
  </si>
  <si>
    <t>Acciones</t>
  </si>
  <si>
    <t>Difusión del patrimonio histórico y cultural de Ecatepec</t>
  </si>
  <si>
    <t>Ejecución del programa de conservación y mantenimiento del archivo 
histórico municipa</t>
  </si>
  <si>
    <t xml:space="preserve">Programa permanente de pinta de muros y espacios </t>
  </si>
  <si>
    <t>Realizacion de Eventos Culturales</t>
  </si>
  <si>
    <t>Eventos</t>
  </si>
  <si>
    <t>Fomento a la  lectura</t>
  </si>
  <si>
    <t>Presentaciónes artísticas y exposiciones</t>
  </si>
  <si>
    <t>Talleres culturales,  artísdticos  y de divulgación científica en museos</t>
  </si>
  <si>
    <t>Promoción de actividades culturales y recreativas</t>
  </si>
  <si>
    <t xml:space="preserve">Seguimiento a peticiones  ciudadanas </t>
  </si>
  <si>
    <t xml:space="preserve">Capacitaciones a los servidores públicos en temas de Planeación, programación y evaluación municipal. </t>
  </si>
  <si>
    <t>Asesorías a las direcciones y dependencias del Ayuntamiento en la elaboración del Programa Operativo Anual (POA)</t>
  </si>
  <si>
    <t>Asesorías a las direcciones y depedencias del Ayuntamiento para la elaboración del reporte trimestral de avance de metas</t>
  </si>
  <si>
    <t>Recopilacion de informacion para la elaboración de Informes de actividades.</t>
  </si>
  <si>
    <t>Actualización de bases de datos de los registros estadísticos  municipales y estatales.</t>
  </si>
  <si>
    <t>Atención a las solicitudes ingresadas por la ciudadanía a través del Sistema de Acceso a la Información Mexiquense (SAIMEX)</t>
  </si>
  <si>
    <t>Supervisiones al cumplimiento del Sistema de Información Pública de Oficio Mexiquense (IPOMEX)</t>
  </si>
  <si>
    <t>Actualización de las Cédulas de Bases de Datos personales en el Sistema INTRANET</t>
  </si>
  <si>
    <t>Capacitar a los enlaces de las direcciones y dependencias del Ayuntamiento en temas de transparencia y acceso a la información pública</t>
  </si>
  <si>
    <t>Certificar al personal operativo de la Unidad en los Estándares de Competencia EC1057 y EC1171 a través del INFOEM</t>
  </si>
  <si>
    <t xml:space="preserve">Supervisión </t>
  </si>
  <si>
    <t>Atención a las citas para trámitar el Pasaporte</t>
  </si>
  <si>
    <t>Recepcionar la documentación de los ciudadanos para la integración de sus expedientes</t>
  </si>
  <si>
    <t>Traslado de la valija diplomática de los expedientes en trámite</t>
  </si>
  <si>
    <t>Entrega del Pasaporte Ordinario Mexicano a los ciudadanos que lo tramitaron</t>
  </si>
  <si>
    <t>Traslado</t>
  </si>
  <si>
    <t>DEFENSORÍA MUNICIPAL DE DERECHOS HUMANOS</t>
  </si>
  <si>
    <t>Desarrollo institucional para los derechos humanos</t>
  </si>
  <si>
    <t>Asesoría jurídica  a ciudadanos por presuntas violaciones a derechos humanos</t>
  </si>
  <si>
    <t xml:space="preserve">Trámite de quejas recibidas por presuntas violaciones a los derechos humanos </t>
  </si>
  <si>
    <t>Gestionar convenios de colaboración en Derechos Humanos</t>
  </si>
  <si>
    <t>Jornadas itinerantes para asesorías jurídicas en materia de derechos humanos a grupos vulnerables</t>
  </si>
  <si>
    <t xml:space="preserve">Capacitación para servidores públicos en materia de derechos humanos </t>
  </si>
  <si>
    <t>Pláticas de promoción de los Derechos Humanos</t>
  </si>
  <si>
    <t>Publicación de información para promover los Derechos Humanos a través de medios impresos y digitales</t>
  </si>
  <si>
    <t xml:space="preserve">Concursos para niñez y juventud para promover los derechos humanos </t>
  </si>
  <si>
    <t xml:space="preserve">Dejan de utilizar  0102040101, Concursos para niñez y juventud para promover los derechos humanos </t>
  </si>
  <si>
    <r>
      <rPr>
        <sz val="12"/>
        <rFont val="Century Gothic"/>
        <family val="2"/>
      </rPr>
      <t>Este faltaba</t>
    </r>
    <r>
      <rPr>
        <sz val="12"/>
        <color theme="9" tint="0.39997558519241921"/>
        <rFont val="Century Gothic"/>
        <family val="2"/>
      </rPr>
      <t>a</t>
    </r>
  </si>
  <si>
    <t xml:space="preserve">Este es nuevo en INMUJERES </t>
  </si>
  <si>
    <t>E</t>
  </si>
  <si>
    <t>P</t>
  </si>
  <si>
    <t>Capacitación para el desarrollo de la cultura política</t>
  </si>
  <si>
    <t>Fiscalización, control y evaluación interna de la gestión pública</t>
  </si>
  <si>
    <t>O</t>
  </si>
  <si>
    <t>Prevención, detección, disuasión, sanción y combate a la corrupción</t>
  </si>
  <si>
    <t>L</t>
  </si>
  <si>
    <t>M</t>
  </si>
  <si>
    <t>Cooperación internacional para el desarrollo del municipio</t>
  </si>
  <si>
    <t>K</t>
  </si>
  <si>
    <t>Formulación y evaluación de proyectos rentables</t>
  </si>
  <si>
    <t>Planeación de proyectos para el desarrollo social</t>
  </si>
  <si>
    <t>Operación y seguimiento del COPLADEMUN</t>
  </si>
  <si>
    <t>Capacitación y profesionalización para el desarrollo del personal</t>
  </si>
  <si>
    <t>Formación profesional especializada para personas servidoras públicas de</t>
  </si>
  <si>
    <t>N</t>
  </si>
  <si>
    <t>Acciones del programa nacional de seguridad pública</t>
  </si>
  <si>
    <t>Actualización y operación del registro civil</t>
  </si>
  <si>
    <t>Servicios e Información estadística y geográfica estatal y municipal</t>
  </si>
  <si>
    <t>F</t>
  </si>
  <si>
    <t>Innovación gubernamental con tecnologías de información</t>
  </si>
  <si>
    <t>V</t>
  </si>
  <si>
    <t>Construcción de infraestructura para drenaje y alcantarillado</t>
  </si>
  <si>
    <t>Operación de infraestructura para drenaje y alcantarillado</t>
  </si>
  <si>
    <t>Construcción de infraestructura para tratamiento de aguas residuales y pluviales</t>
  </si>
  <si>
    <t>Operación, mantenimiento e Innovación Tecnológica de infraestructura para el tratamiento de aguas residuales</t>
  </si>
  <si>
    <t>Innovación tecnológica para el tratamiento de aguas residuales</t>
  </si>
  <si>
    <t>Prevención, control y mejoramiento de la calidad del aire</t>
  </si>
  <si>
    <t>Control Poblacional Animal</t>
  </si>
  <si>
    <t>Supervisión de obras públicas</t>
  </si>
  <si>
    <t>Proyectos para obras públicas</t>
  </si>
  <si>
    <t>S</t>
  </si>
  <si>
    <t>Apoyo Solidario</t>
  </si>
  <si>
    <t>Construcción de infraestructura para agua potable</t>
  </si>
  <si>
    <t>Agua limpia para el bienestar</t>
  </si>
  <si>
    <t>Cultura del agua para el desarrollo sostenible</t>
  </si>
  <si>
    <t>Mejoramiento de la vivienda</t>
  </si>
  <si>
    <t>Regularización de predios</t>
  </si>
  <si>
    <t>Modernización del comercio tradicional</t>
  </si>
  <si>
    <t>Abasto social de productos básicos</t>
  </si>
  <si>
    <t>Coordinación para servicios de administración y mantenimiento de rastros</t>
  </si>
  <si>
    <t>Salud</t>
  </si>
  <si>
    <t>Medicina preventiva</t>
  </si>
  <si>
    <t>Vigilancia y blindaje epidemiológico</t>
  </si>
  <si>
    <t>Apoyo municipal a la prestación de servicios de salud para las personas</t>
  </si>
  <si>
    <t>Promoción y fomento de la cultura física</t>
  </si>
  <si>
    <t>Fomento de las actividades deportivas recreativas</t>
  </si>
  <si>
    <t>Impulso y fortalecimiento del deporte de alto rendimiento</t>
  </si>
  <si>
    <t>Cultura</t>
  </si>
  <si>
    <t>Promoción y difusión de las manifestaciones artísticas y culturales</t>
  </si>
  <si>
    <t>Participación ciudadana</t>
  </si>
  <si>
    <t>Educación</t>
  </si>
  <si>
    <t>Desayunos escolares</t>
  </si>
  <si>
    <t>Desayuno escolar comunitario</t>
  </si>
  <si>
    <t>Estudios nutricionales</t>
  </si>
  <si>
    <t>Dotación alimenticia a población marginada</t>
  </si>
  <si>
    <t>Cultura alimentaria</t>
  </si>
  <si>
    <t>Asistencia alimentaria a familias</t>
  </si>
  <si>
    <t>Huertos familiares</t>
  </si>
  <si>
    <t>Preservación y revalorización de usos y costumbres de los pueblos indígenas</t>
  </si>
  <si>
    <t>Desarrollo comunitario en los pueblos indígenas</t>
  </si>
  <si>
    <t>Niñas, niños y adolescentes en situación de migración acompañada y no acompañada</t>
  </si>
  <si>
    <t>Promoción de la participación infantil y adolescente</t>
  </si>
  <si>
    <t>Procuración y Defensa de los Derechos de las Niñas, Niños y Adolescentes</t>
  </si>
  <si>
    <t>Prevención y desarrollo de personas con discapacidad</t>
  </si>
  <si>
    <t>Capacitación y promoción para el trabajo productivo de personas con discapacidad</t>
  </si>
  <si>
    <t>Atención integral a personas con discapacidad</t>
  </si>
  <si>
    <t>Vida integral y saludable a las personas adultas mayores</t>
  </si>
  <si>
    <t>Asistencia para el bienestar para las personas adultas mayores</t>
  </si>
  <si>
    <t>Fomento a la integración de la familia</t>
  </si>
  <si>
    <t>Atención a víctimas por maltrato y abuso</t>
  </si>
  <si>
    <t>Servicios jurídico asistenciales a la familia</t>
  </si>
  <si>
    <t>Orientación y atención psicológica y psiquiátrica</t>
  </si>
  <si>
    <t>Coordinación Institucional para la igualdad de género</t>
  </si>
  <si>
    <t>Cultura de igualdad entre la mujer y el hombre; y población LGBTTTIQ+, para la prevención de la violencia de género</t>
  </si>
  <si>
    <t>Atención social y educativa para hijos de madres y padres trabajadores</t>
  </si>
  <si>
    <t>Promoción de la Entidad como polo de inversión y desarrollo económico</t>
  </si>
  <si>
    <t>Confianza y eficiencia regulatoria</t>
  </si>
  <si>
    <t>Bienestar de las MiPyMEs</t>
  </si>
  <si>
    <t>Actividad comercial y de servicios a la vanguardia</t>
  </si>
  <si>
    <t>Colocación de trabajadores desempleados</t>
  </si>
  <si>
    <t>Capacitación, adiestramiento y productividad en el trabajo</t>
  </si>
  <si>
    <t>Apoyo para insumos agrícolas</t>
  </si>
  <si>
    <t>Apoyos especiales a productores agrícolas</t>
  </si>
  <si>
    <t>Impulso productivo sostenible para el campo</t>
  </si>
  <si>
    <t>Insumos Pecuarios, Avícola, Apícola y Acuícola</t>
  </si>
  <si>
    <t>Capacitación y desarrollo para la producción pecuaria, avícola, apícola y acuícola</t>
  </si>
  <si>
    <t>Acciones municipales de apoyo a la sanidad, inocuidad y calidad agroalimentaria</t>
  </si>
  <si>
    <t>Programa estatal de manejo de fuegos forestales</t>
  </si>
  <si>
    <t>Integración de proyectos forestales sostenibles</t>
  </si>
  <si>
    <t>Protección de los ecosistemas forestales</t>
  </si>
  <si>
    <t>Plantaciones forestales de administración municipal</t>
  </si>
  <si>
    <t>Seguro agropecuario y otros servicios financieros</t>
  </si>
  <si>
    <t>Electrificación no convencional</t>
  </si>
  <si>
    <t>Electrificación rural</t>
  </si>
  <si>
    <t>Fortalecimiento a la micro y pequeña empresa</t>
  </si>
  <si>
    <t>Fortalecimiento a la competitividad</t>
  </si>
  <si>
    <t>Fortalecimiento al Comercio</t>
  </si>
  <si>
    <t>Construcción de carreteras alimentadoras</t>
  </si>
  <si>
    <t>Construcción y rehabilitación de puentes en carreteras</t>
  </si>
  <si>
    <t>Modernización de vialidades primarias</t>
  </si>
  <si>
    <t>Construcción y rehabilitación de puentes en vialidades</t>
  </si>
  <si>
    <t>Gestión y desarrollo de productos turísticos</t>
  </si>
  <si>
    <t>Q</t>
  </si>
  <si>
    <t>Organización, capacitación y asesoría financiera</t>
  </si>
  <si>
    <t>Amortización de la deuda (capital)</t>
  </si>
  <si>
    <t>D</t>
  </si>
  <si>
    <t>Costo financiero de la deuda (intereses)</t>
  </si>
  <si>
    <t>Convenios de coordinación</t>
  </si>
  <si>
    <t>C</t>
  </si>
  <si>
    <t xml:space="preserve">Participación social en la formulación, seguimiento, control y evaluación </t>
  </si>
  <si>
    <t>Declaración de situación patrimonial, de interés y constancia de la declaración fiscal de los servidores públicos</t>
  </si>
  <si>
    <t xml:space="preserve">Mediación, conciliación y función calificadora municipal </t>
  </si>
  <si>
    <t xml:space="preserve">Desarrollo e impulso de la profesionalización, la investigación, estadísticas </t>
  </si>
  <si>
    <t xml:space="preserve">Control de la función registral </t>
  </si>
  <si>
    <t>Coordinación interinstitucional para garantizar el goce, respeto, protección y promoción de los derechos de niñas, niños y adolescentes</t>
  </si>
  <si>
    <t>k</t>
  </si>
  <si>
    <t>Operación y mantenimiento de infraestructura hidráulica para el suministro de agua</t>
  </si>
  <si>
    <t>Apoyo y asesoría para la conducción de las políticas para el desarrollo económico</t>
  </si>
  <si>
    <t>Control, seguimiento administrativo de servicios y mejora continua para el desarrollo económico</t>
  </si>
  <si>
    <t xml:space="preserve">Coordinación, información, planeación, control y evaluación de programas para el desarrollo económico </t>
  </si>
  <si>
    <t>0102040101</t>
  </si>
  <si>
    <t>0102040102</t>
  </si>
  <si>
    <t>0102040103</t>
  </si>
  <si>
    <t>0103010101</t>
  </si>
  <si>
    <t>0103010103</t>
  </si>
  <si>
    <t>0103020104</t>
  </si>
  <si>
    <t>0103030101</t>
  </si>
  <si>
    <t>0103040101</t>
  </si>
  <si>
    <t>0103040102</t>
  </si>
  <si>
    <t>0103040203</t>
  </si>
  <si>
    <t>0103040205</t>
  </si>
  <si>
    <t>0103050104</t>
  </si>
  <si>
    <t>0103080104</t>
  </si>
  <si>
    <t>0103080107</t>
  </si>
  <si>
    <t>0103090104</t>
  </si>
  <si>
    <t>0103090201</t>
  </si>
  <si>
    <t>0103090301</t>
  </si>
  <si>
    <t>0104010103</t>
  </si>
  <si>
    <t>0105020105</t>
  </si>
  <si>
    <t>0105020201</t>
  </si>
  <si>
    <t>0105020209</t>
  </si>
  <si>
    <t>0105020304</t>
  </si>
  <si>
    <t>0105020401</t>
  </si>
  <si>
    <t>0105020502</t>
  </si>
  <si>
    <t>0105020508</t>
  </si>
  <si>
    <t>0105020509</t>
  </si>
  <si>
    <t>0105020510</t>
  </si>
  <si>
    <t>0105020511</t>
  </si>
  <si>
    <t>0105020601</t>
  </si>
  <si>
    <t>0105020602</t>
  </si>
  <si>
    <t>0105020603</t>
  </si>
  <si>
    <t>0105020606</t>
  </si>
  <si>
    <t>0105020608</t>
  </si>
  <si>
    <t>0105020609</t>
  </si>
  <si>
    <t>0107010101</t>
  </si>
  <si>
    <t>0107010102</t>
  </si>
  <si>
    <t>0107010103</t>
  </si>
  <si>
    <t>0107020101</t>
  </si>
  <si>
    <t>0107020102</t>
  </si>
  <si>
    <t>0107020103</t>
  </si>
  <si>
    <t>0107020104</t>
  </si>
  <si>
    <t>0107020105</t>
  </si>
  <si>
    <t>0107020106</t>
  </si>
  <si>
    <t>0107040101</t>
  </si>
  <si>
    <t>0108010101</t>
  </si>
  <si>
    <t>0108010102</t>
  </si>
  <si>
    <t>0108010201</t>
  </si>
  <si>
    <t>0108010301</t>
  </si>
  <si>
    <t>0108020101</t>
  </si>
  <si>
    <t>0108030103</t>
  </si>
  <si>
    <t>0108040101</t>
  </si>
  <si>
    <t>0108050103</t>
  </si>
  <si>
    <t>0201010101</t>
  </si>
  <si>
    <t>0201010102</t>
  </si>
  <si>
    <t>0201030101</t>
  </si>
  <si>
    <t>0201030102</t>
  </si>
  <si>
    <t>0201030103</t>
  </si>
  <si>
    <t>0201030104</t>
  </si>
  <si>
    <t>0201030105</t>
  </si>
  <si>
    <t>0201040108</t>
  </si>
  <si>
    <t>0201040109</t>
  </si>
  <si>
    <t>0201040110</t>
  </si>
  <si>
    <t>0201040113</t>
  </si>
  <si>
    <t>0201040114</t>
  </si>
  <si>
    <t>0201050101</t>
  </si>
  <si>
    <t>0201050102</t>
  </si>
  <si>
    <t>0201050201</t>
  </si>
  <si>
    <t>0201050202</t>
  </si>
  <si>
    <t>0201050203</t>
  </si>
  <si>
    <t>0202010104</t>
  </si>
  <si>
    <t>0202010105</t>
  </si>
  <si>
    <t>0202010106</t>
  </si>
  <si>
    <t>0202010107</t>
  </si>
  <si>
    <t>0202010108</t>
  </si>
  <si>
    <t>0202010109</t>
  </si>
  <si>
    <t>0202010110</t>
  </si>
  <si>
    <t>0202010111</t>
  </si>
  <si>
    <t>0202010112</t>
  </si>
  <si>
    <t>0202010113</t>
  </si>
  <si>
    <t>0202010115</t>
  </si>
  <si>
    <t>0202020101</t>
  </si>
  <si>
    <t>0202020102</t>
  </si>
  <si>
    <t>0202030105</t>
  </si>
  <si>
    <t>0202030107</t>
  </si>
  <si>
    <t>0202030108</t>
  </si>
  <si>
    <t>0202030110</t>
  </si>
  <si>
    <t>0202050101</t>
  </si>
  <si>
    <t>0202050104</t>
  </si>
  <si>
    <t>0202060101</t>
  </si>
  <si>
    <t>0202060102</t>
  </si>
  <si>
    <t>0202060103</t>
  </si>
  <si>
    <t>0202060104</t>
  </si>
  <si>
    <t>0202060105</t>
  </si>
  <si>
    <t>0202060106</t>
  </si>
  <si>
    <t>0203010101</t>
  </si>
  <si>
    <t>0203010102</t>
  </si>
  <si>
    <t>0203010108</t>
  </si>
  <si>
    <t>0203010109</t>
  </si>
  <si>
    <t>0203020115</t>
  </si>
  <si>
    <t>0204010101</t>
  </si>
  <si>
    <t>0204010102</t>
  </si>
  <si>
    <t>0204010103</t>
  </si>
  <si>
    <t>0204020101</t>
  </si>
  <si>
    <t>0204040102</t>
  </si>
  <si>
    <t>0205010110</t>
  </si>
  <si>
    <t>0205020105</t>
  </si>
  <si>
    <t>0205030105</t>
  </si>
  <si>
    <t>0205050101</t>
  </si>
  <si>
    <t>0205050102</t>
  </si>
  <si>
    <t>0205060301</t>
  </si>
  <si>
    <t>0205060302</t>
  </si>
  <si>
    <t>0206050101</t>
  </si>
  <si>
    <t>0206050102</t>
  </si>
  <si>
    <t>0206050103</t>
  </si>
  <si>
    <t>0206050104</t>
  </si>
  <si>
    <t>0206050105</t>
  </si>
  <si>
    <t>0206070101</t>
  </si>
  <si>
    <t>0206070102</t>
  </si>
  <si>
    <t>0206080104</t>
  </si>
  <si>
    <t>0206080105</t>
  </si>
  <si>
    <t>0206080106</t>
  </si>
  <si>
    <t>0206080202</t>
  </si>
  <si>
    <t>0206080203</t>
  </si>
  <si>
    <t>0206080204</t>
  </si>
  <si>
    <t>0206080301</t>
  </si>
  <si>
    <t>0206080302</t>
  </si>
  <si>
    <t>0206080401</t>
  </si>
  <si>
    <t>0206080402</t>
  </si>
  <si>
    <t>0206080403</t>
  </si>
  <si>
    <t>0206080406</t>
  </si>
  <si>
    <t>0206080501</t>
  </si>
  <si>
    <t>0206080502</t>
  </si>
  <si>
    <t>0206080503</t>
  </si>
  <si>
    <t>0206080504</t>
  </si>
  <si>
    <t>0206080505</t>
  </si>
  <si>
    <t>0206080602</t>
  </si>
  <si>
    <t>0206080603</t>
  </si>
  <si>
    <t>0206080604</t>
  </si>
  <si>
    <t>0301010101</t>
  </si>
  <si>
    <t>0301010102</t>
  </si>
  <si>
    <t>0301010103</t>
  </si>
  <si>
    <t>0301010104</t>
  </si>
  <si>
    <t>0301010105</t>
  </si>
  <si>
    <t>0301010106</t>
  </si>
  <si>
    <t>0301010107</t>
  </si>
  <si>
    <t>0301020106</t>
  </si>
  <si>
    <t>0301020107</t>
  </si>
  <si>
    <t>0301020109</t>
  </si>
  <si>
    <t>0301020301</t>
  </si>
  <si>
    <t>0301020302</t>
  </si>
  <si>
    <t>0301020303</t>
  </si>
  <si>
    <t>0302010101</t>
  </si>
  <si>
    <t>0302010103</t>
  </si>
  <si>
    <t>0302010203</t>
  </si>
  <si>
    <t>0302010302</t>
  </si>
  <si>
    <t>0302010304</t>
  </si>
  <si>
    <t>0302010404</t>
  </si>
  <si>
    <t>0302020102</t>
  </si>
  <si>
    <t>0302020103</t>
  </si>
  <si>
    <t>0302020104</t>
  </si>
  <si>
    <t>0302020105</t>
  </si>
  <si>
    <t>0302020107</t>
  </si>
  <si>
    <t>0302060101</t>
  </si>
  <si>
    <t>0303050101</t>
  </si>
  <si>
    <t>0303050102</t>
  </si>
  <si>
    <t>0303050103</t>
  </si>
  <si>
    <t>0303050104</t>
  </si>
  <si>
    <t>0303050105</t>
  </si>
  <si>
    <t>0304020102</t>
  </si>
  <si>
    <t>0304020103</t>
  </si>
  <si>
    <t>0304020104</t>
  </si>
  <si>
    <t>0305010111</t>
  </si>
  <si>
    <t>0305010305</t>
  </si>
  <si>
    <t>0305010310</t>
  </si>
  <si>
    <t>0305010321</t>
  </si>
  <si>
    <t>0305010322</t>
  </si>
  <si>
    <t>0307010101</t>
  </si>
  <si>
    <t>0307010102</t>
  </si>
  <si>
    <t>0308010101</t>
  </si>
  <si>
    <t>0309030102</t>
  </si>
  <si>
    <t>0309030104</t>
  </si>
  <si>
    <t>0401010104</t>
  </si>
  <si>
    <t>0401010105</t>
  </si>
  <si>
    <t>0402010103</t>
  </si>
  <si>
    <t>0402010104</t>
  </si>
  <si>
    <t>PROYECTO</t>
  </si>
  <si>
    <t>NOMBRE PROYECTO</t>
  </si>
  <si>
    <t>CONAC</t>
  </si>
  <si>
    <t>Comprende las actividades de investigación y docencia, como mecanismos para fortalecer la capacitación, promoción, difusión y divulgación entre la sociedad civil y las instituciones públicas que consoliden el conocimiento en derechos humanos y los servicios que se ofrecen en la materia.</t>
  </si>
  <si>
    <t>Considera acciones de carácter administrativo y de servicios para dar soporte a las acciones sustantivas de atención a presuntas violaciones a los derechos humanos, potenciando los recursos humanos, técnicos y financieros.</t>
  </si>
  <si>
    <t>Contiene las acciones dirigidas a establecer y mantener sistemas de comunicación directa para el despacho de los asuntos de responsabilidad de los presidentes municipales.</t>
  </si>
  <si>
    <t>Considera las acciones que permiten garantizar el derecho de la ciudadanía a ser escuchada por las autoridades del ayuntamiento y las que se refieren a promover la solicitud de opiniones, sugerencias y demandas de la población para ser incorporadas en los planes y programas de gobierno.</t>
  </si>
  <si>
    <t>Considera las acciones que contribuyan en la consolidación de una cultura política, democrática, participativa y corresponsable a través de la capacitación en la materia, orientada principalmente a la educación media superior y superior con contenidos en los diversos sectores de la sociedad, la integración social, la solidaridad y la identidad mexiquense, coadyuvando a fortalecer la relación gobierno-sociedad y reconstruir el tejido social.</t>
  </si>
  <si>
    <t>Engloba las actividades enfocadas a restaurar, conservar y mantener en óptimas condiciones de uso, el patrimonio histórico, artístico y cultural de la entidad, con la finalidad de difundirlo entre la población.</t>
  </si>
  <si>
    <t>Comprende las acciones de dirección para vigilar, fiscalizar, controlar y evaluar la gestión de los servidores públicos en la administración pública municipal y el cumplimiento de sus obligaciones derivadas de los convenios suscritos con los gobiernos federal, estatal y municipales, así como la inspección, vigilancia y evaluación de los órganos internos de control de las dependencias y entidades públicas municipales.</t>
  </si>
  <si>
    <t>Comprende las acciones para promover la participación organizada de la ciudadanía en la formulación, seguimiento, control y evaluación de programas de la administración pública municipal y en particular en lo relativo a obras y servicios de mayor impacto, como apoyo al diseño de las políticas públicas; asimismo incluye las acciones relacionadas con las autoridades auxiliares municipales.</t>
  </si>
  <si>
    <t>Incluye las acciones y procesos orientados al establecimiento y operación del Sistema Anticorrupción del Estado de México y Municipios, así como aquellas destinadas a instituir los principios, bases generales y procedimientos para la coordinación entre las autoridades del Estado de México y los municipios, con el objeto de fiscalizar y controlar los recursos públicos; promover la transparencia y rendición de cuentas; prevenir, investigar, resolver y en su caso, sancionar las faltas administrativas, hechos de corrupción y conflicto de intereses, en congruencia con el Sistema Estatal Anticorrupción.</t>
  </si>
  <si>
    <t>Comprende el conjunto de acciones orientadas a procurar que el desempeño de los servidores públicos se apegue a los principios rectores y directrices de su actuación, así como a las acciones que permitan llevar a cabo la substanciación de procedimientos derivados de hechos irregulares y actos de corrupción de los servidores públicos, para constituir las responsabilidades administrativas y la resolución de estos por la autoridad competente.</t>
  </si>
  <si>
    <t>Comprende la integración del padrón de servidores públicos de la administración pública municipal, obligados a la presentación de las declaraciones de situación patrimonial, de intereses y la constancia de la declaración fiscal, cuyo fin es su recepción, registro y resguardo, así como la verificación aleatoria de las mismas.</t>
  </si>
  <si>
    <t>Es el conjunto de acciones orientadas a investigar presuntas infracciones o faltas administrativas previstas en la Ley de Responsabilidades Administrativas del Estado de México y Municipios, originadas por actos u omisiones cometidas por las personas servidoras públicas y particulares vinculados con hechos de corrupción, que deriven en denuncias, auditorías practicadas por la autoridad competente, actuaciones de oficio, declaración patrimonial y de intereses en su caso así como de la verificación aleatoria de las mismas, para determinar su calificación como grave o no grave.</t>
  </si>
  <si>
    <t>Consiste en otorgar orientación, asesoría, tramitación y defensa de los asuntos de carácter civil, mercantil, laboral, penal, agrario, administrativo, fiscal, amparos, controversias constitucionales y acciones de inconstitucionalidad a los Ayuntamientos; de orientación y asesoría jurídica y de derechos humanos; de trámites y procedimientos de asuntos notariales; de promoción y acceso a la Justicia Cotidiana; y del servicio de registro de actos y hechos del estado civil.</t>
  </si>
  <si>
    <t>Conjunto de acciones que permitan la elaboración, modificación e implementación de planes de desarrollo urbano municipal, que promuevan la incorporación ordenada y planificada del suelo al desarrollo urbano.</t>
  </si>
  <si>
    <t>Incluye las acciones que permitan mejorar la atención a la ciudadanía en la gestión de trámites, que asegure su incorporación ordenada y planificada al desarrollo urbano, garantizando la aplicación del marco legal y normativo, para el uso y aprovechamiento del suelo, procurando garantizar el ordenamiento territorial y desarrollo urbano de los centros de población del municipio.</t>
  </si>
  <si>
    <t>Comprende las acciones de coordinación con autoridades de los gobiernos de otros municipios, gobiernos estatales, incluyendo el gobierno federal, para la planeación, ejecución y difusión de programas para el desarrollo regional, incluyendo el desarrollo metropolitano, además incluye el impulso del desarrollo y la vinculación institucional, con organizaciones públicas y privadas.</t>
  </si>
  <si>
    <t>Engloba las actividades y procesos descritos en la Ley de Justicia Cívica del Estado de México y Municipios, así como la Ley de Mediación, Conciliación y Promoción de la Paz Social para el Estado de México (vigentes) relativa a la función mediadora-conciliadora y de la calificadora de los ayuntamientos.</t>
  </si>
  <si>
    <t>Incluye todas las acciones relacionadas con la celebración de reuniones, eventos, convenios y acuerdos para la formalización de proyectos de cooperación internacional y para la promoción, económica, comercial y turística de los ayuntamientos del Estado de México.</t>
  </si>
  <si>
    <t>Considera las acciones de profesionalización, actualización, y formación académica que se llevan a cabo mediante programas estructurados con base en las necesidades detectadas; así como las actividades relativas a la certificación de los conocimientos y habilidades de los servidores públicos hacendarios, en las normas institucionales de competencia laboral.</t>
  </si>
  <si>
    <t>Se refiere al establecimiento de criterios, lineamientos, procedimientos y sistemas de carácter técnico y administrativo, a fin de mantener un control que permita la correcta evaluación de la administración; asimismo planear y organizar las políticas financieras y crediticias de los gobiernos municipales, mediante una estricta administración de los recursos financieros y de control en las disposiciones de los egresos cuidando la liquidez conforme a los programas y presupuestos aprobados.</t>
  </si>
  <si>
    <t>Comprende el conjunto de acciones dirigidas al análisis, distribución y registro de los recursos de inversión pública asignados para el ejercicio fiscal que corresponda; así como las acciones que se realizan para su seguimiento, control y el nivel de cumplimiento en la ejecución de las obras y/o acciones programadas.</t>
  </si>
  <si>
    <t>Comprende las acciones de concertación que se llevan a cabo por dependencias de la administración pública municipal para la formulación, implementación, seguimiento y evaluación de proyectos de inversión de alta rentabilidad social y económica, preferentemente aquellos que cuenten con la participación social y privada, y cuyo esquema financiero no constituya deuda pública.</t>
  </si>
  <si>
    <t>Engloba las acciones de coordinación entre la Tesorería y las dependencias y organismos municipales, para determinar los proyectos de inversión y vigilar que los mismos respondan a los objetivos nacionales, estatales y municipales de desarrollo.</t>
  </si>
  <si>
    <t>Comprende el conjunto de actividades para la coordinación, participación, elaboración, actualización e instrumentación del Plan de Desarrollo Municipal y planes y programas que de él se deriven; asimismo incluye las actividades asociadas a la operación del Sistema de Coordinación Hacendaria del Estado de México; así como la definición de los mecanismos necesarios para facilitar el proceso de planeación, programación, presupuestación y evaluación de las dependencias y organismos municipales para en su caso; analizar, operar y emitir reportes sobre el Sistema de Evaluación del Desempeño municipal.</t>
  </si>
  <si>
    <t>Comprende el conjunto de acciones para coordinar y fungir como medio de enlace entre los sectores de la sociedad y los tres órdenes de gobierno para la integración, seguimiento y evaluación del Plan de Desarrollo Municipal y los planes y programas que de él deriven.</t>
  </si>
  <si>
    <t>Incluye las acciones para la integración de la Cuenta Pública Municipal, las acciones orientadas a manejar, registrar y controlar los recursos financieros de la administración pública municipal, para el desarrollo de los diversos planes y programas; así mismo, registrar, analizar y controlar contablemente los resultados financieros y presupuestales de las operaciones tanto del ingreso como del egreso de las administraciones municipales.</t>
  </si>
  <si>
    <t>Comprende las actividades tendientes a revisar, actualizar, proponer y desarrollar la legislación y normatividad en materia de desarrollo y administración de personal, así como celebrar con los Sindicatos SMSEM y SUTEYM en tiempo y forma, los convenios que rigen las relaciones laborales entre el Gobierno del Estado de México y sus servidores públicos; consolidar el Sistema de Nómina y llevar a cabo el reclutamiento, selección, inducción, promoción escalonaría, evaluación del desempeño, así como el fortalecimiento de las actividades de integración familiar.</t>
  </si>
  <si>
    <t>Integra el conjunto de acciones encaminadas a mejorar la calidad en la prestación de los servicios públicos, a través de los procesos de profesionalización, capacitación, desarrollo de los servidores públicos municipales.</t>
  </si>
  <si>
    <t>Engloba las actividades que se enfocan a la adquisición y distribución racional de los bienes y servicios necesarios para el funcionamiento de las dependencias y organismos de las administraciones públicas municipales.</t>
  </si>
  <si>
    <t>Contempla las acciones tendientes a preservar el patrimonio del ayuntamiento, mediante el registro, actualización y control permanente del inventario de bienes; la verificación constante del uso, asignación y aprovechamiento de los mismos para su optimización.</t>
  </si>
  <si>
    <t>Comprende acciones orientadas al logro de una administración pública accesible, eficiente y eficaz, que genere resultados e impulse las mejores prácticas en desarrollo administrativo, así como contribuir en la modernización y calidad de los trámites y servicios gubernamentales.</t>
  </si>
  <si>
    <t>Comprende el conjunto de acciones relativas al diseño, mejora, cambio o reingeniería organizacional de las dependencias y organismos municipales, con base en los objetivos y programas gubernamentales; así como a la formulación y actualización de reglamentos interiores y manuales administrativos que regulen su organización y funcionamiento.</t>
  </si>
  <si>
    <t>Comprende las acciones de despliegue operativo para prevenir el delito y disuadir su comisión en zonas vulnerables o de alta incidencia a partir de la inteligencia policial, así como aquellas para la protección de la población en casos de emergencia y desastre.</t>
  </si>
  <si>
    <t>Comprende acciones de recopilación, análisis, sistematización y georreferenciación de datos criminales, con la ayuda de sistemas y tecnologías de la información para generar inteligencia operacional, que permita ubicar, identificar, disuadir, prevenir y combatir los delitos y ciberdelitos, así como diseñar políticas públicas y estudios en la materia y el intercambio de información con los diferentes órdenes de gobierno y el Poder Judicial.</t>
  </si>
  <si>
    <t>Se refiere a las actividades para desarrollar investigación académica e impartir programas de estudio en materia policial, ministerial, pericial y en general para las instituciones de seguridad pública a nivel municipal, así como coadyuvar en el ámbito de sus atribuciones en el diseño de políticas y normas para el reclutamiento y selección de aspirantes.</t>
  </si>
  <si>
    <t>Conjunto de acciones para el fortalecimiento, difusión, asistencia y prevención de la seguridad pública, edificando una alianza entre los distintos órdenes de gobierno y la población, a fin de consolidar una cultura de legalidad que impacte en la prevención del delito.</t>
  </si>
  <si>
    <t>Considera las acciones para desarrollar y fomentar la cultura de seguridad vial a través de la difusión de normas y disciplinas para el tránsito como peatón, conductor y persona usuaria del transporte público, así como para el funcionamiento del sistema de vialidad mediante la instalación, mantenimiento y conservación de las señales de control de tráfico vehicular en calles y avenidas de jurisdicción estatal, así como la rotulación de vehículos oficiales de la Dependencias de Seguridad Pública y Tránsito.</t>
  </si>
  <si>
    <t>Incluye las acciones para recopilar, integrar y analizar la información que permita la identificación y determinación de las condiciones de riesgo existentes o potenciales por posibles fenómenos naturales o antropogénicos en inmuebles destinados al desarrollo de actividades industriales, comerciales y de servicio, incorpora el manejo de la pirotecnia que impacten el desarrollo de proyectos o a la población, con la finalidad de proteger la integridad física de las personas, el entorno y sus bienes, trabajando coordinadamente con los sectores público, privado y social, así como elaborar programas de protección civil.</t>
  </si>
  <si>
    <t>Agrupa las acciones enfocadas al levantamiento, sistematización y análisis de información cartográfica y estadística sobre los agentes perturbadores, afectables y reguladores, tendientes a una eficiente y eficaz gestión integral del riesgo en el municipio.</t>
  </si>
  <si>
    <t>Contiene acciones que promueven la participación de los sectores público, social y privado en el fomento a la cultura de la protección civil, a través de acuerdos que permitan lograr que se genere en la población hábitos y conductas de autoprotección y conciencia de corresponsabilidad.</t>
  </si>
  <si>
    <t>Comprende actividades para difundir las medidas de prevención, para saber cómo actuar antes, durante y después de un desastre natural o siniestro, mediante los medios masivos electrónicos e impresos para fomentar con esto, una cultura de protección civil entre la población.</t>
  </si>
  <si>
    <t>Contiene acciones enfocadas a coordinar con el gobierno federal y estatal la ejecución de los programas derivados del convenio de acciones en materia de seguridad, el seguimiento a los convenios y acuerdos que se suscriban entre los órdenes de gobierno y en su caso con instituciones policiales a nivel internacional.</t>
  </si>
  <si>
    <t>Consiste en otorgar orientación, asesoría, tramitación y defensa de los asuntos de carácter civil, mercantil, laboral, penal, agrario, administrativo, fiscal, amparos, controversias constitucionales y acciones de inconstitucionalidad para beneficio de la población.</t>
  </si>
  <si>
    <t>Incluye acciones orientadas a modernizar la función registral civil, considerando la implementación de nuevas herramientas tecnológicas que conlleven a garantizar la viabilidad y seguridad de la base de datos de los registros de los actos y hechos del estado civil de las personas, con una visión de largo plazo orientada a la prestación de un servicio ágil y eficiente en la emisión de copias certificadas y constancias de no registro.</t>
  </si>
  <si>
    <t>Revisión de las actividades enfocadas a la integración y conservación del padrón catastral de los inmuebles localizados en la Entidad conforme a los ordenamientos técnicos y administrativos de la materia y sea sustento para la planeación del desarrollo territorial del Estado de México.</t>
  </si>
  <si>
    <t>Contempla acciones de asesoría y orientación a la población, sobre los procedimientos e instancias de atención para la regularización de sus bienes inmuebles; así como de difusión de los beneficios que representa la seguridad jurídica por la inscripción de los bienes inmuebles.</t>
  </si>
  <si>
    <t>Comprende las actividades de recopilación, análisis, procesamiento, integración y actualización de la información demográfica, social, económica y geoespacial en los ámbitos municipal, regional, estatal y federal; con el propósito de ser un referente en el diseño de políticas y estrategias que coadyuven en la planeación del desarrollo y del ordenamiento del territorio mexiquense.</t>
  </si>
  <si>
    <t>Engloba aquellas actividades que se enfocan a difundir y comunicar a la población en general sobre las acciones gubernamentales.</t>
  </si>
  <si>
    <t>Integra el conjunto de actividades encaminadas a proporcionar información gubernamental de interés a la ciudadanía, así como a mantenerla informada sobre los programas especiales, acciones y logros del quehacer gubernamental, mediante procesos de transparencia, rendición de cuentas y acceso a la información pública, que propicien una buena interacción entre la población y el gobierno, siempre garantizando la protección de los datos personales.</t>
  </si>
  <si>
    <t>Incluye el conjunto de acciones tendientes a impulsar el gobierno electrónico; contribuir a la automatización de procesos, de sistemas prioritarios y al desarrollo de sistemas que requiera la administración pública, basados en tecnología de punta, conservando los criterios de estandarización para su optimización, así como diseñar y administrar la infraestructura de redes de telecomunicaciones, que permitan hacer eficiente la gestión interna y contribuir al mejoramiento en la prestación de los servicios públicos.</t>
  </si>
  <si>
    <t>Engloba las acciones para el manejo integral de los residuos sólidos municipales, a partir de su generación, separación, tratamiento, transporte y disposición final; se adapta a las condiciones y necesidades de cada lugar; para cumplir los objetivos de valorización, eficiencia sanitaria, ambiental, tecnológica, económica y social.</t>
  </si>
  <si>
    <t>Incluye aquellas acciones de coordinación entre los gobiernos estatal y municipales para que operen los sitios de disposición final y de aseguramiento y confinamiento de residuos sólidos, para otorgar a la población servicios óptimos y de calidad.</t>
  </si>
  <si>
    <t>Comprende acciones orientadas a implementar el servicio de drenaje sanitario para evitar riesgos y enfermedades, a fin de mejorar la calidad de vida de la población; así mismo dotar de la infraestructura de drenaje necesario para evitar y reducir los riesgos de inundación, evitando pérdidas económicas y daños a los habitantes.</t>
  </si>
  <si>
    <t>Comprende el conjunto de acciones tendientes a ejecutar los lineamientos para la operación de la infraestructura hidráulica de drenaje sanitario, que permita el desalojo de aguas negras y pluviales de las zonas de influencia de los cárcamos que son atendidos; así mismo operar los lineamientos para el mantenimiento preventivo y correctivo de la infraestructura de drenaje y alcantarillado, así como las redes de drenaje y canales a cielo abierto.</t>
  </si>
  <si>
    <t>Comprende aquellas acciones encaminadas al tratamiento de aguas residuales y pluviales para fomentar su reutilización productiva, así como a contribuir con los municipios para cumplir con la normatividad en la materia.</t>
  </si>
  <si>
    <t>Engloba el conjunto de acciones encaminadas al mejoramiento y transformación de la infraestructura para el tratamiento de aguas residuales, drenaje y alcantarillado que permitan la mejora de los servicios que se brindan a la población a través de la introducción de nuevas tecnologías.</t>
  </si>
  <si>
    <t>Comprende el conjunto de acciones tendientes a fortalecer la participación de los sectores de la sociedad y con esto lograr la concertación y vinculación de dichos sectores en programas, proyectos y temas ambientales.</t>
  </si>
  <si>
    <t>Comprende el conjunto de acciones de promoción de la cultura ambiental para hacer conciencia en la población, a través de capacitación, promoción y orientación en materia ambiental en los diferentes sectores de la sociedad.</t>
  </si>
  <si>
    <t>Considera el conjunto de acciones encaminadas a implementar la asistencia técnica y normativa recibida por instancias estatales y federales para el manejo integral de sus residuos sólidos para prevenir y controlar la contaminación del suelo.</t>
  </si>
  <si>
    <t>Incluye las acciones para elaborar y aplicar los programas hidráulicos municipales, considerando los diagnósticos técnicos existentes, así como las acciones de capacitación en materia de manejo de aguas residuales y el saneamiento de las cuencas hidrológicas, observando la normatividad vigente.</t>
  </si>
  <si>
    <t>Contempla las acciones tendientes a promover y difundir los parques recreativos municipales, a través de los medios masivos de comunicación, coordinar y apoyar actividades culturales y deportivas en los parques; así como promover y coordinar talleres, cursos, campamentos y visitas especiales en parques recreativos.</t>
  </si>
  <si>
    <t>Integra acciones destinadas a apoyar el manejo y control de las áreas naturales protegidas del territorio estatal, incluye las facilidades para el mantenimiento y la procuración de recursos para apoyar la protección de las distintas especies de la fauna en peligro de extinción.</t>
  </si>
  <si>
    <t>Es el conjunto de las actividades realizadas por los gobiernos municipales enfocadas en promover y fomentar la tenencia responsable de los animales evitando el maltrato hacia ellos, así como la integración de la sociedad en la toma de decisiones en la materia.</t>
  </si>
  <si>
    <t>Incluye las acciones relacionadas a disminuir la sobrepoblación de los perros y gatos domiciliados y en situación de calle, además de combatir otros riesgos para la salud humana causados en el medio ambiente.</t>
  </si>
  <si>
    <t>Contiene las acciones que mejoran el estado de salud y bienestar de los animales, mediante la prevención de enfermedades.</t>
  </si>
  <si>
    <t>Comprende acciones encaminadas a controlar las actividades relacionadas con la elaboración de programas, estudios y proyectos para obras públicas, y la vigilancia para garantizar el cumplimiento en la realización de las obras públicas asignadas.</t>
  </si>
  <si>
    <t>Incluye el conjunto de acciones encaminadas a reducir el rezago en materia de pavimentación de calles en el territorio estatal.</t>
  </si>
  <si>
    <t>Engloba las acciones tendientes a reducir el rezago existente en obras de equipamiento urbano, mejorar la imagen urbana y dotar de servicios públicos básicos a la población, con el apoyo de los diferentes sectores de la comunidad.</t>
  </si>
  <si>
    <t>Incluye las actividades encaminadas a mejorar la imagen urbana de las comunidades e incrementar los niveles de seguridad en zonas de alto riesgo para los peatones; así mismo reducir el rezago existente en la construcción de guarniciones y banquetas.</t>
  </si>
  <si>
    <t>Contiene las acciones relativas a la construcción y remodelación de plazas cívicas y jardines, con el fin de conservar y mantener un constante y óptimo funcionamiento de este servicio.</t>
  </si>
  <si>
    <t>Comprende aquellas acciones orientadas a fortalecer el equipamiento e infraestructura urbana en el municipio, mediante la construcción de vialidades urbanas para el transporte público y asimismo contribuir al desarrollo de la entidad.</t>
  </si>
  <si>
    <t>Comprende aquellas acciones tendientes a ampliar la cantidad y calidad de los espacios públicos destinados para la atención a la ciudadanía, respecto de los servicios que requieren los habitantes; es decir la construcción de edificios públicos.</t>
  </si>
  <si>
    <t>Consiste en las acciones encaminadas a fortalecer el equipamiento e infraestructura urbana en el municipio, mediante la rehabilitación de edificaciones urbanas existentes.</t>
  </si>
  <si>
    <t>Integra acciones para elaborar y desarrollar proyectos que tengan que ver con el establecimiento de las normas técnicas de construcción de obras y la realización y ejecución de las mismas, para contribuir al incremento de la infraestructura urbana municipal.</t>
  </si>
  <si>
    <t>Incluye estrategias de desarrollo comunitario que impulsa procesos de organización y participación comunitaria para mejorar las condiciones de vida de los grupos de desarrollo ubicados en localidades de alta y muy alta marginación.</t>
  </si>
  <si>
    <t>Incluye las actividades que permiten otorgar apoyos, la adquisición y suministro de bienes materiales y de servicios, la realización de acciones y obras sociales promovidas en las comunidades a través de los legisladores, sus grupos parlamentarios o las regidurías.</t>
  </si>
  <si>
    <t>Comprende las acciones dirigidas a dotar a la población de agua potable en cantidad y calidad para su consumo, así como programar, organizar y gestionar la construcción, rehabilitación y ampliación de la infraestructura hidráulica para el servicio de agua potable.</t>
  </si>
  <si>
    <t>Contiene aquellas acciones que permiten garantizar que el agua potable que se suministra a la población del municipio cumpla con los parámetros de calidad establecidos para el consumo humano.</t>
  </si>
  <si>
    <t>Incluye el conjunto de acciones dirigidas a concientizar a la población en el uso eficiente y ahorro del agua, a través de eventos y de los distintos medios de comunicación, en donde participen los tres órdenes de gobierno y el sector educativo para inculcar los valores de responsabilidad y respeto al uso del agua.</t>
  </si>
  <si>
    <t>Engloba las acciones encaminadas a ejecutar los lineamientos para la operación y el mantenimiento preventivo y correctivo de la infraestructura hidráulica, así como la rehabilitación de sus fuentes de abastecimiento.</t>
  </si>
  <si>
    <t>Conjunto de acciones para incorporar al régimen jurídico urbano, los inmuebles del régimen de propiedad privada en los que existan asentamientos humanos irregulares.</t>
  </si>
  <si>
    <t>Comprende el conjunto de acciones orientadas al desarrollo de actividades tendientes a impulsar la modernización operativa y de infraestructura de abasto y comercio; es decir, brindar capacitación y asesoría técnica en materia de construcción, rehabilitación, ampliación y consolidación de mercados públicos, explanadas comerciales y rastros con la participación de los niveles de gobierno federal, estatal y municipal; incluyendo al sector privado.</t>
  </si>
  <si>
    <t>Contempla las acciones de aseguramiento del suministro de productos básicos a precios accesibles, en apoyo a la economía de las familias de escasos recursos para elevar la disponibilidad de productos principalmente alimenticios. También incluye las acciones de respuesta oportuna a las demandas que en materia de abasto social de productos básicos que formule la ciudadanía.</t>
  </si>
  <si>
    <t>Contiene las acciones de apoyo para que los municipios puedan mantener en buen estado de uso las áreas verdes y espacios recreativos naturales de las comunidades y centros de población.</t>
  </si>
  <si>
    <t>Incluye las acciones municipales y aquellas que son coordinadas con el Gobierno Estatal que apoyan la implementación y actualización de instrumentos administrativos, asimismo incorpora aquellas necesarias para la conservación de los panteones, con el propósito de ofertar un servicio de calidad.</t>
  </si>
  <si>
    <t>Contiene las actividades propias de los municipios y aquellas que son coordinadas con el Gobierno Estatal que apoyan los procesos de administración, mantenimiento preventivo y rehabilitación de las instalaciones dispuestas para el sacrificio de ganado en los rastros.</t>
  </si>
  <si>
    <t>Contiene actividades propias de los municipios y aquellas que son coordinadas con el Gobierno Estatal que apoyan el fortalecimiento de los servicios de administración y el propio mantenimiento de las instalaciones dedicadas a la comercialización de productos y que operen en condiciones óptimas.</t>
  </si>
  <si>
    <t>Comprende las acciones enfocadas a la aplicación de biológicos, para disminuir las enfermedades prevenibles por vacunación y preservar el estado de salud de la población.</t>
  </si>
  <si>
    <t>Incluye las acciones de apoyo al monitoreo y generación de información que permiten detectar y afrontar situaciones epidemiológicas críticas y los efectos en la salud provocados por desastres naturales que pongan en riesgo a la población; fomentando la coordinación, de acciones que permitan mejorar la toma de decisiones para contener adecuadamente una posible epidemia, endemia o cualquier otra amenaza local y global contra la salud.</t>
  </si>
  <si>
    <t>Incluye acciones enfocadas a mantener informada a la población sobre los temas relacionados con el autocuidado de la salud integral que contribuyan a la disminución de enfermedades, todo esto a través de la promoción de políticas públicas que fomenten la creación de entornos y comunidades favorables.</t>
  </si>
  <si>
    <t>Engloba aquellas acciones de prevención a través de la promoción y la enseñanza de herramientas que permitan crear conciencia en la población sobre la importancia de evitar el uso y consumo de situaciones psicotrópicas.</t>
  </si>
  <si>
    <t>Engloba todas las acciones que resulten en apoyo municipal al desarrollo en materia de infraestructura, equipamiento, apoyo directo a pacientes, atención médica o de diagnóstico con fines médicos, materiales y suministros, o subsidios otorgados para proporcionar servicios de salud de las personas.</t>
  </si>
  <si>
    <t>Integra las acciones enfocadas a promover, organizar y fomentar a través de los diferentes programas municipales, estatales y federales, los programas de activación física y eventos de recreación comunitaria entre la población e instituciones sociales, con la finalidad de detectar talentos deportivos en distintas disciplinas y acercarlos a los apoyos estatales y/o federales.</t>
  </si>
  <si>
    <t>Incluye las acciones orientadas a apoyar a las asociaciones deportivas y deportistas estatales en su participación en eventos nacionales e internacionales; así como detectar y apoyar a niños y jóvenes que presenten aptitudes sobresalientes en las disciplinas deportivas y coordinar acciones con las asociaciones deportivas de la entidad para hacer más eficiente el desempeño de los deportistas.</t>
  </si>
  <si>
    <t>Comprende acciones para establecer en el deporte de alto rendimiento, programas de atención y apoyo para atletas, entrenadores, directivos y personal de soporte, considerando los resultados obtenidos y asesorar, evaluar y controlar los programas de entrenamiento y competencias de los deportistas y entrenadores que les permita elevar su nivel competitivo.</t>
  </si>
  <si>
    <t>Incluye las actividades que se enfocan a presentar una amplia gama de eventos artístico-culturales en los diversos espacios institucionales y municipales, coadyuvando así a la promoción y difusión de la cultura y las artes en la población.</t>
  </si>
  <si>
    <t>Incluye acciones para impulsar la participación ciudadana como eje fundamental del desarrollo político, económico y social de los municipios, así mismo fortalecer la cultura política democrática, a través de la promoción y discusión de ideas con representantes de órganos de participación ciudadana, organizaciones sociales y ciudadanía en general.</t>
  </si>
  <si>
    <t>Engloba todas las acciones de apoyo municipal al desarrollo en materia de infraestructura, equipamiento, apoyo directo a alumnos y/o profesores, materiales y suministros, o subsidios otorgados a la educación de tipo medio superior.</t>
  </si>
  <si>
    <t>Engloba todas las acciones de apoyo municipal al desarrollo en materia de infraestructura, equipamiento, apoyo directo a alumnos y/o profesores, materiales y suministros, o subsidios otorgados a la educación de tipo superior, incluyendo posgrado.</t>
  </si>
  <si>
    <t>Engloba las acciones necesarias para ofrecer a la población de 15 años o más en situación de rezago educativo, la oportunidad de realizar estudios de primaria y secundaria, mediante opciones educativas flexibles y acordes con sus necesidades, de manera que alienten su superación personal, familiar y social.</t>
  </si>
  <si>
    <t>El proyecto engloba las acciones tendientes a proporcionar capacitación a la población de 16 años o más, con el propósito de que puedan incorporarse al mercado laboral o auto emplearse en mejora de la economía familiar.</t>
  </si>
  <si>
    <t>Incluye acciones de los Sistemas Municipales DIF enfocadas a la mejora del estado de nutrición de los niños en edad preescolar y escolar que sean diagnosticados con desnutrición o en riesgo, a través de la entrega de desayunos escolares fríos o raciones vespertinas en planteles escolares públicos, ubicados principalmente en zonas indígenas, rurales y urbano marginadas del territorio Estatal.</t>
  </si>
  <si>
    <t>Comprende actividades de distribución de paquetes de insumos alimentarios en centros escolares públicos de educación básica beneficiados, para que, durante los días hábiles del ciclo escolar, los padres de familia preparen el desayuno caliente a los menores.</t>
  </si>
  <si>
    <t>Abarca el conjunto de acciones para coordinar el seguimiento y vigilancia nutricional, y promover estudios y definición de hábitos alimenticios de la población.</t>
  </si>
  <si>
    <t>Incluye acciones enfocadas a proporcionar apoyo alimentario y complementarias de orientación nutricional a familias con mayor índice de marginación o pobreza multidimensional, para contribuir así a mejorar su economía.</t>
  </si>
  <si>
    <t>Incluye las actividades que orientan y fomentan el consumo de una alimentación nutritiva y balanceada, rescatando las tradiciones y el consumo de alimentos propios de las distintas regiones del territorio estatal, fortaleciendo la seguridad alimentaria.</t>
  </si>
  <si>
    <t>Considera las acciones de capacitación que se les proporciona a las personas que habitan en zonas preferentemente de alta y muy alta marginación, para que generen sus propios alimentos, mediante la realización de proyectos productivos, de especies menores, los cuales además les pueden generar la obtención de algún ingreso.</t>
  </si>
  <si>
    <t>Incluye las acciones de capacitación hortofrutícola y de proyectos productivos autosustentables, mediante la entrega de insumos, para el establecimiento de huertos familiares comunitarios y/o proyectos productivos sustentables, que genere la producción de alimentos para el autoconsumo y/o comercialización, dando prioridad a las comunidades de alta y muy alta marginación en el territorio estatal.</t>
  </si>
  <si>
    <t>Engloba todas aquellas actividades que se enfocan a coordinar y concertar con instancias del sector público y privado, la ejecución de acciones que coadyuven a elevar el nivel de vida de la población de las comunidades indígenas, con pleno respeto a su identidad cultural.</t>
  </si>
  <si>
    <t>Incluye las acciones dirigidas a promover el desarrollo de beneficio común para la población originaria de los pueblos indígenas en los municipios.</t>
  </si>
  <si>
    <t>Engloba aquellas actividades coordinadas entre los Sistemas Municipales DIF y el DIF Estatal, encaminadas a la prevención de los riesgos asociados a la migración, así como la atención de las necesidades de los niños, niñas y adolescentes migrantes y repatriados que viajan solos, así como la atención de la problemática colateral a que están expuestos, incluye la promoción de acciones coordinadas de protección y contención familiar y comunitaria con organizaciones sociales civiles.</t>
  </si>
  <si>
    <t>Engloba aquellas actividades orientadas a fomentar y difundir los derechos de los niños, niñas y adolescentes, con el objeto de que cuenten con las herramientas necesarias para su conocimiento, defensa y ejercicio de sus derechos e impulsar en ellos los valores de igualdad, democracia, respeto, tolerancia y amor a la patria, asimismo incluye las acciones para garantizar y proteger el pleno goce, respeto, protección y promoción de sus derechos humanos y todas las funciones conferidas al Ejecutivo Estatal por la Ley de los Derechos de Niñas, Niños y Adolescentes del Estado de México.</t>
  </si>
  <si>
    <t>Contempla las acciones encaminadas a atender oportuna y diligentemente los actos u omisiones de naturaleza administrativa y legal que impliquen presuntas vulneraciones a los derechos humanos de las Niñas, Niños y Adolescentes. Lo cual incluye la atención de los reportes de vulneración y dando acompañamiento a los afectados salvaguardando su integridad.</t>
  </si>
  <si>
    <t>Incluye las actividades coadyuvantes en la prevención y disminución de la incidencia- prevalencia de las enfermedades y lesiones que conllevan a la discapacidad, así como fomentar la inclusión social, promoviendo el respeto a una vida digna.</t>
  </si>
  <si>
    <t>Engloba las acciones para promover la integración de personas con y sin discapacidad a actividades de educación, la apertura de espacios laborales, así como el fortalecimiento de acciones que permitan el autoempleo para personas con y sin discapacidad y por consecuencia al desarrollo de las actividades culturales, deportivas y recreativas.</t>
  </si>
  <si>
    <t>Incluye las acciones destinadas a brindar los servicios de atención médica, paramédica, rehabilitación integral y de lenguaje, así como fabricación y/o reparación de productos de apoyo a las personas con discapacidad que carezcan de seguridad social.</t>
  </si>
  <si>
    <t>Comprende acciones enfocadas a proporcionar servicios integrales, asistenciales, recreativos y talleres a las personas adultas mayores a través del grupo multidisciplinario, quien brinda atención integral en la prevención y protección de sus derechos. Así mismo el seguimiento a través del grupo multidisciplinario en el Protocolo de Actuación en la Búsqueda y Localización de Personas Adultas Mayores desaparecidas, extraviadas o en estado de abandono, en el Estado de México.</t>
  </si>
  <si>
    <t>Incluye acciones enfocadas a proporcionar atención integral al adulto mayor de escasos o nulos recursos como son consultas médicas, asesoría jurídica, y atención psicológica.</t>
  </si>
  <si>
    <t>Contempla las acciones para otorgar atención, orientación y asesoría a familias sobre los procesos físicos, psicológicos, biológicos y sociales, mediante diversas actividades para mejorar la calidad de vida de sus integrantes en la esfera personal y de grupo familiar, y establecer proyectos de vida más eficaces.</t>
  </si>
  <si>
    <t>Incluye los programas, proyectos, acciones para brindar atención integral a menores, personas con discapacidad, adultos mayores, mujeres y hombres que hayan sido víctimas y/o generadores de maltrato, así como a sus familias, a través de un grupo de profesionales en el área médica, psicológica, jurídica y social.</t>
  </si>
  <si>
    <t>Contiene las acciones relacionadas con la orientación y asesoría jurídica a hombres y mujeres en situación de vulnerabilidad, en donde no se vean comprometidos de manera directa o indirecta los derechos de niñas, niños y adolescentes y/o adultos mayores; a fin de salvaguardar sus derechos y garantizar una sana convivencia al interior del núcleo familiar.</t>
  </si>
  <si>
    <t>Incluye aquellas actividades enfocadas a disminuir la aparición de trastornos emocionales y conductuales en la población, tratando de incidir en las causas familiares, individuales y sociales; incorpora las acciones orientadas a la atención de enfermedades mentales.</t>
  </si>
  <si>
    <t>Contempla los programas, proyectos y/o acciones para implementar la transversalización de la perspectiva de género en las dependencias de la administración pública estatal, los poderes legislativo y judicial, los gobiernos municipales, así como los organismos públicos descentralizados, los órganos autónomos y la sociedad civil que contribuyan al cumplimiento del marco normativo internacional, nacional y estatal en materia de igualdad sustantiva, y acceso a una vida libre de violencia, dirigidas a fortalecer el goce, respeto, protección y promoción de los derechos y el desarrollo integral de las niñas, niños, adolescentes, mujeres y hombres.</t>
  </si>
  <si>
    <t>Contempla programas, proyectos y/o acciones enfocadas en promover, fomentar e incorporar la igualdad entre mujeres y hombres; y población LGBTTTIQ+, mediante acciones de promoción de la cultura de la igualdad, de prevención de la violencia de género que permitan ejercer sus derechos, impulsando valores de convivencia, ayuda mutua y no discriminación.</t>
  </si>
  <si>
    <t>Comprende los programas, proyectos y/o acciones encaminadas a que las mujeres como amas de casa, accedan a oportunidades en igualdad de condiciones, y ejerzan plenamente sus derechos en los ámbitos social, económico, político y cultural, para su empoderamiento y autonomía.</t>
  </si>
  <si>
    <t>Coordinar las acciones con las dependencias de la administración pública estatal, los poderes legislativo y judicial, las delegaciones federales, los gobiernos municipales, así como los organismos públicos y la sociedad civil, que deriven de la Ley de los Derechos de las Niñas, Niños y Adolescentes del Estado de México; que permita el goce, respeto, protección y promoción de los derechos de este sector; a fin de que establezcan las medidas correspondientes para la creación e implementación de políticas, programas, estrategias, así como las condiciones necesarias que favorezcan el bienestar y desarrollo integral de la niñez y adolescencia, sin distinción de género.</t>
  </si>
  <si>
    <t>Incluye las actividades referentes a la operación de estancias, guarderías y jardines de niños con servicio de comedor, para hijos de madres trabajadoras.</t>
  </si>
  <si>
    <t>Comprende las acciones enfocadas a difundir, asistir y prevenir el embarazo en los adolescentes en la sociedad, concientizándolos en la afectación del embarazo no deseado, por temas de salud, educación, trabajo, proyecto de vida, relaciones sociales y culturales, así como en la economía.</t>
  </si>
  <si>
    <t>Comprende acciones de participación y expresión juvenil a través del reconocimiento y difusión de las actividades culturales y sociales emprendidas por los jóvenes, que permitan la inclusión de los conocimientos y habilidades.</t>
  </si>
  <si>
    <t>Engloba las acciones orientadas posicionar de mejor manera al Estado de México como el destino para la inversión productiva nacional y extranjera, ser la entidad con solidas ventajas competitivas y comparativas que permitan contar con las condiciones para que la actividad manufacturera, comercial y de servicios se desarrolle plenamente, contribuyendo a la generación de más empleos.</t>
  </si>
  <si>
    <t>Consiste en la simplificación, digitalización y homologación de procesos, trámites y servicios entre las dependencias del Ejecutivo Estatal y los municipios, garantizando certeza jurídica a los inversionistas y una mayor cercanía, asegurando la transparencia y la rendición de cuentas, con la finalidad de que el gobierno del Estado se consolide como un aliado estratégico en la creación de nuevas empresas que impulsen la diversificación de la actividad económica.</t>
  </si>
  <si>
    <t>Incluye acciones de atención a personas emprendedoras, a micro, pequeñas y medianas personas empresarias como asesoría, capacitación, financiamiento, consultoría especializada, asistencia técnica, vinculación financiera y comercial, otorgamiento de espacios de emprendimiento, a través de agentes del ecosistema emprendedor como: organismos e instituciones de gobierno, incubadoras, aceleradoras, entidades académicas y del sector privado.</t>
  </si>
  <si>
    <t>Modernización del comercio y servicios para impulsar su competitividad y desarrollo, fortaleciendo su participación en el suministro de bienes básicos y de consumo generalizado, mediante la implementación de mecanismos de vinculación comercial a través de mesas de negocios, promoción, alianzas estratégicas, ferias y exposiciones en sus diferentes modalidades para integrar productos locales a las cadenas de suministro del comercio tradicional y digital, así como la asesoría técnica en acciones de equipamiento, rehabilitación, ampliación, mantenimiento y construcción de infraestructura comercial que fortalezca e innove su desarrollo.</t>
  </si>
  <si>
    <t>Integra acciones de apoyo y asesoría incluidas las de naturaleza jurídica, para la conducción de las políticas públicas, así como estudios y proyectos especiales que coadyuven a la toma de decisiones y a la definición de políticas y estrategias de corto y mediano plazo en materia de desarrollo económico.</t>
  </si>
  <si>
    <t>Considera el conjunto de acciones que coadyuvan con la ejecución de los programas, mediante el otorgamiento oportuno y racional de recursos humanos, materiales y técnicos a las diferentes unidades administrativas; así como la implantación y actualización de instrumentos y mecanismos administrativos que permitan el eficaz cumplimiento de las funciones asignadas.</t>
  </si>
  <si>
    <t>Incluye las actividades que se realizan para coordinar, formular, implementar, dar seguimiento, evaluar e informar acerca de las acciones, logros y resultados de los programas en materia de desarrollo económico.</t>
  </si>
  <si>
    <t>Comprende las acciones de atención a la población desocupada, subocupada y buscadores activos de empleo, facilitándoles principalmente su vinculación y colocación mediante los servicios de bolsa de empleo, ferias de empleo y medios de difusión de los servicios y programas específicos.</t>
  </si>
  <si>
    <t>Contempla acciones que detonen la incorporación laboral productiva a través del empleo, el autoempleo y la asociación cooperativa para desarrollar una iniciativa de ocupación por cuenta propia (IOCP), otorgando a los beneficiarios capacitación, asesoría y apoyo pudiendo ser en especie o monetario.</t>
  </si>
  <si>
    <t>Incluye las acciones encaminadas a formar profesionistas y técnicos, a través de la impartición de diplomados, cursos de profesionalización y capacitación.</t>
  </si>
  <si>
    <t>Comprende aquellas acciones de capacitación para el trabajo que se les proporciona a mujeres, principalmente para aquellas que se encuentran en desventaja económica, mediante las escuelas técnicas que operan en los Sistemas Municipales DIF, con el propósito de que puedan obtener ingresos económicos para mejorar sus condiciones de vida.</t>
  </si>
  <si>
    <t>Engloba las actividades de diseño, promoción y asistencia técnica para el desarrollo de proyectos productivos, que permitan a las mujeres obtener ingresos económicos o beneficios que apoyen su bienestar.</t>
  </si>
  <si>
    <t>Comprende aquellas acciones encaminadas a promover la capacidad de las mujeres en asegurar la propiedad de bienes, participar en el aparato productivo y en las instituciones, así como ser sujeto de las políticas públicas que determinen su desarrollo integral, impulsando su inclusión financiera.</t>
  </si>
  <si>
    <t>Incluye acciones para contribuir en la producción agrícola; considerando incentivos para la adquisición de fertilizantes, semillas, mejoradores del suelo, materiales vegetativos e insumos para el establecimiento y desarrollo de los cultivos agrícolas.</t>
  </si>
  <si>
    <t>Incluye apoyos a los productores en la reconversión de superficies agrícolas convencionales a orgánicas; fomentando la conservación y mejora del suelo agrícola, contribuyendo a mejorar la calidad en la producción agrícola.</t>
  </si>
  <si>
    <t>Incorporación de acciones subsidiadas y acompañamiento a pequeños y medianos productores en materia agraria, de asesoría jurídica especializada, asistencia en la gestoría de trámites administrativos, de apoyo en procesos organizativos de los núcleos de población agraria y de colaboración con las instancias correspondientes para diseñar y ejecutar acciones de regularización de la propiedad ejidal y comunal en el área de asentamientos humanos irregulares.</t>
  </si>
  <si>
    <t>Tiene como finalidad apoyar a pequeños y medianos productores mediante la entrega de insumos estratégicos necesarios para el mantenimiento, mejoramiento y sostenimiento de sus unidades de producción, mejorar la productividad, la salud animal y la eficiencia en las actividades pecuarias, avícolas, apícolas y acuícolas.</t>
  </si>
  <si>
    <t>Contempla el acompañamiento técnico, desarrollo y capacitación que pretende impulsar la autosuficiencia alimentaria y la generación de empleos en zonas de alta marginación, la venta de excedentes de productos pecuarios, avícolas, apícolas y acuícolas.</t>
  </si>
  <si>
    <t>Comprende el conjunto de acciones de apoyo municipal para el desarrollo del muestreo, diagnóstico, control y erradicación de enfermedades que ponen en riesgo la producción agrícola, acuícola y pecuaria, así como el apoyo y acompañamiento a las unidades de producción para que apliquen manuales de buenas prácticas; asimismo engloba las actividades que permiten dar garantía de que los productos agropecuarios cumplan con los estándares de calidad que garanticen su inocuidad y legitimidad; comprende las acciones de apoyo para la trazabilidad y control de la movilización de productos agropecuarios.</t>
  </si>
  <si>
    <t>Se incorporan acciones específicas destinadas a garantizar una atención oportuna contra incendios forestales. Asimismo, se promueven actividades preventivas, tales como: la implementación de brechas cortafuego, quemas controladas y líneas negras, con el objetivo de reducir la ocurrencia de estos incidentes, así como la superficie afectada.</t>
  </si>
  <si>
    <t>Engloba las acciones tendientes a incrementar la oferta de empleos e ingresos de los dueños o poseedores de los bosques, promoviendo el valor agregado a la materia prima forestal mediante la instalación de industria forestal, además de asociar el aprovechamiento integral de todos los recursos naturales de que dispongan los productores forestales (agrícola, pecuario, acuícola, ecoturismo, materiales pétreos, etc.), por lo que atenderá la identificación, gestión, asesoría y acompañamiento para la elaboración de proyectos y su financiamiento, así como la puesta en marcha en su caso.</t>
  </si>
  <si>
    <t>Integra acciones orientadas a prevenir, detectar, combatir y controlar plagas y enfermedades forestales; así como acciones de supervisión técnica para conservar, proteger y restaurar la cubierta forestal de la entidad a través de la emisión de dictámenes periciales y acciones de vigilancia preventiva en coordinación con dueños y poseedores de terrenos forestales que fungen como guardabosques voluntarios.</t>
  </si>
  <si>
    <t>Se refiere a las acciones orientadas a la protección integral al sector agropecuario, como instrumento eficiente de política pública para impulsar la cultura financiera preventiva que favorezca el desarrollo sostenible a pesar de externalidades negativas que pudiesen comprometer la producción agropecuaria al interior del territorio que conforma el estado.</t>
  </si>
  <si>
    <t>Se refiere a las acciones encaminadas al apoyo y asesoría técnica a la población, así como a Entes Públicos de los tres órdenes de gobierno, para la implementación de tecnologías más eficientes en el alumbrado público e infraestructura de energía eléctrica, así como mecanismos que contribuyan con el ahorro de energía.</t>
  </si>
  <si>
    <t>Comprende el conjunto de acciones destinadas a impulsar la utilización de fuentes alternas de energía, para brindar el servicio eléctrico domiciliario a aquellas comunidades a las que no es factible dotar del servicio convencional.</t>
  </si>
  <si>
    <t>Comprende el conjunto de operaciones orientadas a garantizar la atención de la demanda futura de energía eléctrica, mediante la ampliación de la infraestructura ecológica y sustentable; así mismo incluye las acciones para fomentar el ahorro y uso eficiente de la energía, incluye las acciones para ampliar la infraestructura y el involucramiento de instituciones prestadoras de servicios de electrificación y alumbrado público.</t>
  </si>
  <si>
    <t>Comprende el conjunto de acciones, encaminadas a atender la demanda actual y el rezago en el servicio eléctrico domiciliario rural, asimismo aquellas acciones específicas para mejorar la calidad del servicio eléctrico zonas rurales de la entidad y las actividades para promover la creación de comités pro-electrificación diseñados para agilizar el proceso de introducción del servicio.</t>
  </si>
  <si>
    <t>Incorpora las acciones para la atención de micro y pequeños empresarios a través de acciones de capacitación, financiamiento, asistencia técnica, vinculación financiera, comercial con la mediana y gran industria, así como otros agentes económicos que operan en la entidad.</t>
  </si>
  <si>
    <t>Incluye las acciones y procedimientos diseñados para favorecer el desarrollo de la competitividad de las empresas establecidas en el territorio mexiquense, asimismo aquellas que favorezcan la productividad laboral, apoyen la captación de capital, la transferencia de tecnología y la capacitación encaminada a mejorar la productividad laboral.</t>
  </si>
  <si>
    <t>Conjunta las acciones enfocadas al fortalecimiento, trámite, autorización y al otorgamiento de Dictámenes de Giro, Licencias y/o Permisos de funcionamiento para operación de manera ordenada y regulada, además del apoyo a través de campañas, inspecciones y verificaciones que la tarea así lo requiera con lo dispuesto en la normatividad aplicable con la finalidad de promover el desarrollo económico.</t>
  </si>
  <si>
    <t>Incluye las acciones municipales de apoyo, coordinación intergubernamental e implementación de la política de transporte terrestre estatal.</t>
  </si>
  <si>
    <t>Implica acciones tendientes a integrar un banco de estudios y proyectos, que garanticen factibilidad de las obras, actualizar la normatividad técnica y atender los requerimientos para la construcción de las vialidades.</t>
  </si>
  <si>
    <t>Incluye las acciones para evaluar las condiciones físicas de los puentes peatonales, así como aquellas para construir, reconstruir y rehabilitarlos para mejorar la seguridad y circulación peatonal y vehicular.</t>
  </si>
  <si>
    <t>Incluye acciones orientadas a realizar estudios y proyectos en materia de infraestructura vial, para que la movilidad ofrezca viabilidades para la ejecución de las obras y/o acciones; en coordinación con el gobierno Federal, Estados vecinos; así como con los municipios involucrados.</t>
  </si>
  <si>
    <t>Incluye acciones para evaluar las condiciones físicas de los puentes peatonales, así como aquellas dirigidas a construir, reconstruir, rehabilitar y equipar los puentes para circulación peatonal.</t>
  </si>
  <si>
    <t>Comprende las acciones para posicionar los destinos turísticos del municipio, a través de la promoción y difusión de sus atractivos, que den como resultado crecimiento económico y la generación de empleos.</t>
  </si>
  <si>
    <t>Considera acciones tendientes al impulso del desarrollo de nuevos productos turísticos con estándares de calidad nacional e internacional, que sean elementos básicos para la promoción del atractivo turístico del municipio.</t>
  </si>
  <si>
    <t>Integra todas las acciones municipales de apoyo para el desarrollo y consolidación de la investigación científica de calidad, apoyando de forma prioritaria a proyectos que coadyuven a la solución de la problemática económica y social; así como la formación y capacitación del capital humano y el apoyo a vocaciones científicas para incentivar el interés por la ciencia y la tecnología en los sectores estratégicos.</t>
  </si>
  <si>
    <t>Incluye las acciones para fomentar la integración de artesanos en organizaciones formalmente constituidas, para realizar eventos de capacitación que contribuyan al desarrollo integral del sector artesanal, y las acciones para promover las distintas fuentes de financiamiento a las que los artesanos pueden acceder.</t>
  </si>
  <si>
    <t>Comprende las acciones municipales de apoyo para incremento de las ventas y expectativas del mercado y comercialización de productos artesanales con la participación directa de artesanos principalmente en ferias y exposiciones de carácter estatal, nacional e internacional e impulsar las acciones orientación, asesoría, organización y acompañamiento a artesanos para gestión de financiamiento a proyectos de producción artesanal.</t>
  </si>
  <si>
    <t>Considera las erogaciones que implica el pago total o parcial de un empréstito de origen interno o externo otorgado al sector público amparado por un título de crédito, convenio o contrato. La deuda del sector público comúnmente se amortiza en el largo plazo mediante pagos periódicos.</t>
  </si>
  <si>
    <t>Incluye acciones orientadas a radicar gradualmente el servicio de la deuda, con el propósito de que los recursos obtenidos se destinen a la inversión pública productiva, y mantener el perfil de vencimiento en los plazos más convenientes para atender presiones presupuestales.</t>
  </si>
  <si>
    <t>Se refiere a las acciones que se llevan a cabo con las con la federación, para celebrar convenios en términos de la Ley de Coordinación Fiscal vigente.</t>
  </si>
  <si>
    <t>Incluye el registro de las transferencias realizadas por los ayuntamientos a los organismos municipales para objetivos diversos.</t>
  </si>
  <si>
    <t>Contiene las acciones que se realizan para la erogación de recursos correspondientes al pago de adeudos que se adquirieron en ejercicios distintos al actual.</t>
  </si>
  <si>
    <t>Integra las acciones que se realizan los ayuntamientos con el objeto de atender el pasivo de los créditos de corto plazo pagaderos en el mismo año, créditos para organismos descentralizados, vencimientos y refinanciamiento.</t>
  </si>
  <si>
    <t>Contempla las acciones encaminadas a atender oportuna y diligentemente los actos u omisiones de naturaleza administrativa que impliquen presuntas violaciones a los derechos humanos integrando el desarrollo de supervisiones, revisiones y visitas a centros e instituciones del sistema penitenciario, sector salud, justicia, localidades de alto y muy alto nivel de marginación y zonas de tránsito de migrantes, emitiendo, si fuere necesario las recomendaciones conducentes a una mejor protección de los derechos humanos y brindando orientación y asesoría a la población.</t>
  </si>
  <si>
    <t>Comprende el conjunto de actividades encaminadas a captar y recaudar los recursos provenientes de las contribuciones municipales y de los ingresos derivados del Sistema de Coordinación Fiscal, así como los ingresos percibidos del Organismos Auxiliares, otros ingresos e ingresos netos derivados de financiamiento autorizados presupuestalmente con base en la legislación vigente; elaborar y rediseñar un padrón confiable por los diferentes ingresos tributarios municipales.</t>
  </si>
  <si>
    <t>Incluye el conjunto de acciones y procedimientos orientados a establecer los mecanismos de planeación, programación y presupuestación que faciliten la integración seguimiento y control del presupuesto de egresos acorde al Plan de Desarrollo Municipal vigente y los documentos que de él se derivan; contiene asimismo los procedimientos necesarios para contribuir a un Balance Presupuestario Sostenible en un contexto de racionalidad, austeridad y disciplina presupuestal.</t>
  </si>
  <si>
    <t>Comprende el conjunto de actividades orientadas a mantener la cobertura en el tratamiento de aguas residuales de origen municipal en las 42 plantas donde interviene directamente la Comisión del Agua del Estado de México (CAEM) así como el promover su reutilización en beneficio de un mayor número de municipios y habitantes, incluyendo las acciones necesarias para mantener en condiciones de funcionamiento a las plantas de tratamiento de aguas existentes, procurando el mejoramiento y transformación de la infraestructura a través de la introducción de nuevas tecnologías.</t>
  </si>
  <si>
    <t>Incluye el seguimiento de las estrategias, medidas y acciones establecidas en el Programa de Gestión de la Calidad del Aire, enfocadas en la reducción de partículas y ozono generadas por las fuentes fijas, móviles y de área como son comercios y servicios; así como la difusión de temas ambientales relacionados con los principales contaminantes atmosféricos y sus efectos en la salud de la población. Además, considera las actividades que se llevan a cabo en cumplimiento a los acuerdos establecidos en las reuniones de trabajo al interior de la Comisión Ambiental de la Megalópolis, las cuales están orientadas al seguimiento y monitoreo de la calidad del aire y la ejecución de acciones para prevenir y revertir las contingencias ambientales.</t>
  </si>
  <si>
    <t>Comprende aquellas acciones que tienen como propósito fomentar la participación coordinada de los sectores público, social y privado en la ejecución de acciones de mejoramiento de vivienda, que puedan ser aplicadas por medio de proyectos dirigidos a la población de menores ingresos, incluyendo a quienes se han limitado a autoconstruir de manera gradual su vivienda, con el propósito de contribuir al mejoramiento de las condiciones de habitabilidad, seguridad e higiene que requiere todo ser humano.</t>
  </si>
  <si>
    <t>Engloba todas las acciones que resulten en apoyo municipal al desarrollo en materia de infraestructura, equipamiento, apoyo directo a alumnos y/o profesores, materiales y suministros, o subsidios otorgados a la educación de tipo básica. Comprende las acciones de apoyo tendientes a mejorar los servicios de bachillerato general y tecnológico en las modalidades escolarizada, no escolarizado, mixto, a distancia y abierto, conforme a los programas de estudio establecidos en el plan y programas autorizados por la SEP, con el objeto de fortalecer la formación, actualización, capacitación y profesionalización de docentes y administrativos en concordancia con las necesidades del proceso educativo.</t>
  </si>
  <si>
    <t>Integra el conjunto de acciones de capacitación y organización encaminadas a la recuperación de la composición, estructura y función de los ecosistemas forestales de los pequeños productores y permisionarios de la Entidad, afectados por procesos de deforestación o degradación, mediante la producción de planta de especies nativas, cumpliendo con estándares de calidad en vivero, para las acciones de reforestación y restauración forestal integral.</t>
  </si>
  <si>
    <t>Formación profesional especializada para personas servidoras públicas de instituciones de seguridad pública</t>
  </si>
  <si>
    <t>Mantenimiento de los dispositivos para el control de tránsito y educación vial</t>
  </si>
  <si>
    <t>Control de la función registral</t>
  </si>
  <si>
    <t xml:space="preserve"> Control Poblacional Animal</t>
  </si>
  <si>
    <t>Coordinación, información, planeación, control y evaluación de programas para el desarrollo económico</t>
  </si>
  <si>
    <t>Pasivos por contratación de créditos</t>
  </si>
  <si>
    <t>0103040201</t>
  </si>
  <si>
    <t>0103040202</t>
  </si>
  <si>
    <t>010309020101</t>
  </si>
  <si>
    <t>0107010105</t>
  </si>
  <si>
    <t>0107010108</t>
  </si>
  <si>
    <t>0404010101</t>
  </si>
  <si>
    <t>0404010102</t>
  </si>
  <si>
    <t>JUSTIFICACIÓN</t>
  </si>
  <si>
    <t>Dietas. Asignación para el pago de remuneraciones a los CC. Diputados de la H. Legislatura Local, y en el caso de los municipios a los integrantes del H. Ayuntamiento</t>
  </si>
  <si>
    <t>Haberes. Asignaciones para remuneraciones al personal que desempeña sus servicios en el ejercicio, fuerza aérea y armada nacionales.</t>
  </si>
  <si>
    <t>Hora clase. Sueldo base para docentes que laboran como profesores horas clase, con base en el convenio laboral correspondiente</t>
  </si>
  <si>
    <t>Carrera magisterial. Percepción para docentes cuando cumplen los requisitos establecidos para el ingreso y promoción de carrera magisterial.</t>
  </si>
  <si>
    <t>Carrera docente. Percepción para docentes de educación media superior y superior, cuando cumplen los requisitos establecidos para el ingreso y promoción de carrera docente.</t>
  </si>
  <si>
    <t>Honorarios asimilables al salario. Asignaciones destinadas para cubrir el pago por la prestación de servicios contratados con personas físicas, para la realización de trabajos determinados que correspondan a la especialidad.</t>
  </si>
  <si>
    <t>Sueldo por Interinato. Sueldo del personal que sustituye temporalmente a servidores públicos de carácter permanente, con permiso para ausentarse de sus funciones de acuerdo a la normatividad vigente, así como el Sueldo para el personal que sustituye temporalmente a docentes por estado de gravidez, con licencia prejubilatoria, becados o comisionados, o con permiso especial, de acuerdo a la normatividad establecida.</t>
  </si>
  <si>
    <t>Sueldos y salarios compactados al personal eventual. Sueldo que se otorga a profesionistas, técnicos, expertos o peritos contratados por obra o tiempo determinado, que invariablemente no podrá ser mayor a seis meses. No se podrá contratar personal bajo esta modalidad para realizar funciones administrativas, apoyo secretarial, chofer, mantenimiento general, limpieza y similares. La remuneración que se pague por concepto de contrato por obra o tiempo determinado, no podrá exceder a lo estipulado para una labor similar establecida en el Catálogo de Puestos y en el tabulador de sueldo vigente.</t>
  </si>
  <si>
    <t>Becas para médicos residentes. Percepción económica que de acuerdo al Sistema nacional de residencias médicas se asigna para formar a médicos en alguna especialidad, mismos que deben cubrir con los requerimientos establecidos en la norma 090 SSA1 1994 (Norma oficial mexicana para la organización y funcionamiento de residencias médicas y desarrollo); esta formación especializada se llevara a cabo en instituciones públicas del sector salud, establecidas en el estado.</t>
  </si>
  <si>
    <t>Compensación por servicio social. Compensación a estudiantes que presten su servicio social en las unidades ejecutoras. Se deberá considerar solamente por el periodo que la normatividad establece para este tipo de servicio.</t>
  </si>
  <si>
    <t>Compensación a representante. Asignación que se otorga a los representantes de las Juntas de Conciliación y Arbitraje del Tribunal Estatal de Conciliación y Arbitraje.</t>
  </si>
  <si>
    <t>Prima por años de servicio. Asignación adicional que se otorga a servidores públicos y docentes, una vez transcurridos los primeros cinco años de servicios efectivos prestados, que se incrementa por períodos subsecuentes, también de cinco años.</t>
  </si>
  <si>
    <t>Prima de antigüedad. Asignación para cubrir la prima de antigüedad a los servidores públicos que tengan derecho de acuerdo a la normatividad vigente.</t>
  </si>
  <si>
    <t>Prima adicional por permanencia en el servicio. Prestación adicional a servidores públicos que cuenten con una permanencia en el servicio superior a treinta años de servicio y menor de treinta y cinco.</t>
  </si>
  <si>
    <t>Aguinaldo de eventuales. Asignación adicional a servidores públicos con contrato eventual con motivo de fin de año, cuando tengan este derecho de acuerdo a la normatividad vigente.</t>
  </si>
  <si>
    <t>Vacaciones no disfrutadas por finiquito. Prestación que se otorgará a los servidores públicos que tengan derecho, únicamente en caso de que se finiquite su relación laboral.</t>
  </si>
  <si>
    <t>Prima dominical. Asignación adicional a servidores públicos que laboran los domingos, cuando forma parte de su horario habitual de labores.</t>
  </si>
  <si>
    <t>Compensación. Remuneración complementaria a servidores públicos de carácter permanente.</t>
  </si>
  <si>
    <t>Compensación por servicios especiales. Asignación adicional, de acuerdo a la normatividad vigente, al servidor público contratado por un período no mayor de seis meses, que en ningún caso podrá ser contratado bajo esta modalidad para realizar funciones administrativas, apoyo secretarial, chofer, mantenimiento general, limpieza y similares.</t>
  </si>
  <si>
    <t>Compensación por riesgo profesional. Asignación adicional a los servidores públicos que de manera permanente laboran en áreas de alto riesgo en el sector médico.</t>
  </si>
  <si>
    <t>Compensación por retabulación. Asignación adicional destinada a los servidores públicos docentes y burócratas.</t>
  </si>
  <si>
    <t>Gratificación. Asignaciones destinadas a cubrir la percepción adicional para servidores públicos, docentes y servidores públicos municipales.</t>
  </si>
  <si>
    <t>Gratificación por convenio. Asignación destinada a todos los servidores públicos, docentes, generales y de confianza, derivadas del convenio suscrito con el sindicato correspondiente, tales como compra de útiles escolares, material didáctico, gastos de transporte, por actividades extracurriculares, previsión social múltiple, entre otros.</t>
  </si>
  <si>
    <t>Gratificación por productividad. Asignación destinada a los servidores públicos generales.</t>
  </si>
  <si>
    <t>Labores docentes. Gratificación colateral para los docentes, definida entre el Gobierno Estatal y el SMSEM.</t>
  </si>
  <si>
    <t>Estudios superiores. Asignación adicional a docentes y a servidores públicos, conforme al grado de titulación acreditado.</t>
  </si>
  <si>
    <t>Sobrehaberes. Remuneración adicional que se cubre al personal militar en activo en atención al incremento en el costo de la vida o insalubridad del lugar donde preste sus servicios.</t>
  </si>
  <si>
    <t>Participaciones por vigilancia en el cumplimiento de las leyes y custodia de valores. Incluye retribución a los empleados de los entes públicos por su participación en la vigilancia del cumplimiento de las leyes y custodia de valores.</t>
  </si>
  <si>
    <t>Aportaciones al ISSSTE. Aportaciones al ISSSTE por los servicios de seguridad social que brinda a los servidores públicos con esta prestación.</t>
  </si>
  <si>
    <t>Aportaciones de servicio de salud. Aportaciones al ISSEMYM por los servicios de seguridad social que brinda a los servidores públicos en materia de salud con esta prestación.</t>
  </si>
  <si>
    <t>Aportaciones al fondo del sistema solidario de reparto. Aportaciones al ISSEMYM por los servicios de seguridad social solidaria que brinda a los servidores públicos.</t>
  </si>
  <si>
    <t>Aportaciones del sistema de capitalización individual. Aportaciones al ISSEMYM por los servicios de Seguridad Social que brinda a los servidores públicos en forma individual.</t>
  </si>
  <si>
    <t>Aportaciones para financiar los gastos generales de administración del ISSEMYM. Aportaciones que deben cubrir obligatoriamente las unidades ejecutoras y Municipios, con base en el sueldo sujeto a cotización de los servidores públicos para el financiamiento de los gastos generales de administración, de acuerdo a la Ley de Seguridad Social para los Servidores Públicos del Estado de México y Municipios.</t>
  </si>
  <si>
    <t>Aportaciones para riesgo de trabajo. Aportaciones al ISSEMYM que deberán cubrir obligatoriamente las unidades ejecutoras y Municipios, por accidentes o enfermedades de los servidores públicos, ocurridos con motivo o a consecuencia del servicio.</t>
  </si>
  <si>
    <t>Aportaciones al Seguro de Cesantía en Edad Avanzada y Vejez. Asignaciones destinadas a cubrir las aportaciones al Seguro de Cesantía en Edad Avanzada y Vejez, en términos de la Ley del Instituto de Seguridad y Servicios Sociales de los Trabajadores del Estado.</t>
  </si>
  <si>
    <t>FOVISSSTE. Aportaciones al FOVISSSTE del personal federalizado sujeto a la ley del ISSSTE.</t>
  </si>
  <si>
    <t>SAR (Sistema de Ahorro para el Retiro). Aportación al Sistema de Ahorro para el Retiro de los servidores públicos sujetos a la ley del ISSSTE. En ningún caso podrá duplicarse la asignación de recursos en esta partida con la 1511 “Cuotas para Fondo de Retiro”.</t>
  </si>
  <si>
    <t>Seguros y fianzas. Asignación para cubrir el importe de las primas de seguro de vida de los servidores públicos que por sus actividades lo ameritan.</t>
  </si>
  <si>
    <t>Cuotas para fondo de retiro. Asignación para cubrir las aportaciones al Fondo de Retiro.</t>
  </si>
  <si>
    <t>Seguro de separación individualizado. Aportación para el Sistema de Separación Individualizado para servidores públicos de enlace y apoyo técnico, mandos medios y superiores.</t>
  </si>
  <si>
    <t>Indemnización por accidentes de trabajo. Asignaciones para cubrir las prestaciones que correspondan conforme a la normatividad vigente, a los servidores públicos que hayan sufrido un accidente de trabajo.</t>
  </si>
  <si>
    <t>Prima por jubilación. Prestación que se otorga a los servidores públicos que obtengan dictamen de pensión ante el ISSEMYM.</t>
  </si>
  <si>
    <t>Becas para hijos de trabajadores sindicalizados. Beneficio que se otorga a los hijos de los servidores públicos sindicalizados con un alto aprovechamiento escolar.</t>
  </si>
  <si>
    <t>Días cívicos y económicos. Asignaciones adicionales a personal docente y de apoyo y asistencia a la educación en centros educativos, por días cívicos no disfrutados, así como las asignaciones adicionales a personal sindicalizado del SMSEM y del Sindicato Único de Trabajadores al Servicio del Estado y Municipios (SUTEYM) por días económicos no disfrutados.</t>
  </si>
  <si>
    <t>Gastos relacionados al magisterio. Asignación destinada a los servidores públicos docentes por su participación en actividades culturales en los centros escolares, por su participación en actividades de organización y para la adquisición y mantenimiento de vehículos para los supervisores escolares en apoyo de sus actividades. Incluye el bono de productividad destinado a servidores públicos docentes.</t>
  </si>
  <si>
    <t>Día del maestro y del servidor público. Gratificación que se otorga con motivo de la celebración del “Día del Maestro" y del servidor público general sindicalizado (SMSEM y SUTEYM).</t>
  </si>
  <si>
    <t>Estudios de postgrado. Asignación destinada a los servidores públicos docentes que realicen estudios de postgrado.</t>
  </si>
  <si>
    <t>Otros gastos derivados de convenio. Cantidad destinada a cubrir los compromisos establecidos en los convenios celebrados con las organizaciones sindicales, distintas a las señaladas en los apartados anteriores. Incluye el apoyo para prótesis y la despensa de fin de año.</t>
  </si>
  <si>
    <t>Asignaciones extraordinarias para servidores públicos sindicalizados. Prestación a servidores públicos según lo establecido en los convenios firmados adicionales a lo estipulado en el Convenio General del Contrato Colectivo de Trabajo.</t>
  </si>
  <si>
    <t>Becas institucionales. Prestación a servidores públicos que deseen aumentar sus conocimientos y que muestren un elevado desempeño en el desarrollo de sus actividades.</t>
  </si>
  <si>
    <t>Elaboración de tesis. Ayuda económica por única vez que se otorga a los servidores públicos para la impresión de tesis para obtener grado académico.</t>
  </si>
  <si>
    <t>Seguro de vida. Prestación que se otorga a los deudos del servidor público fallecido.</t>
  </si>
  <si>
    <t>Viáticos. Asignación a servidores públicos que desarrollan funciones inherentes a su puesto fuera de su lugar permanente de trabajo, con fundamento en el análisis del tipo, frecuencia, distancia y características de los desplazamientos que realice el servidor público, así como los apoyos que se le brinden, tales como vehículo o pago de casetas, entre otros. No podrán asignarse viáticos fijos a servidores públicos de mandos medios y superiores, ni a los de puestos de enlace y apoyo técnico.</t>
  </si>
  <si>
    <t>Diferencial por escuelas. Prestación adicional a docentes según la zona económica y geográfica del centro educativo donde preste sus servicios.</t>
  </si>
  <si>
    <t>Despensa. Prestación a servidores públicos con este derecho.</t>
  </si>
  <si>
    <t>Previsiones de carácter laboral, económica y de seguridad social. Asignaciones destinadas a cubrir las medidas de incremento en percepciones, creación de plazas, aportaciones en términos de seguridad social u otras medidas de carácter laboral o económico de los servidores públicos que se aprueben en el Presupuesto de Egresos. Esta partida no se ejercerá en forma directa, sino a través de las partidas que correspondan a los demás conceptos del capítulo 1000 Servicios Personales, que sean objeto de traspaso de estos recursos. Estas se consideran como transitorias en tanto se distribuye su monto entre las partidas específicas necesarias para los programas, por lo que su asignación se afectará una vez ubicada en las partidas correspondientes, según la naturaleza de las erogaciones y previa aprobación, de acuerdo con lineamientos específicos.</t>
  </si>
  <si>
    <t>Reconocimiento a servidores públicos. Asignación para cubrir el otorgamiento de reconocimientos a servidores públicos de los Poderes Legislativo, Ejecutivo y Judicial del Estado de México.</t>
  </si>
  <si>
    <t>Estímulos por puntualidad y asistencia. Prestación a servidores públicos que no incurran en falta de asistencia o retardo en sus labores, de acuerdo a la normatividad vigente.</t>
  </si>
  <si>
    <t>Recompensas. Asignaciones destinadas a premiar el heroísmo, capacidad profesional, servicios a la Patria o demás hechos meritorios realizados por los servidores públicos.</t>
  </si>
  <si>
    <t>Materiales y útiles de oficina. Asignaciones destinadas a la adquisición de materiales y artículos diversos, propios para el uso en las oficinas, tales como: formas, libretas, carpetas, papelería, material para ingeniería, dibujo, etc.</t>
  </si>
  <si>
    <t>Material y útiles de imprenta y reproducción. Asignaciones destinadas a la adquisición de materiales utilizados en la impresión, reproducción y encuadernación, tales como: fijadores, tintas, pastas, logotipos y demás materiales y útiles para el mismo fin.</t>
  </si>
  <si>
    <t>Material de foto, cine y grabación. Asignaciones para adquirir insumos para procesar material fotográfico, de cine y grabación, tales como cintas para grabación, cartuchos, rollos fotográficos, material para revelado y duplicado.</t>
  </si>
  <si>
    <t>Materiales y útiles para el procesamiento en equipos y bienes informáticos. Asignaciones destinadas a la adquisición de insumos utilizados para procesar, grabar e imprimir información, tales como: papelería técnica, medios magnéticos, cintas, tóner, cartuchos de tinta, papel stock, entre otros, así como materiales para la limpieza y protección de los equipos, tales como: medios ópticos y magnéticos, apuntadores, protectores de video, fundas, y solventes, entre otros.</t>
  </si>
  <si>
    <t>Material y enseres de limpieza. Asignación para adquirir enseres materiales para las unidades ejecutoras, planteles educativos y unidades de asistencia social, tales como: escobas trapeadores, jergas, jabones, detergentes y otros similares.</t>
  </si>
  <si>
    <t>Productos alimenticios para animales. Asignaciones destinadas a la adquisición de productos alimenticios para la manutención de animales propiedad o bajo el cuidado de las unidades ejecutoras y de los zoológicos, tales como: forrajes y achicalados, vitaminas, melaza, alimentos preparados, cárnicos, entre otros.</t>
  </si>
  <si>
    <t>Utensilios para el servicio de alimentación. Asignaciones destinadas a la adquisición de todo tipo de utensilios necesarios para proporcionar este servicio, tales como: vajillas, cubiertos, baterías de cocina, licuadoras, tostadoras, cafeteras, básculas y cualquier otro utensilio, así como artículos para las operaciones a corto plazo susceptibles de control administrativo de las unidades ejecutoras, así como artículos desechables.</t>
  </si>
  <si>
    <t>Materias primas textiles. Asignaciones destinadas a la adquisición de insumos textiles como materias primas en estado natural, transformadas semi-transformadas, que se utilizan en los procesos productivos de talleres o centros de capacitación.</t>
  </si>
  <si>
    <t>Productos metálicos y a base de minerales no metálicos adquiridos como materia prima. Asignaciones destinadas a la adquisición de productos metálicos y a base de minerales no metálicos como materias primas en estado natural, transformadas o semi-transformadas, que se utilizan en los procesos productivo, diferentes a las contenidas en las demás partidas de este Clasificador.</t>
  </si>
  <si>
    <t>Productos de cuero, piel, plástico y hule adquiridos como materia prima. Asignaciones destinadas a la adquisición de cuero, piel, plástico y hule como materias primas en estado natural, transformadas o semi-transformadas, que se utilizan en los procesos productivo, diferentes a las contenidas en las demás partidas de este Clasificador.</t>
  </si>
  <si>
    <t>Productos minerales no metálicos. Asignaciones destinadas a la adquisición de productos de arena, grava, mármol, piedras calizas, piedras de cantera, otras piedras dimensionadas, arcillas refractarias y no refractarias y cerámica como ladrillos, bloques, tejas, loseta, pisos, azulejos, mosaicos y otros similares para la construcción; cerámica utilizada en la agricultura; loza y porcelana para diversos usos como inodoros, lavamanos, mingitorios y otros similares.</t>
  </si>
  <si>
    <t>Cemento y productos de concreto. Asignaciones destinadas a la adquisición de cemento blanco, gris y especial, pega azulejo y productos de concreto.</t>
  </si>
  <si>
    <t>Cal, yeso y productos de yeso. Asignaciones destinadas a la adquisición de tabla roca, plafones, paneles acústicos, columnas, molduras, estatuillas, figuras decorativas de yeso y otros productos arquitectónicos de yeso de carácter ornamental. Incluye dolomita calcinada. Cal viva, hidratada o apagada y cal para usos específicos a partir de piedra caliza triturada.</t>
  </si>
  <si>
    <t>Madera y productos de madera. Asignaciones destinadas a la adquisición de madera y sus derivados.</t>
  </si>
  <si>
    <t>Vidrio y productos de vidrio. Asignaciones destinadas a la adquisición de vidrio plano, templado, inastillable y otros vidrios laminados; espejos, envases y artículos de vidrio y fibra de vidrio.</t>
  </si>
  <si>
    <t>Materiales complementarios. Asignaciones destinadas a la adquisición de materiales de cualquier naturaleza para el acondicionamiento de bienes inmuebles tales como: alfombras, tapices, pisos, persianas y demás accesorios.</t>
  </si>
  <si>
    <t>Material de señalización. Asignaciones para adquirir materiales y accesorios para la fabricación de señales de tránsito y turísticas, carteleras y letreros, así como lo relativo a la señalización de oficinas públicas.</t>
  </si>
  <si>
    <t>Árboles y plantas de ornato. Asignación destinada para la adquisición de todo tipo de árboles, plantas de ornato y materiales para la conservación de áreas y jardines, así como para la dignificación de oficinas.</t>
  </si>
  <si>
    <t>Sustancias químicas. Asignaciones destinadas a la adquisición de toda clase de sustancias químicas, tales como: reactivos, ácidos, éteres, fluoruros, fosfatos, nitratos, óxidos, alquinos, marcadores genéticos, entre otros.</t>
  </si>
  <si>
    <t>Fibras sintéticas, hules, plásticos y derivados. Asignaciones destinadas a cubrir erogaciones por adquisición de productos a partir del hule o de resinas plásticas, perfiles, tubos y conexiones., productos laminados, placas, espumas, envases y contenedores, entre otros productos. Incluye P.V.C.</t>
  </si>
  <si>
    <t>entre otros.</t>
  </si>
  <si>
    <t>Carbón y sus derivados. Asignaciones destinadas a la adquisición de productos químicos derivados de la coquización del carbón y las briquetas de carbón. Excluye el carbón utilizado como materia prima.</t>
  </si>
  <si>
    <t>Artículos deportivos. Asignaciones destinadas a la adquisición de todo tipo de artículos deportivos, tales como: uniformes, balones, redes, trofeos, raquetas, guantes, entre otros.</t>
  </si>
  <si>
    <t>Blancos y otros productos textiles. Asignaciones destinadas a la adquisición de todo tipo de blancos: batas, colchas, sábanas, fundas, almohadas, toallas, cobertores, colchones y colchonetas, entre otros.</t>
  </si>
  <si>
    <t>Sustancias y materiales explosivos. Asignaciones destinadas a la adquisición de sustancias explosivas tales como: pólvora, dinamita, cordita, petardos, trinitrotolueno, fulminantes, entre otros. El ejercicio de esta partida procederá solo cuando la unidad ejecutora realice actividades específicas que justifiquen estas adquisiciones.</t>
  </si>
  <si>
    <t>Refacciones y accesorios menores de edificios. Asignaciones destinadas a la adquisición de instrumental complementario y repuesto de edificios, tales como: candados, cerraduras, pasadores, chapas. Llaves, manijas para puertas, herrajes y bisagras.</t>
  </si>
  <si>
    <t>Refacciones y accesorios menores de equipo e instrumental médico y de laboratorio. Asignaciones destinadas a la adquisición de refacciones y accesorios para todo tipo de aparatos e instrumentos médicos de laboratorio.</t>
  </si>
  <si>
    <t>Artículos para la extinción de incendios. Asignación para adquirir sustancias químicas, equipo de bombeo, herramientas, entre otros, así como lo relativo a la recarga de extintores con que debe contar cada oficina, conforme a la normatividad vigente.</t>
  </si>
  <si>
    <t>Refacciones y accesorios menores para equipos de defensa. Adquisición de todo tipo de refacciones; así como el material necesario para la limpieza del equipo de seguridad.</t>
  </si>
  <si>
    <t>Refacciones y accesorios menores de maquinaria y otros equipos. Asignaciones destinadas a la adquisición de piezas, partes, componentes, aditamentos, implementos y reemplazos de maquinaria pesada, agrícola y de construcción, entre otros. Excluye refacciones y accesorios mayores contemplados en el capítulo 5000 Bienes muebles, inmuebles e intangibles.</t>
  </si>
  <si>
    <t>Medidores de agua. Asignaciones destinadas para la adquisición de instrumentos para medir el consumo de agua.</t>
  </si>
  <si>
    <t>Otros enseres. Asignación para adquirir enseres y materiales no contemplados en otras partidas de este capítulo.</t>
  </si>
  <si>
    <t>Servicio de energía eléctrica. Asignación para pagar el servicio de energía eléctrica de instalaciones oficiales, el cual deberá racionalizarse y ajustarse a las medidas de control y ahorro que se establezcan.</t>
  </si>
  <si>
    <t>Servicio de energía eléctrica para alumbrado público. Asignación para el pago del servicio de alumbrado público.</t>
  </si>
  <si>
    <t>Gas. Asignaciones destinadas al suministro de gas al consumidor final por ductos, tanque estacionario o de cilindros.</t>
  </si>
  <si>
    <t>Servicio de agua. Asignación para cubrir el pago del servicio de agua potable, así como del agua en bloque.</t>
  </si>
  <si>
    <t>Servicio de cloración de agua. Asignación para el pago del servicio de cloración de agua potable.</t>
  </si>
  <si>
    <t>Servicio de telefonía convencional. Asignaciones para cubrir el pago del servicio telefónico convencional nacional e internacional, requeridos en el desempeño de funciones oficiales.</t>
  </si>
  <si>
    <t>Servicio de telefonía celular. Asignaciones para cubrir el pago del servicio de telefonía celular, requerido en el desempeño de funciones oficiales.</t>
  </si>
  <si>
    <t>Servicios de conducción de señales analógicas y digitales. Asignaciones destinadas a cubrir el pago de servicios de conducción de señales de voz, datos e imágenes requeridos en el desempeño de funciones oficiales, tales como: servicios satelitales, red digital integrada, y demás servicios no considerados en las redes telefónicas y de telecomunicaciones.</t>
  </si>
  <si>
    <t>Servicio postal y telegráfico. Asignaciones destinadas al pago de servicio postal y telegráfico nacional e internacional, así como los pagos por servicio de mensajería y paquetería requeridos en el desempeño de funciones oficiales.</t>
  </si>
  <si>
    <t>Arrendamiento de terrenos. Asignaciones para el pago del alquiler de predios para uso oficial, incluyendo los utilizados para rellenos sanitarios, entre otros.</t>
  </si>
  <si>
    <t>Arrendamiento de edificios y locales. Asignaciones para el pago del alquiler de inmuebles para oficinas y almacenes para uso oficial.</t>
  </si>
  <si>
    <t>Arrendamiento de equipo y bienes informáticos. Asignaciones destinadas a cubrir el alquiler de toda clase de equipo de cómputo y bienes informáticos.</t>
  </si>
  <si>
    <t>Arrendamiento de equipo e instrumental médico y de laboratorio. Asignaciones destinadas a cubrir el alquiler de toda clase de equipo médico y de laboratorio.</t>
  </si>
  <si>
    <t>Arrendamiento de vehículos. Asignaciones para cubrir el alquiler de todo tipo de equipo de transporte terrestre, aéreo y lacustre. Incluye el pago de operadores y gastos derivados por el uso de este servicio.</t>
  </si>
  <si>
    <t>Arrendamiento de maquinaria y equipo. Asignaciones destinadas a cubrir el alquiler de maquinaria y equipo, necesarios para el cumplimiento de la función pública.</t>
  </si>
  <si>
    <t>Arrendamiento financiero. Asignación para cubrir el pago de rentas establecidas en contratos de arrendamiento financiero de bienes muebles o inmuebles.</t>
  </si>
  <si>
    <t>Arrendamiento de equipo para el suministro de sustancias y productos químicos. Asignaciones destinadas a cubrir el alquiler de toda clase de equipo para el suministro de elementos, sustancias y productos químicos.</t>
  </si>
  <si>
    <t>Capacitación. Asignaciones destinadas a cubrir el costo de los servicios profesionales por concepto de preparación e impartición de cursos de capacitación, actualización y formación académica de los servidores públicos en territorio estatal, nacional e internacional. Incluye el pago de inscripciones y colegiaturas.</t>
  </si>
  <si>
    <t>Servicios de investigación científica y desarrollo. Asignaciones destinadas a cubrir la investigación y desarrollo en ciencias físicas, de la vida (biología, botánica, biotecnología, medicina, farmacéutica, agricultura), ingeniería, química, oceanografía, geología y matemáticas, ciencias sociales y humanidades (economía, sociología, derecho, educación, lenguaje y psicología).</t>
  </si>
  <si>
    <t>Servicios de vigilancia. Asignaciones para cubrir el pago de los servicios de vigilancia brindados por un prestador de servicios independiente, por concepto de vigilancia y protección de bienes muebles e inmuebles, destinados a oficinas administrativas</t>
  </si>
  <si>
    <t>e instalaciones operativas.</t>
  </si>
  <si>
    <t>Servicios profesionales. Asignaciones destinadas a cubrir el costo de los servicios profesionales por concepto de estudios e investigaciones de carácter socioeconómico, científico, jurídico, diseño de estrategias de mercadotecnia, análisis de mercado, entre otros.</t>
  </si>
  <si>
    <t>Servicios bancarios y financieros. Asignaciones destinadas a cubrir el pago de servicios bancarios y financieros, tales como: comisiones, intereses por adeudos, descuentos e intereses devengados con motivo de la colocación de empréstitos, certificados, traslados de valores y otras obligaciones. Incluye los gastos por la realización de avalúo de bienes muebles e</t>
  </si>
  <si>
    <t>inmuebles o por justipreciación, se excluyen las comisiones por devolución de cheques.</t>
  </si>
  <si>
    <t>Servicios de cobranza, investigación crediticia y similar. Asignaciones destinadas a cubrir los gastos por servicios de cobranza, investigación crediticia y recopilación de información sobre solvencia financiera de personas o negocios.</t>
  </si>
  <si>
    <t>Gastos inherentes a la recaudación. Asignaciones destinadas a cubrir el pago de servicios financieros por situación y traslado de fondos del erario y otros gastos inherentes a la recaudación fiscal, incluida la guarda y custodia de fondos y valores.</t>
  </si>
  <si>
    <t>Seguros de responsabilidad patrimonial y fianzas. Asignaciones destinadas a cubrir las primas con cargo al presupuesto autorizado de los entes públicos, por concepto de la contratación de seguro de responsabilidad patrimonial del Estado, que permita con la suma asegurada cubrir el monto equivalente a las indemnizaciones y que corresponderán a la reparación integral del daño y, en su caso, por el daño personal y moral, que se ocasionen como consecuencia de la actividad administrativa irregular del Estado. Excluye el monto de las erogaciones que resulten por insuficiencia de la suma asegurada contra el costo de la indemnización y, en su caso, los deducibles correspondientes. Estas erogaciones deberán cubrirse con cargo a la partida: Otros gastos por responsabilidades, de este clasificador.</t>
  </si>
  <si>
    <t>Seguros y fianzas. Asignaciones destinadas a cubrir las primas por concepto de seguros contra robos, incendios y demás riesgos o contingencias a que pueden estar sujetos los bienes muebles e inmuebles, incluidos los bienes informáticos y todo</t>
  </si>
  <si>
    <t>tipo de valores registrados en los activos. Así como para cubrir el importe de las fianzas de fidelidad de los servidores públicos que por sus funciones lo requieran. Incluye el pago de deducibles y coaseguros.</t>
  </si>
  <si>
    <t>Almacenaje, embalaje y envase. Asignaciones destinadas a cubrir el costo de los servicios de almacenamiento, embalaje, desembalaje, envase y desenvase de toda clase de objetos, artículos, materiales, mobiliario, entre otros.</t>
  </si>
  <si>
    <t>Fletes y maniobras. Asignaciones destinadas a cubrir el costo de traslado, maniobras, embarque y desembarque de animales, plantas, maquinaria y de toda clase de objetos, artículos, materiales, mobiliario, entre otros.</t>
  </si>
  <si>
    <t>Comisiones por ventas. Asignaciones destinadas a cubrir el pago de comisiones a personas físicas, ya sean: profesionistas, técnico, expertos o peritos, así como a las personas morales, con las cuáles se tenga celebrado contrato respectivo, por los servicios de venta prestados a los entes públicos.</t>
  </si>
  <si>
    <t>Servicios financieros, bancarios y comerciales integrales. Otros servicios financieros, bancarios y comerciales no previstos en las demás partidas anteriores de este concepto. Incluye casetas telefónicas sin operar las redes alambicas, recepción de llamadas telefónicas y promoción por teléfono de bienes y servicios, de recepción de llamadas telefónicas en nombre de los</t>
  </si>
  <si>
    <t>clientes. Excluye: cálculo de impuestos y preparación de formatos para la declaración de impuestos, al procesamiento de datos, a la operación de redes de telefonía tradicional, venta de productos por teléfono, y a los servicios de correo electrónico.</t>
  </si>
  <si>
    <t>Reparación y mantenimiento menor de inmuebles. Asignación para cubrir los gastos derivados de reparaciones y mantenimientos menores de edificios, locales, terrenos y predios propiedad del Estado y de los Municipios, así como de los inmuebles en arrendamiento destinados a cubrir la función o los servicios públicos. Estos gastos no implican una modificación estructural del inmueble ni aumentan significativamente su valor contable, y se consideran necesarios para la conservación operativa y funcional de los bienes. Incluye también los deducibles de seguros por daños a inmuebles y servicios específicos de conservación no capitalizables.</t>
  </si>
  <si>
    <t>Adaptación de locales, almacenes, bodegas y edificios. Asignación para cubrir el pago de la mano de obra y materiales para la adaptación de locales, terrenos y predios de propiedades oficiales, así como de los inmuebles en arrendamiento destinados a cubrir la función o los servicios públicos. Cuando la adaptación modifique la estructura original o aumente el valor del inmueble se deberá considerar como obra pública.</t>
  </si>
  <si>
    <t>Reparación, mantenimiento e instalación de mobiliario y equipo de oficina. Asignaciones destinadas a cubrir el costo de los servicios de mantenimiento, reparación e instalación de toda clase de mobiliario y equipo de administración tales como:</t>
  </si>
  <si>
    <t>escritorios, sillas, sillones, archiveros, máquinas de escribir, calculadoras, fotocopiadoras, entre otros.</t>
  </si>
  <si>
    <t>Reparación, instalación y mantenimiento de bienes informáticos, microfilmación y tecnologías de la información. Asignaciones destinadas a cubrir el costo de los servicios que se contraten con terceros para el mantenimiento, reparación e instalación de bienes informáticos, microfilmación y tecnologías de la información, tales como: computadoras, impresoras, dispositivos de seguridad, reguladores, fuentes de potencia ininterrumpida, redes informáticas internas y sistemas de telecomunicaciones,</t>
  </si>
  <si>
    <t>entre otros. Incluye el costo de las instalaciones menores especializadas.</t>
  </si>
  <si>
    <t>Reparación y mantenimiento para equipo y redes de tele y radio transmisión. Asignaciones destinadas a cubrir el pago de mano de obra y materiales requeridos en la reparación y mantenimiento del equipo y líneas de tele y radio transmisión.</t>
  </si>
  <si>
    <t>Reparación, instalación y mantenimiento de equipo médico y de laboratorio. Asignaciones destinadas a cubrir el costo de los servicios de reparación, instalación, mantenimiento y conservación de equipo médico especializado y equipo de laboratorio, cuando se efectúen por cuenta de terceros. Incluye el costo de las instalaciones menores especializadas.</t>
  </si>
  <si>
    <t>Reparación y mantenimiento de vehículos terrestres, aéreos y lacustres. Asignación para cubrir el costo de la reparación y mantenimiento de vehículos oficiales.</t>
  </si>
  <si>
    <t>Reparación y mantenimiento de equipos de seguridad y defensa. Asignaciones destinadas a cubrir los gastos por servicios de reparación y mantenimiento del equipo de seguridad y defensa, tales como armas cortas, armas largas, equipo anti motín, así</t>
  </si>
  <si>
    <t>como de equipos que se utilicen para la salvaguarda de la población.</t>
  </si>
  <si>
    <t>Reparación, instalación y mantenimiento de maquinaria, equipo industrial y diverso. Asignaciones destinadas a cubrir el costo de los servicios de reparación, mantenimiento, instalación y conservación de la maquinaria, equipo industrial y equipos contra</t>
  </si>
  <si>
    <t>incendio, entre otros; así como: equipo topográfico, tractores, palas mecánicas, dragas, fertilizadoras, equipo especializado instalado en inmuebles, obras de arte, entre otros, cuando se efectúen por cuenta de terceros.</t>
  </si>
  <si>
    <t>Servicios de lavandería, limpieza e higiene. Asignaciones destinadas a cubrir los gastos por servicios de: lavandería, limpieza, desinfección e higiene en los bienes muebles e inmuebles oficina propiedad o al cuidado de los entes públicos. Incluye los costos de recolección, traslado, tratamiento y disposición final de residuos y desechos tóxicos, limpieza de carreteras y</t>
  </si>
  <si>
    <t>caminos, entre otros.</t>
  </si>
  <si>
    <t>Servicios de fumigación. Asignaciones destinadas a cubrir los gastos por servicios de: fumigación y jardinería de los bienes muebles e inmuebles oficiales.</t>
  </si>
  <si>
    <t>Gastos de publicidad y propaganda. Asignación para contratar servicios de publicidad y difusión en medios masivos de comunicación, que permitan dar a conocer el quehacer de la administración pública estatal, así como los bienes y servicios</t>
  </si>
  <si>
    <t>públicos que se prestan; publicación y difusión masiva a través de televisión abierta y restringida, radio, cine, prensa, encartes, espectaculares, para buses, Internet y medios electrónicos e impresos internacionales.</t>
  </si>
  <si>
    <t>Publicaciones oficiales. Asignaciones destinadas a cubrir el costo de los servicios de publicación de documentos oficiales tales como: programas sectoriales, regionales y especiales, informes de labores, manuales de organización, de procedimientos y de servicios al público, decretos, acuerdos, convenios, oficios, circulares, programas de adquisiciones, instructivos, libros, revistas, folletos, boletines, posters, trípticos, edictos, informes, así como la información en materia de licitaciones públicas y</t>
  </si>
  <si>
    <t>subastas para la adquisición o enajenación, bases y convocatorias.</t>
  </si>
  <si>
    <t>Costos de estudios, producción y post-producción. Asignaciones destinadas a cubrir el costo de los estudios necesarios para el desarrollo de mensajes y diseño de conceptualización de los mismos, preproducción, producción, post-producción y copiado.</t>
  </si>
  <si>
    <t>Gastos de publicidad en materia comercial. Asignaciones destinadas a cubrir el costo de la publicidad y difusión comercial de bienes y servicios que generan un ingreso para las unidades ejecutoras de la administración pública.</t>
  </si>
  <si>
    <t>Servicios de creatividad, preproducción y producción de publicidad, excepto Internet. Asignaciones destinadas a cubrir los gastos por diseño y conceptualización de campañas de comunicación, preproducción, producción, post-producción y copiado.</t>
  </si>
  <si>
    <t>Servicios de fotografía. Asignación para cubrir el pago por servicios de revelado, impresión y reproducción fotográfica.</t>
  </si>
  <si>
    <t>Servicios de cine y grabación. Asignación para cubrir el pago por servicios de producción y grabaciones fílmicas.</t>
  </si>
  <si>
    <t>Servicios de creación y difusión de contenido a través de Internet. Asignaciones destinadas a cubrir el gasto por creación, difusión y transmisión de contenidos de interés general o específico a través de internet.</t>
  </si>
  <si>
    <t>Otros servicios de información. Asignaciones destinadas a cubrir el costo de la contratación de servicios profesionales con personas físicas o morales, por concepto de monitoreo de información en medios masivos de comunicación, de las actividades</t>
  </si>
  <si>
    <t>de los entes públicos, que no se encuentren comprendidas en las demás partidas de este Capítulo.</t>
  </si>
  <si>
    <t>Transportación aérea. Asignaciones destinadas a cubrir los gastos por concepto de traslado de personal por vía aérea que utilices este medio de transporte en cumplimiento de sus funciones públicas. Incluye gastos por traslado de presos, reparto y</t>
  </si>
  <si>
    <t>entrega de mensajería y excluye los pasajes por concepto de becas y arrendamiento de equipo de transporte.</t>
  </si>
  <si>
    <t>Gastos de traslado por vía terrestre. Asignación para cubrir el transporte en el país o en el extranjero por el traslado de personal por vía terrestre urbano y suburbano, interurbano y rural, taxis y ferroviario en cumplimiento de sus funciones públicas.</t>
  </si>
  <si>
    <t>Pasajes marítimos, lacustres y fluviales. Asignaciones destinadas a cubrir los gastos por concepto de traslado de personal por</t>
  </si>
  <si>
    <t>vía marítima, lacustre y fluvial en cumplimiento de sus funciones públicas. Incluye gastos por traslado de presos reparto y entrega de mensajería y excluye los pasajes por concepto de becas y arrendamiento de equipo de transporte.</t>
  </si>
  <si>
    <t>Autotransporte. Asignaciones destinadas al autotransporte tanto de mercancías que no requieren de equipo especializado y que normalmente se transportan en camiones de caja o en contenedores, como de aquellos productos que por sus</t>
  </si>
  <si>
    <t>características (líquidos, gases, etc.) requieren ser transportados en camiones con equipo especializado.</t>
  </si>
  <si>
    <t>Gastos de alimentación en territorio nacional. Asignación sujeta a comprobación de acuerdo a la normatividad en la materia, para cubrir la alimentación de los servidores públicos que por comisiones deban asistir a lugares distintos a los de su</t>
  </si>
  <si>
    <t>adscripción.</t>
  </si>
  <si>
    <t>Gastos de hospedaje en territorio nacional. Asignación sujeta a comprobación de acuerdo a la normatividad en la materia, para cubrir el hospedaje de los servidores públicos que por comisiones deban asistir a lugares distintos a los de su adscripción.</t>
  </si>
  <si>
    <t>Gastos por arrendamiento de vehículos en territorio nacional. Asignación sujeta a comprobación de acuerdo a la normatividad en la materia, para cubrir el arrendamiento de vehículos para los servidores públicos que por comisiones deban hacer uso de estos servicios para asistir a lugares distintos a los de su adscripción.</t>
  </si>
  <si>
    <t>Gastos de alimentación en el extranjero. Asignación sujeta a comprobación de acuerdo a la normatividad en la materia, para</t>
  </si>
  <si>
    <t>cubrir la alimentación de los servidores públicos que por comisiones deban asistir al extranjero para cumplir con funciones propias de su actividad.</t>
  </si>
  <si>
    <t>Gastos de hospedaje en el extranjero. Asignación sujeta a comprobación de acuerdo a la normatividad en la materia, para</t>
  </si>
  <si>
    <t>cubrir el hospedaje de los servidores públicos que por comisiones deban asistir al extranjero para cumplir con funciones propias de su actividad.</t>
  </si>
  <si>
    <t>Gastos por arrendamiento de vehículos en el extranjero. Asignación sujeta a comprobación de acuerdo a la normatividad en la materia, para cubrir el arrendamiento de vehículos para los servidores públicos que por comisiones deban asistir al</t>
  </si>
  <si>
    <t>extranjero para cumplir con funciones propias de su actividad.</t>
  </si>
  <si>
    <t>Gastos de instalación y traslado de menaje. Asignaciones destinadas a cubrir los gastos que ocasione la instalación del personal civil o militar, diplomático y consular al servicio de los entes públicos, cuando en el desempeño de funciones oficiales</t>
  </si>
  <si>
    <t>dentro o fuera del país, se requiera su permanencia fuera de su residencia en forma transitoria o permanente, incluyendo, en su caso, el traslado de menaje de casa. Excluye los pagos de viáticos y pasajes.</t>
  </si>
  <si>
    <t>Servicios integrales de traslado y viáticos. Asignaciones destinadas a cubrir las erogaciones que realicen los entes públicos por la contratación con personas físicas y morales de servicios diversos cuya desagregación no es realizable en forma específica para cada una de las partidas de gasto de este concepto, por tratarse de una combinación de servicios relacionados</t>
  </si>
  <si>
    <t>cuya prestación se estipula en forma integral y que en términos del costo total resulta en condiciones menos onerosas para los entes públicos.</t>
  </si>
  <si>
    <t>Otros servicios de traslado y hospedaje. Asignaciones destinadas a cubrir el pago de servicios básicos distintos de los señalados en las partidas de este concepto, tales como pensiones de estacionamiento, entre otros, requeridos en el</t>
  </si>
  <si>
    <t>desempeño de funciones oficiales.</t>
  </si>
  <si>
    <t>Gastos de ceremonial. Asignaciones destinadas a cubrir los servicios integrales que se contraten con motivo de organización y ejecución de recepciones de los titulares de los entes públicos al personal del Cuerpo Diplomático acreditado y personalidades nacionales o extranjeras residentes o de visita en el territorio nacional, así como para cubrir dichos gastos en eventos que se realicen en el extranjero; siempre y cuando que por tratarse de servicios integrales no puedan desagregarse en otras partidas de los capítulos 2000 Materiales y Suministros y 3000 Servicios Generales. Incluye bienes y servicios tales</t>
  </si>
  <si>
    <t>como: organización y ejecución de recepciones, adornos, escenografía, entre otros.</t>
  </si>
  <si>
    <t>Gastos de ceremonias oficiales y de orden social. Asignaciones destinadas a cubrir los gastos que se originen con motivo de la celebración de actos conmemorativos y de orden social, tales como la realización de ceremonias patrióticas y oficiales,</t>
  </si>
  <si>
    <t>desfiles, adquisición de ofrendas florales y luctuosas, renta de sillas, lonas y sonido, entre otros, en los que participan el Titular del Ejecutivo Estatal o Municipal, funcionarios y servidores públicos.</t>
  </si>
  <si>
    <t>Espectáculos cívicos y culturales. Asignación para cubrir el desarrollo de espectáculos cívicos y culturales para fomentar la identidad entre la ciudadanía.</t>
  </si>
  <si>
    <t>Congresos y convenciones. Asignaciones destinadas a cubrir el costo del servicio integral que se contrate con personas físicas o morales para la celebración de congresos, convenciones, seminarios, simposios y cualquier otro tipo de foro análogo o de características similares, que se organicen en cumplimiento de lo previsto en los programas o con motivo de las atribuciones propias, siempre y cuando no puedan desagregarse en otras partidas de los capítulos 2000 Materiales y Suministros y 3000</t>
  </si>
  <si>
    <t>Servicios Generales. Incluye los gastos estrictamente indispensables que se ocasionen con motivo de la participación en dichos eventos de servidores públicos federales o locales como ponentes o conferencistas, entre otros.</t>
  </si>
  <si>
    <t>Exposiciones y ferias. Asignaciones destinadas a cubrir el costo del servicio integral que se contrate con personas físicas o morales para la instalación y sostenimiento de exposiciones y ferias, y cualquier otro tipo de muestra análoga o de características similares que se organicen en el cumplimiento de lo previsto en los programas de acuerdo a las atribuciones</t>
  </si>
  <si>
    <t>propias, siempre y cuando no puedan desagregarse en otras partidas de los capítulos 2000 Materiales y Suministros y 3000 Servicios Generales. Incluye el pago de indemnizaciones por los daños que sufran los bienes expuestos.</t>
  </si>
  <si>
    <t>Gastos de representación. Asignación destinada exclusivamente a cubrir los gastos institucionales que las administraciones municipales erogan en el desempeño de sus funciones a través de sus representantes oficiales.</t>
  </si>
  <si>
    <t>Servicios funerarios y de cementerios. Asignaciones destinadas a cubrir servicios y pagas de defunción como traslado de cuerpos, velación, apoyo para trámites legales, cremación y embalsamiento y ataúdes, a los familiares de servidores públicos, civiles y militares al servicio de los entes públicos, así como de pensionistas directos, cuyo pago es con cargo al Erario, a excepción de los miembros del servicio exterior que perezcan fuera del país. Asimismo, con cargo a esta partida se cubrirán apoyos a los militares en activo o retirados para gastos de sepelio en caso de fallecimiento de sus dependientes económicos. Incluye los gastos por concepto de honores póstumos a quienes por sus méritos o servicios se considere conveniente tributar; gastos de inhumación de los alumnos internos en las escuelas de la federación y, en los casos de que los cuerpos no sean</t>
  </si>
  <si>
    <t>reclamados, de los militares que fallezcan en prisión cumpliendo sentencia condenatoria.</t>
  </si>
  <si>
    <t>Impuestos y derechos de exportación. Asignaciones destinadas a cubrir los impuestos y/o derechos causados por la venta de productos o servicios al extranjero.</t>
  </si>
  <si>
    <t>Otros impuestos y derechos. Asignaciones destinadas a cubrir otra clase de impuestos y derechos tales como: gastos notariales, de registro público de la propiedad, tenencias, canje de placas, refrendo y verificación de vehículos oficiales, pago del predial y por traslado de dominio de los bienes inmuebles, derechos y gastos de navegación, de aterrizaje y despegue de aeronaves; así como por diligencias oficiales, convenios con la SEP, entre otros. Excluye el impuesto generado por el pago</t>
  </si>
  <si>
    <t>de servicios personales, así como el entero de las retenciones que registra el Gobierno del Estado.</t>
  </si>
  <si>
    <t>Impuestos y derechos de importación. Asignaciones destinadas a cubrir los impuestos y/o derechos que cause la adquisición de toda clase de bienes o servicios en el extranjero.</t>
  </si>
  <si>
    <t>Sentencias y resoluciones judiciales. Asignaciones destinadas a cubrir el pago de obligaciones o indemnizaciones derivadas de resoluciones emitidas por autoridad competente.</t>
  </si>
  <si>
    <t>Gastos derivados del resguardo de personas vinculadas a procesos judiciales. Asignaciones destinadas a cubrir los costos generados por la contratación de servicios de alimentación, hospedaje, médicos, así como la adquisición de artículos para la</t>
  </si>
  <si>
    <t>higiene personal medicamentos o similares, para personas que se encuentren bajo el resguardo y custodia de Ministerio Público de manera precautoria por resolución de un Juzgado</t>
  </si>
  <si>
    <t>Penas, multas, accesorios y actualizaciones. Asignaciones destinadas a cubrir las erogaciones derivadas del pago extemporáneo de pasivos fiscales, adeudos u obligaciones de pago, como multas, actualizaciones, intereses y demás accesorios por dichos pagos. Incluye los gastos financieros por pago extemporáneo de estimaciones y de ajuste de costos de obra pública, así como los gastos no recuperables derivados de la terminación anticipada de contratos de adquisiciones y obras públicas; excluye causas imputables a servidores públicos.</t>
  </si>
  <si>
    <t>Otros gastos por responsabilidades. Asignaciones destinadas a cubrir las erogaciones de los entes públicos que deriven del robo o extravío de recursos públicos que no sean recuperables e impliquen afectar su presupuesto disponible. Excluye las recuperaciones de recursos que se realicen por los diversos medios establecidos por las disposiciones aplicables, como es el Fondo de Garantía para Reintegros al Erario en el caso de los entes públicos. Incluye además erogaciones de los entes públicos que se deriven de la responsabilidad civil. incluye los montos diferenciales de las indemnizaciones que no cubran las sumas aseguradas y los importes deducibles del seguro de responsabilidad patrimonial del Estado, así como aquellas erogaciones distintas de las consideradas en las demás partidas de este concepto, que impliquen afectar el presupuesto disponible del ente público.</t>
  </si>
  <si>
    <t>Utilidades. Asignaciones destinadas por las empresas de participación estatal al pago de utilidades en los términos de las disposiciones aplicables.</t>
  </si>
  <si>
    <t>Impuestos sobre nóminas. Asignaciones destinadas al pago de impuestos sobre nóminas a cargo de los entes públicos, de conformidad con el Código Fiscal de la Ciudad de México y, en su caso, las disposiciones equivalentes en las demás entidades federativas.</t>
  </si>
  <si>
    <t>Impuesto sobre erogaciones por remuneraciones al trabajo personal. Asignación para cubrir el pago de este impuesto por remuneraciones pagadas a los trabajadores al servicio del Estado o Municipios.</t>
  </si>
  <si>
    <t>Impuesto sobre la renta. Asignación para cubrir el pago de este impuesto a cargo del servidor público por remuneraciones recibidas por los servicios que presta al Estado o Municipios.</t>
  </si>
  <si>
    <t>Cuotas y suscripciones. Asignación para el pago de cuotas a asociaciones diversas y suscripciones a periódicos, revistas y publicaciones especializadas.</t>
  </si>
  <si>
    <t>Gastos de servicios menores. Asignaciones para cubrir gastos por concepto de alimentos para servidores públicos generados por la necesidad de ejecutar actividades extraordinarias, uso de estacionamiento, transporte en camión urbano y taxis locales, duplicados de llaves, sellos oficiales, entre otros, que se ajustarán a las medidas de racionalidad, austeridad y disciplina presupuestaria.</t>
  </si>
  <si>
    <t>Estudios y análisis clínicos. Asignación para cubrir el costo a terceros por servicios prestados en materia de estudios o análisis clínicos, así como los aplicados al personal de los cuerpos de seguridad pública municipal.</t>
  </si>
  <si>
    <t>Inscripciones y arbitrajes. Asignaciones destinadas a cubrir inscripciones y arbitrajes que se generan por la participación de las selecciones deportivas, en las diferentes categorías de las ramas varoniles y femeniles.</t>
  </si>
  <si>
    <t>Diferencia por variación en el tipo de cambio. Asignaciones destinadas a cubrir la diferencia por variaciones en el tipo de cambio de la moneda nacional respecto a monedas extranjeras, derivado de las operaciones con divisas.</t>
  </si>
  <si>
    <t>Subcontratación de servicios con terceros. Asignaciones destinadas a cubrir el costo de los servicios provenientes de la subcontratación con personas físicas o morales especializadas, que resulten más convenientes o generen ahorros en la prestación de bienes o servicios públicos, tales como: maquila de productos, servicio médico, hospitalario, de laboratorio, servicios adicionales que se presten por las unidades educativas del nivel medio superior y superior, entre otros.</t>
  </si>
  <si>
    <t>Proyectos para prestación de servicios. Asignaciones destinadas a cubrir las erogaciones por los servicios provenientes de la contratación con inversionistas proveedores especializados, que resulten más convenientes en la prestación de bienes o servicios públicos, tales como: servicio médico, hospitalario, de laboratorio, de comunicaciones y transportes, entre otros, en los términos y condiciones contratados.</t>
  </si>
  <si>
    <t>Asociaciones público privadas. Asignaciones destinadas a cubrir las erogaciones derivadas de las obligaciones contractuales que se realicen con cualquier esquema entre instancias del sector público y del sector privado, para la prestación de servicios al sector público, mayoristas, intermediarios o al usuario final y en los que se utilice infraestructura proporcionada total o parcialmente por el sector privado, con el objeto de aumentar el bienestar social.</t>
  </si>
  <si>
    <t>Asignaciones presupuestarias al Poder Ejecutivo. Asignaciones presupuestarias destinadas al Poder Ejecutivo, con el objeto de financiar gastos inherentes a sus atribuciones.</t>
  </si>
  <si>
    <t>Liberación de recursos al Poder Legislativo. Asignaciones previstas en el presupuesto de egresos destinados a la liberación de recursos autorizados al Poder Legislativo.</t>
  </si>
  <si>
    <t>Liberación de recursos al Poder Judicial. Asignaciones previstas en el presupuesto de egresos destinados a la liberación de recursos autorizados al Poder Judicial.</t>
  </si>
  <si>
    <t>Liberación de Recursos a entes autónomos. Asignaciones previstas en el presupuesto de egresos destinadas a la liberación de recursos autorizados a los entes autónomos.</t>
  </si>
  <si>
    <t>Transferencias internas otorgadas a entidades paraestatales no empresariales y no financieras. Asignaciones internas, que no implican las contraprestaciones de bienes o servicios, destinadas a entidades paraestatales no empresariales y no financieras, con el objeto de financiar gastos inherentes a sus funciones. Estas entidades cuentan con personalidad jurídica propia y en general se les asignó la responsabilidad de proveer bienes y servicios a la comunidad en su conjunto o a los hogares individualmente en términos no de mercado; financian sus actividades principalmente mediante impuestos y/o transferencias que reciben de otros sectores gubernamentales; distribuyen sus productos gratuitamente o a precios</t>
  </si>
  <si>
    <t>económicamente no significativos con relación a sus costos de producción.</t>
  </si>
  <si>
    <t>Transferencias internas otorgadas a entidades paraestatales empresariales y no financieras. Asignaciones internas, que no implican la contraprestación de bienes o servicios, destinada a entidades paraestatales empresariales y no financieras, con el objeto de financiar parte de los gastos inherentes a sus funciones. Estas entidades producen bienes y servicios para el</t>
  </si>
  <si>
    <t>mercado a precios económicamente significativos con relación a sus costos de producción.</t>
  </si>
  <si>
    <t>Transferencias internas otorgadas a fideicomisos públicos empresariales y no financieros. Asignaciones internas, que no implican la contraprestación de bienes o servicios, destinada a fideicomisos públicos empresariales y no financieros, con el</t>
  </si>
  <si>
    <t>objeto de financiar parte de los gastos inherentes a sus funciones. Estos fideicomisos producen bienes y servicios para el mercado a precios económicamente significativos con relación a sus costos de producción.</t>
  </si>
  <si>
    <t>Transferencias internas otorgadas a instituciones paraestatales públicas financieras. Asignaciones internas, que no implican la contraprestación de bienes o servicios, destinada a instituciones públicas financieras, para financiar parte de los gastos inherentes a sus funciones. Estas entidades realizan labores de intermediación financiera o actividades financieras auxiliares</t>
  </si>
  <si>
    <t>relacionadas con la misma. Comprende las instituciones públicas monetarias y las instituciones financieras no monetarias.</t>
  </si>
  <si>
    <t>Transferencias internas otorgadas a fideicomisos públicos financieros. Asignaciones internas, que no implican la contraprestación de bienes o servicios, destinada a fideicomisos públicos financieros, con el objeto de financiar gastos</t>
  </si>
  <si>
    <t>inherentes a sus funciones. Estos fideicomisos realizan labores de intermediación financiera o actividades financieras auxiliares relacionadas con la misma.</t>
  </si>
  <si>
    <t>Transferencias otorgadas a organismos o entidades paraestatales no empresariales y no financieras. Asignaciones a entidades, que no presuponen la contraprestación de bienes o servicios, destinada a entidades paraestatales no empresariales y no financieras de control presupuestario indirecto, con el objeto de financiar gastos inherentes a sus funciones. Estas entidades cuentan con personalidad jurídica propia y en general se les asignó la responsabilidad de proveer bienes y servicios a la comunidad en su conjunto o a los hogares individualmente en términos no de mercado; financian sus actividades principalmente mediante impuestos y/o transferencias que reciben de otros sectores gubernamentales; distribuyen sus productos gratuitamente o a precios económicamente no significativos con relación a sus costos de producción.</t>
  </si>
  <si>
    <t>Transferencias otorgadas para entidades paraestatales empresariales y no financieras. Asignaciones internas, que no suponen la contraprestación de bienes o servicios, destinada a entidades paraestatales empresariales y no financieras de control presupuestario indirecto, con el objeto de financiar parte de los gastos inherentes a sus funciones. Estas entidades producen bienes y servicios para el mercado a precios económicamente significativos con relación a sus costos de producción.</t>
  </si>
  <si>
    <t>Transferencias otorgadas para instituciones paraestatales públicas financieras. Asignaciones internas que no suponen la contraprestación de bienes o servicios, destinada a instituciones públicas financieras de control presupuestario indirecto, para financiar parte de los gastos inherentes a sus funciones. Estas entidades realizan labores de intermediación financiera o actividades financieras auxiliares relacionadas con la misma. Comprende las instituciones públicas monetarias y las instituciones financieras no monetarias.</t>
  </si>
  <si>
    <t>Municipios, comunidades y poblaciones. Asignación para apoyar a Municipios, comunidades y poblaciones para la atención de servicios, cuando no cuenten con recursos propios para cubrirlos.</t>
  </si>
  <si>
    <t>Donativos a municipios. Asignaciones que las dependencias y/o entidades públicas otorgan como donativos en dinero o en especie a los Municipios.</t>
  </si>
  <si>
    <t>Transferencias a fideicomisos de entidades federativas y municipios. Asignaciones que no suponen la contraprestación de bienes o servicios, que se otorgan a fideicomisos de entidades federativas y municipios para que ejecuten acciones que se</t>
  </si>
  <si>
    <t>les han encomendado.</t>
  </si>
  <si>
    <t>Subsidios a la producción. Asignaciones destinadas a promover y fomentar la producción y transformación de bienes, así como la prestación de servicios básicos estratégicos en el sector económico, a fin de apoyar su generación, sin alterar el</t>
  </si>
  <si>
    <t>precio del mercado.</t>
  </si>
  <si>
    <t>Subsidios a la distribución. Asignaciones destinadas al apoyo de la comercialización y distribución de los bienes y servicios básicos que realiza el sector económico, buscando que no impacten en el precio de los mismos</t>
  </si>
  <si>
    <t>Subsidios a la inversión. Asignaciones destinadas a las empresas para mantener y promover la inversión de los sectores social y privado en actividades económicas estratégicas.</t>
  </si>
  <si>
    <t>Subsidios a la prestación de servicios públicos. Asignaciones destinadas a las empresas para promover la prestación de servicios públicos.</t>
  </si>
  <si>
    <t>Subsidios para cubrir diferenciales de tasas de interés. Asignaciones destinadas a las instituciones financieras para cubrir los</t>
  </si>
  <si>
    <t>diferenciales generados en las operaciones financieras realizadas para el desarrollo y fomento de actividades prioritarias; mediante la aplicación de tasas preferenciales en los créditos otorgados, cuando el fondeo se realiza a tasas de mercado.</t>
  </si>
  <si>
    <t>Subsidios a la vivienda. Asignaciones destinadas a otorgar subsidios a través de sociedades hipotecarias, fondos y fideicomisos, para la construcción y adquisición de vivienda, preferentemente a tasas de interés social.</t>
  </si>
  <si>
    <t>Subvenciones al consumo. Asignaciones destinadas a las empresas para mantener un menor nivel en los precios de bienes y servicios de consumo básico que distribuyen los sectores económicos</t>
  </si>
  <si>
    <t>Subsidios a entidades federativas y municipios. Asignaciones destinadas a favor de entidades federativas y municipios con la finalidad de apoyarlos en su fortalecimiento financiero y, en caso de desastres naturales o contingencias económicas; así</t>
  </si>
  <si>
    <t>como para dar cumplimiento a convenios suscritos.</t>
  </si>
  <si>
    <t>Subsidios fideicomisos privados y estatales. Asignaciones previstas en el presupuesto de las unidades ejecutoras destinadas a apoyar a fideicomisos agropecuarios, industriales, comerciales y a la ejecución de programas sociales que contribuyan a las</t>
  </si>
  <si>
    <t>funciones y objetivos del Gobierno del Estado.</t>
  </si>
  <si>
    <t>Subsidios y apoyos. Asignaciones previstas en el presupuesto de las unidades ejecutoras destinadas a apoyar a los municipios</t>
  </si>
  <si>
    <t>en el fomento y difusión de eventos culturales y sociales; operación de actividades de organismos federales establecidos en la entidad y en el caso de los municipios a apoyar la operación y actividades de organismos municipales.</t>
  </si>
  <si>
    <t>Subsidios por carga fiscal. Asignaciones destinadas a cubrir las erogaciones generadas por la actividad fiscal, se incluyen las</t>
  </si>
  <si>
    <t>asignaciones para cubrir los montos que se otorguen como beneficios a los contribuyentes, por concepto de bonificaciones, subsidios de recargos y condonación de multas derivados de la aplicación de la legislación en la materia.</t>
  </si>
  <si>
    <t>Devolución de ingresos indebidos. Asignaciones destinadas a cubrir las erogaciones generadas como devolución de ingresos indebidos.</t>
  </si>
  <si>
    <t>Subsidios para capacitación y becas. Asignaciones destinadas al sostenimiento o ayuda de estudiantes o personas que realicen estudios e investigaciones en planteles e instituciones educativas y de investigación estatal, del país o del extranjero, así como programas de capacitación para el empleo. Incluye los gastos de capacitación a productores, así como los asociados</t>
  </si>
  <si>
    <t>a programas de capacitación financiados por organismos nacionales e internacionales.</t>
  </si>
  <si>
    <t>Otros subsidios. Asignaciones otorgadas para el desarrollo de actividades prioritarias de interés general a través de los entes públicos a los diferentes sectores de la sociedad, cuyo objeto no haya sido considerado en las partidas anteriores de este</t>
  </si>
  <si>
    <t>concepto.</t>
  </si>
  <si>
    <t>Cooperaciones y ayudas. Asignación para cubrir las solicitudes de apoyo de diversa índole que la población realiza al Ejecutivo Estatal y Municipal, como cooperaciones y ayudas, principalmente dirigidas a núcleos de la población de escasos recursos económicos de zonas marginadas o por requerir ayuda gubernamental, en casos de fenómenos no previstos.</t>
  </si>
  <si>
    <t>Despensas. Asignación para apoyar a estudiantes y familias de escasos recursos a través de la dotación de despensas.</t>
  </si>
  <si>
    <t>Gastos relacionados con actividades culturales, deportivas y de ayuda extraordinaria. Asignaciones destinadas a cubrir los gastos de ayuda extraordinaria que realizan las dependencias y organismos auxiliares para casos de viudez, orfandad, enfermedad, maternidad, otras prestaciones derivadas de convenios con Sindicatos; para internos de los Centros de Prevención y Readaptación Social, así como para casos extraordinarios de personas que por su condición de necesidad y mérito en la sociedad se justifiquen, reciban ayuda social, distintas de las prestaciones laborales de los servidores públicos y de los subsidios para la población; así como la celebración de eventos culturales y deportivos, tales como: conciertos,</t>
  </si>
  <si>
    <t>exposiciones, festivales escolares, torneos, eventos para pensionados entre otros.</t>
  </si>
  <si>
    <t>Gastos por servicios de traslado de personas. Asignaciones destinadas a cubrir los gastos de traslado de enfermos, extranjeros, internos en los centros de readaptación social, heridos y cadáveres, así como gastos de repatriación de mexiquenses radicados en el extranjero. Incluye los pasajes de alumnos de escuelas estatales en práctica, exploraciones y excursiones con fines de estudio o de carácter científico, así como los diversos gastos, tales como: traslado, hospedaje,</t>
  </si>
  <si>
    <t>alimentación, entre otros, para apoyar a los becarios, investigadores o expositores que participen en ponencias, seminarios nacionales, congresos o cursos de capacitación.</t>
  </si>
  <si>
    <t>Apoyo a la infraestructura agropecuaria y forestal. Asignaciones para apoyar la adquisición de equipo e insumos para proyectos productivos, tales como: maquinaria, animales y cultivos y para adquisición y traslado de plantas y árboles.</t>
  </si>
  <si>
    <t>Apoyo a voluntarios que participen en diversos programas federales y estatales. Asignaciones destinadas a cubrir las erogaciones que por concepto de apoyos se otorgan a personas físicas que, en su carácter de voluntarios, sin ser servidores públicos, ni estar sujetas a una relación laboral subordinada, coadyuvan de manera temporal y con actividades específicas determinadas en programas de carácter federal y estatal, tales como evaluaciones, encuestas, sondeos entre otros, quedan</t>
  </si>
  <si>
    <t>excluidos honorarios, asesorías, consultorías y demás erogaciones por servicios profesionales, prestaciones laborales de servicios públicos o del otorgamiento de subsidios.</t>
  </si>
  <si>
    <t>Becas. Asignación para apoyar a estudiantes a cubrir sus estudios en planteles educativos estatales, nacionales o extranjeros.</t>
  </si>
  <si>
    <t>Capacitación. Asignación para apoyar acciones de capacitación en los sectores social o privado.</t>
  </si>
  <si>
    <t>Premios, estímulos, recompensas, becas y seguros a deportistas. Asignaciones destinadas al otorgamiento de estímulos, premios, recompensas, becas y seguros, entre otros, que se otorgan a deportistas, entrenadores y estudiantes por sus méritos o aportaciones. Incluye los apoyos relacionados con alimentación, hospedaje, transportación e inscripciones a eventos</t>
  </si>
  <si>
    <t>deportivos, premio estatal del deporte y campeonatos mundiales.</t>
  </si>
  <si>
    <t>Instituciones educativas. Asignación para apoyar la operación y actividades de instituciones educativas públicas de nivel medio superior y superior.</t>
  </si>
  <si>
    <t>Premios, recompensas y pensión recreativa estudiantil. Asignaciones destinadas al otorgamiento de premios y recompensas</t>
  </si>
  <si>
    <t>civiles por certámenes que organicen o patrocinen las dependencias y organismos auxiliares. Incluye los gastos personales de alumnos internos en las escuelas públicas de acuerdo con los reglamentos respectivos.</t>
  </si>
  <si>
    <t>Ayudas sociales a actividades científicas o académicas. Asignaciones destinadas al desarrollo de actividades científicas o académicas. Incluye las erogaciones corrientes de los investigadores.</t>
  </si>
  <si>
    <t>Instituciones de beneficencia. Asignación para apoyar la operación y actividades de instituciones de beneficencia pública.</t>
  </si>
  <si>
    <t>Instituciones sociales no lucrativas. Asignación para apoyar la operación de instituciones sociales sin fines de lucro que prestan servicios de carácter social y cultural.</t>
  </si>
  <si>
    <t>Ayudas sociales a cooperativas. Asignaciones destinadas a promover el cooperativismo.</t>
  </si>
  <si>
    <t>Ayudas sociales a entidades de interés público. Asignaciones destinadas a cubrir erogaciones que realizan los institutos electorales a los partidos políticos.</t>
  </si>
  <si>
    <t>Reparación de daños a terceros. Asignaciones destinadas a cubrir erogaciones por daños generados a terceros, derivados por ejecución de programas de carácter institucional.</t>
  </si>
  <si>
    <t>Mercancías y alimentos para su distribución a la población en caso de desastres naturales. Asignaciones destinadas a cubrir el costo de adquisición de los materiales, suministros, alimentos y mercancías diversas que se requieran para su distribución</t>
  </si>
  <si>
    <t>a la población en casos de desastres naturales o apoyos temporales por emergencias, entre otros.</t>
  </si>
  <si>
    <t>Pago de pensiones. Asignaciones destinadas a cubrir los pagos a pensionados, pensionistas y servidores públicos en atención al mérito por sus servicios en la administración pública estatal. Incluye pensiones de gracia otorgadas por el C. Gobernadora.</t>
  </si>
  <si>
    <t>Jubilaciones. Asignaciones para el pago a jubilados, que cubre el Gobierno Estatal y Municipal, o bien el Instituto de Seguridad Social conforme al régimen legal establecido, así como los pagos adicionales derivados de compromisos contractuales a</t>
  </si>
  <si>
    <t>personal retirado.</t>
  </si>
  <si>
    <t>Prestaciones económicas distintas de pensiones. Asignaciones destinadas a cubrir a la población derechohabiente del ISSEMYM, las prestaciones que establecen sus propias Leyes, tales como: pago de incapacidades por enfermedad general, por maternidad y por riesgos de trabajo, pago de indemnizaciones, ayudas de matrimonio y de funeral.</t>
  </si>
  <si>
    <t>Otras pensiones y jubilaciones. Asignaciones destinadas a cubrir erogaciones que no estén consideradas en las partidas anteriores de este concepto como son: el pago de sumas aseguradas y prestaciones económicas no consideradas en los</t>
  </si>
  <si>
    <t>conceptos anteriores.</t>
  </si>
  <si>
    <t>Transferencias a fideicomisos del Poder Ejecutivo. Asignaciones que no suponen la contraprestación de bienes o servicios que se otorgan a fideicomisos del Poder Ejecutivo no incluidos en el Presupuesto de Egresos para que por cuenta de los entes</t>
  </si>
  <si>
    <t>públicos ejecuten acciones que éstos les han encomendado.</t>
  </si>
  <si>
    <t>Transferencias a fideicomisos del Poder Legislativo. Asignaciones que no suponen la contraprestación de bienes o servicios que se otorgan a fideicomisos del Poder Legislativo no incluidos en el Presupuesto de Egresos para que por cuenta de los</t>
  </si>
  <si>
    <t>entes públicos ejecuten acciones que éstos les han encomendado.</t>
  </si>
  <si>
    <t>Transferencias a fideicomisos del Poder Judicial. Asignaciones que no suponen la contraprestación de bienes o servicios que</t>
  </si>
  <si>
    <t>se otorgan a Fideicomisos del Poder Judicial no incluidos en el Presupuesto de Egresos para que por cuenta de los entes públicos ejecuten acciones que éstos les han encomendado.</t>
  </si>
  <si>
    <t>Transferencias a organismos auxiliares. Asignaciones destinadas a cubrir las transferencias autorizadas a los organismos auxiliares para su operación y actividades inherentes.</t>
  </si>
  <si>
    <t>Transferencias a fideicomisos públicos de entidades paraestatales empresariales y no financieras. Asignaciones internas, que</t>
  </si>
  <si>
    <t>no suponen la contraprestación de bienes o servicios, destinada a fideicomisos empresariales y no financieros, con el objeto de financiar parte de los gastos inherentes a sus funciones.</t>
  </si>
  <si>
    <t>Transferencias a fideicomisos de instituciones públicas financieras. Asignaciones internas, que no suponen la contraprestación de bienes o servicios, destinada a fideicomisos públicos financieros, para financiar parte de los gastos inherentes a sus</t>
  </si>
  <si>
    <t>funciones. Estas entidades realizan labores de intermediación financiera o actividades financieras auxiliares relacionadas con la misma.</t>
  </si>
  <si>
    <t>Otras transferencias a fideicomisos. Asignaciones internas, que no suponen la contraprestación de bienes o servicios, destinadas a otros fideicomisos no clasificados en las partidas anteriores, con el objeto de financiar parte de los gastos inherentes a sus funciones.</t>
  </si>
  <si>
    <t>Transferencias por obligación de ley. Asignaciones destinadas a cuotas y aportaciones de seguridad social que aporta el Estado de carácter estatutario y para seguros de retiro, cesantía en edad avanzada y vejez distintas a las consideradas en el</t>
  </si>
  <si>
    <t>capítulo 1000 “Servicios Personales”.</t>
  </si>
  <si>
    <t>Donativos a instituciones sin fines de lucro. Asignaciones destinadas a otorgar donativos en dinero o en especie a instituciones privadas que desarrollen actividades sociales, culturales, deportivas, de beneficencia o sanitarias sin fines de lucro, para la continuación de su labor social, tales como: escuelas, institutos, universidades, centros de investigación, hospitales, museos,</t>
  </si>
  <si>
    <t>fundaciones, asociaciones y sociedades civiles, entre otras.</t>
  </si>
  <si>
    <t>Donativos a entidades federativas. Asignaciones que el Gobierno Estatal otorga como donativos en dinero o en especie a favor de otros Gobiernos Estatales, que contribuyan a apoyar a la población en caso de desastres naturales.</t>
  </si>
  <si>
    <t>Donativos a fideicomisos privados. Asignaciones que las dependencias y/o entidades públicas otorgan como donativos en</t>
  </si>
  <si>
    <t>dinero o en especie del Gobierno Estatal, a favor de fideicomisos privados que desarrollen actividades administrativas, sociales, culturales, de beneficencia o sanitarias, para la continuación de su labor social.</t>
  </si>
  <si>
    <t>Donativos a fideicomisos públicos. Asignaciones que las dependencias y/o entidades públicas otorgan como donativos en</t>
  </si>
  <si>
    <t>dinero o en especie del Gobierno Estatal, a favor de fideicomisos públicos que desarrollen actividades administrativas, sociales, culturales, de beneficencia o sanitarias, para la continuación de su labor social.</t>
  </si>
  <si>
    <t>Donativos internacionales. Asignaciones que las dependencias y/o entidades públicas, otorgan como donativos en dinero o en especie del Gobierno Estatal, a favor de instituciones internacionales gubernamentales o privadas sin fines de lucro que</t>
  </si>
  <si>
    <t>contribuyan a la consecución de objetivos de beneficio social y cultural.</t>
  </si>
  <si>
    <t>Transferencias para gobiernos extranjeros. Asignaciones que no suponen la contraprestación de bienes o servicio, se otorgan</t>
  </si>
  <si>
    <t>para cubrir cuotas y aportaciones a gobiernos extranjeros, derivadas de acuerdos, convenios o tratados celebrados por los entes públicos.</t>
  </si>
  <si>
    <t>Transferencias para organismos internacionales. Asignaciones que no suponen la contraprestación de bienes o servicio, se otorgan para cubrir cuotas y aportaciones a organismos internacionales, derivadas de acuerdos, convenios o tratados celebrados por los entes públicos.</t>
  </si>
  <si>
    <t>Transferencias para el sector privado externo. Asignaciones que no suponen la contraprestación de bienes o servicio, se otorgan para cubrir cuotas y aportaciones al sector privado externo, derivadas de acuerdos, convenios o tratados celebrados</t>
  </si>
  <si>
    <t>por los entes públicos.</t>
  </si>
  <si>
    <t>Muebles y enseres. Asignaciones, destinadas a la adquisición, de todo tipo de bienes muebles que se requieran para el</t>
  </si>
  <si>
    <t>desempeño de las funciones, comprende bienes tales como: escritorios, sillas, sillones, anaqueles, archiveros, libreros, mesas, pupitres, caballetes, restiradores, entre otros.</t>
  </si>
  <si>
    <t>Adjudicaciones e indemnizaciones de bienes muebles. Asignaciones destinadas a cubrir los gastos originados por la</t>
  </si>
  <si>
    <t>adjudicación e indemnización de bienes muebles, para las necesidades propias.</t>
  </si>
  <si>
    <t>Muebles, excepto de oficina y estantería. Asignaciones destinadas a todo tipo de muebles ensamblados, tapizados,</t>
  </si>
  <si>
    <t>restiradores, sofás-cama, sillones reclinables, muebles de mimbre, ratán y bejuco y materiales similares, cocinas y sus partes excepto muebles de oficina y estantería.</t>
  </si>
  <si>
    <t>Instrumental de música. Asignaciones, para adquisición de equipo e instrumentos para bandas, orquestas y escuelas de</t>
  </si>
  <si>
    <t>música.</t>
  </si>
  <si>
    <t>Artículos de biblioteca. Asignaciones, para adquirir bibliografía necesaria para bibliotecas oficiales.</t>
  </si>
  <si>
    <t>Objetos, obras de arte, históricas y culturales. Asignaciones, para adquirir obras de arte histórico, cultural y artístico como colecciones de pinturas, esculturas, cuadros, etc.</t>
  </si>
  <si>
    <t>Objetos de valor. Asignaciones destinadas a cubrir la adquisición de bienes producidos de considerable valor que se adquieren y se mantienen como depósitos de valor y no se usan primordialmente para fines de producción o consumo, comprenden: piedras y metales preciosos como diamantes, el oro no monetario, el platino y la plata, que no se pretende utilizar como</t>
  </si>
  <si>
    <t>insumos intermedios en procesos de producción.</t>
  </si>
  <si>
    <t>Bienes informáticos. Asignaciones, destinadas a la adquisición de equipos y aparatos de uso informático, para el procesamiento de datos y para el uso de redes, tales como: computadoras, impresoras, escáneres, servidores para computadoras, lectoras, terminales, monitores, tableros de control, equipos de conectividad unidades de almacenamiento, impresoras, lectores ópticos y magnéticos, monitores y componentes electrónicos como tarjetas simples o cargadas; circuitos,</t>
  </si>
  <si>
    <t>modem para computadora, fax y teléfono y arneses, entre otros.</t>
  </si>
  <si>
    <t>Otros bienes muebles. Asignaciones destinadas a cubrir el costo de los bienes muebles o maquinaria y equipos especializados adquiridos tales como: equipos de detección de incendio, alarma y voceo, equipo contra incendio y maquinaria para protección</t>
  </si>
  <si>
    <t>al medio ambiente, entre otros.</t>
  </si>
  <si>
    <t>Otros equipos eléctricos y electrónicos de oficina. Asignaciones destinadas a la adquisición de equipos propios para el desarrollo de las actividades administrativas y productivas tales como: máquinas de escribir, calculadoras, equipo de aire</t>
  </si>
  <si>
    <t>acondicionado, calentadores, fotocopiadoras, aspiradoras, grabadoras, radios, televisores, microfilmadoras, circuito cerrado de T.V., estufas, refrigeradores, lavadoras y demás bienes de esta índole.</t>
  </si>
  <si>
    <t>Equipos y aparatos audiovisuales. Asignaciones destinadas a la adquisición de equipos tales como proyectores, micrófonos, grabadores, televisores, entre otros.</t>
  </si>
  <si>
    <t>Equipo deportivo. Asignaciones destinadas a la adquisición de aparatos y equipos de gimnasia y prácticas deportivas, quedan excluidos los conceptos considerados en la partida 2731.</t>
  </si>
  <si>
    <t>Equipo de foto, cine y grabación. Asignaciones destinadas a la adquisición de equipo de foto, cine y grabación, necesarios para el desarrollo de las actividades, tales como: cámaras fotográficas, equipos de revelado, accesorios fotográficos y de</t>
  </si>
  <si>
    <t>video, aparatos de proyección y de video, entre otros.</t>
  </si>
  <si>
    <t>Otro equipo educacional y recreativo. Asignaciones destinadas a la adquisición de mobiliario y equipos educacionales y recreativos, tales como: carruseles, muebles especializados para uso escolar, aparatos para parques infantiles, mesas especiales de juegos, instrumentos musicales y otros equipos destinados a la educación y recreación, entre otros.</t>
  </si>
  <si>
    <t>Equipo médico y de laboratorio. Asignaciones destinadas a la adquisición de equipos, refacciones y accesorios mayores, utilizados en hospitales, unidades sanitarias, consultorios, servicios veterinarios y en los laboratorios auxiliares de las ciencias médicas y de investigación científica, tales como: rayos X, ultrasonido, equipo de diálisis e inhaloterapia, maquinas esterilizadoras, sillas dentales, mesas operatorias, incubadoras, microscopios y toda clase de aparatos necesarios para equipar salas de rehabilitación, de emergencia, de hospitalización, equipo de rescate y salvamento y de intervención quirúrgica.</t>
  </si>
  <si>
    <t>Instrumental médico y de laboratorio. Asignaciones destinadas a la adquisición de instrumentos utilizados en atención médica necesarios para operaciones quirúrgicas, dentales y oftalmológicas, entre otras, incluye el instrumental utilizado en los laboratorios de investigación científica e instrumental de medición.</t>
  </si>
  <si>
    <t>Vehículos y equipo de transporte terrestre. Asignaciones destinadas a la adquisición de vehículos y equipo terrestre, para el transporte de personas y carga, tales como: automóviles, patrullas, ambulancias, autobuses, camiones, camionetas, carros de bomberos, entre otros.</t>
  </si>
  <si>
    <t>Vehículos y equipo auxiliar de transporte. Asignaciones para adquirir vehículos y equipo auxiliar de transporte necesarios para maniobrar en almacenes, patios de recepción, y despacho.</t>
  </si>
  <si>
    <t>Carrocerías y remolques. Asignaciones destinadas a la adquisición de carrocerías ensambladas sobre chasises producidos en otro establecimiento, remolques y semirremolques para usos diversos, campers, casetas y toldos para camionetas, carros dormitorios, remolques para automóviles y camionetas; adaptación de vehículos para usos especiales, mecanismos de levantamiento de camiones de volteo, compuertas de camiones de carga y la quinta rueda.</t>
  </si>
  <si>
    <t>Equipo de transportación aérea. Asignaciones destinadas a la adquisición de equipo de transporte aéreo, incluye motores para este tipo de equipos.</t>
  </si>
  <si>
    <t>Equipo ferroviario. Asignaciones destinadas a la adquisición de equipo para el transporte urbano en vías (metro y tren ligero).</t>
  </si>
  <si>
    <t>Equipo acuático y lacustre. Asignaciones destinadas a la adquisición de equipo acuático y lacustre, para el transporte de personas y carga.</t>
  </si>
  <si>
    <t>Otros equipos de transporte. Asignaciones destinadas a la adquisición de otros equipos de transporte no clasificados en las partidas anteriores, tales como: bicicletas, motocicletas, entre otros.</t>
  </si>
  <si>
    <t>Maquinaria y equipo de seguridad pública. Asignaciones destinadas a la adquisición de toda clase de maquinaria para las funciones de seguridad pública. Comprende bienes como: fusiles, pistolas, metralletas, cargadores, entre otros.</t>
  </si>
  <si>
    <t>Maquinaria y equipo agropecuario. Asignaciones destinadas a la adquisición de todo tipo de maquinaria y equipo, refacciones y accesorios mayores utilizados en actividades agropecuarias, tales como: tractores agrícolas, cosechadoras, segadoras, incubadoras, trilladoras, fertilizadoras, desgranadoras, equipo de riego, fumigadoras, roturadoras, sembradoras, cultivadoras, espolveadoras, aspersoras e implementos agrícolas, entre otros. Así como maquinaria y equipo pecuario como ordeñadoras,</t>
  </si>
  <si>
    <t>equipo para la preparación de alimentos para el ganado, para la avicultura y para la cría de animales.</t>
  </si>
  <si>
    <t>Maquinaria y equipo industrial. Asignaciones destinadas a la adquisición de maquinaria y equipo industrial, así como sus refacciones y accesorios mayores, tales como: molinos industriales, calderas, hornos eléctricos, motores, bombas industriales,</t>
  </si>
  <si>
    <t>despulpadoras, pasteurizadoras, envasadoras, entre otros. Incluye la adquisición de toda clase de maquinaria y equipo de perforación y exploración de suelos.</t>
  </si>
  <si>
    <t>Maquinaria y equipo de producción. Asignación destinada a la adquisición de maquinaria y equipo de producción.</t>
  </si>
  <si>
    <t>de concreto, entre otros.</t>
  </si>
  <si>
    <t>Maquinaria y equipo de construcción. Asignaciones destinadas a la adquisición de maquinaria y equipo, refacciones y accesorios mayores utilizados en la construcción, tales como: quebradoras, revolvedoras, palas mecánicas, tractores oruga, motoconformadoras, aplanadoras, excavadoras, grúas, dragas, máquinas para movimiento de tierra, Bulldozers, mezcladoras</t>
  </si>
  <si>
    <t>Sistemas de aire acondicionado, calefacción y de refrigeración industrial y comercial. Asignaciones destinadas a la adquisición de sistemas de aire acondicionado, calefacción de ambiente, ventilación y de refrigeración comercial e industrial, incluye también estufas para calefacción, las torres de enfriamiento, sistemas de purificación de aire ambiental y compresores para refrigeración y aire acondicionado. Excluye los calentadores industriales de agua, calentadores de agua domésticos; de radiadores eléctricos y ventiladores domésticos y de sistemas de aire acondicionado para equipo de transporte.</t>
  </si>
  <si>
    <t>Equipo y aparatos para comunicación, telecomunicación y radio transmisión. Asignaciones destinadas a la adquisición de equipos y aparatos de comunicaciones y telecomunicaciones, tales como: comunicación satelital, microondas, transmisores, receptores, equipos de télex, radar, sonar y video, amplificadores, equipos telefónicos y de fax y demás equipos y aparatos</t>
  </si>
  <si>
    <t>para el mismo fin.</t>
  </si>
  <si>
    <t>Equipos de generación eléctrica, aparatos y accesorios eléctricos. Asignaciones destinadas a la adquisición de equipo de generación eléctrica, aparatos y accesorios electrónicos, tales como: generadoras de energía, plantas, moto generadoras de</t>
  </si>
  <si>
    <t>energía eléctrica, transformadores, reguladores, equipo electrónico, tableros de transferencias, entre otros, excluye los bienes señalados en la partida 5150 Equipo de cómputo y de tecnología de la información.</t>
  </si>
  <si>
    <t>Herramientas, máquina herramienta y equipo. Asignaciones destinadas a la adquisición de herramientas eléctricas, neumáticas y máquinas herramienta, tales como: rectificadoras, cepilladoras, amortajadoras, pulidoras, lijadoras, sierras,</t>
  </si>
  <si>
    <t>taladros y martillos eléctricos, ensambladoras, fresadoras, encuadernadoras, entre otras.</t>
  </si>
  <si>
    <t>Instrumentos y aparatos especializados y de precisión. Asignación destinada a la adquisición de instrumentos y aparatos</t>
  </si>
  <si>
    <t>especializados y de precisión, necesarios para el desempeño de actividades tales como estaciones de monitoreo ambiental, verificadoras de gases y humos, entre otros.</t>
  </si>
  <si>
    <t>Maquinaria y equipo diverso. Asignación para adquirir maquinaria y equipo distintos a lo señalado en las demás partidas de este Capítulo, tales como equipo científico e investigación y maquinaria para protección al ambiente, entre otros.</t>
  </si>
  <si>
    <t>Maquinaria y equipo para alumbrado público. Asignaciones destinadas a la adquisición de toda clase de equipamiento para las instalaciones del servicio de alumbrado público.</t>
  </si>
  <si>
    <t>Bovinos. Asignaciones destinadas a la adquisición de ganado bovino en todas sus fases: producción de carne, cría y explotación de ganado bovino para reemplazos de ganado bovino lechero.</t>
  </si>
  <si>
    <t>Porcinos. Asignaciones destinadas a la adquisición de cerdos en todas sus fases en granjas, patios y azoteas.</t>
  </si>
  <si>
    <t>Aves. Asignaciones destinadas a la adquisición de aves para carne, aves para producción de huevo fértil y para plato, gallinas productoras de huevo fértil y para plato; pollos en la fase de engorda para carne; guajolotes o pavos para carne y producción de huevo; y otras aves productoras de carne y huevo como: patos, gansos, codornices, faisanes, palomas, avestruces, emúes</t>
  </si>
  <si>
    <t>y otras.</t>
  </si>
  <si>
    <t>Ovinos y caprinos. Asignaciones destinadas a la adquisición de ovinos y caprinos.</t>
  </si>
  <si>
    <t>Peces y acuicultura. Asignaciones destinadas a la adquisición de peces y acuicultura como animales acuáticos en ambientes controlados, como peces, moluscos, crustáceos, reptiles. Incluye: peces de ornato y camarones en ambientes controlados,</t>
  </si>
  <si>
    <t>excluye acuicultura vegetal.</t>
  </si>
  <si>
    <t>Equinos. Asignaciones destinadas a la adquisición de equinos como caballos, mulas, burros y otros, excluye: servicio de pensión para equinos.</t>
  </si>
  <si>
    <t>Especies menores y de zoológico. Asignaciones destinadas a la adquisición de especies menores y de zoológico como abejas, colmenas, conejos, chinchillas, zorros, perros, gatos, gallos de pelea, aves de ornato como: cisnes, pavos reales, flamencos; gusanos de seda, llamas, venados, animales de laboratorio, entre otros.</t>
  </si>
  <si>
    <t>Árboles y plantas. Asignaciones destinadas a la adquisición de árboles y plantas que se utilizan repetida o continuamente durante más de un año para producir otros bienes y servicios.</t>
  </si>
  <si>
    <t>biológicos.</t>
  </si>
  <si>
    <t>Terrenos. Asignaciones destinadas a la adquisición de terrenos urbanos y no urbanos, y predios necesarios para los usos propios.</t>
  </si>
  <si>
    <t>Viviendas. Asignaciones destinadas a la adquisición de viviendas que son edificaciones usadas en su totalidad o</t>
  </si>
  <si>
    <t>principalmente como residencias e incluyen los garajes y otras estructuras asociadas que requieren los entes públicos para desarrollar sus actividades.</t>
  </si>
  <si>
    <t>Edificios y locales. Asignaciones destinadas a la adquisición de edificios, casas y locales que se requieran para el desarrollo de las actividades.</t>
  </si>
  <si>
    <t>Otros bienes inmuebles. Asignaciones destinadas a cubrir el costo de los bienes inmuebles adquiridos por los entes públicos no incluidos o especificados en los conceptos y partidas del presente capítulo.</t>
  </si>
  <si>
    <t>Adjudicaciones, expropiaciones e indemnizaciones de bienes inmuebles. Asignaciones destinadas al pago de indemnizaciones</t>
  </si>
  <si>
    <t>por la adjudicación o expropiación de todo tipo de inmuebles, cuando por razones de interés público se requiera su afectación incluye lo que son por arrendamiento financiero.</t>
  </si>
  <si>
    <t>Bienes inmuebles en la modalidad de proyectos de infraestructura productiva a largo plazo. Asignaciones destinadas a cubrir el costo de los bienes inmuebles adquiridos bajo la modalidad de proyectos de infraestructura productiva de largo plazo, incluye lo que son por arrendamiento financiero.</t>
  </si>
  <si>
    <t>Software. Asignaciones destinadas en la adquisición de paquetes y programas de informática, para ser aplicados en los sistemas administrativos y operativos computarizados de los entes públicos, su descripción y los materiales de apoyo de los sistemas y las aplicaciones informáticas que se espera utilizar.</t>
  </si>
  <si>
    <t>Patentes. Asignaciones destinadas a la protección para los inventos, ya sea mediante una norma legal o un fallo judicial. Los ejemplos de inventos susceptibles de protección incluyen las constituciones de materiales, procesos, mecanismos, circuitos y</t>
  </si>
  <si>
    <t>aparatos eléctricos y electrónicos, fórmulas farmacéuticas y nuevas variedades de seres vivientes producidos en forma artificial, entre otros.</t>
  </si>
  <si>
    <t>Marcas. Asignaciones destinadas a cubrir los gastos generados por el uso de nombres comerciales, símbolos o emblemas que identifiquen un producto o conjunto de productos, que otorgan derechos de exclusividad para su uso o explotación, por parte de los entes públicos.</t>
  </si>
  <si>
    <t>Derechos. Asignaciones destinadas para atender los gastos generados por el uso de obras técnicas, culturales, de arte o musicales, u otras pertenecientes a personas jurídicas o naturales, nacionales o extranjeras.</t>
  </si>
  <si>
    <t>Concesiones. Asignaciones destinadas a cubrir la adquisición del derecho de explotación por un lapso de tiempo determinado de bienes y servicios por parte de una empresa a otra.</t>
  </si>
  <si>
    <t>Franquicias. Asignaciones destinadas a la adquisición de franquicias que constituye un tipo de relación contractual entre dos personas jurídicas: franquiciante y el franquiciatario. Mediante el contrato de franquicia, el franquiciante cede al franquiciatario la licencia de una marca, así como los métodos y el saber hacer necesario (Know-how) de su negocio a cambio de una cuota</t>
  </si>
  <si>
    <t>periódica (royalty).</t>
  </si>
  <si>
    <t>Licencias informáticas e intelectuales. Asignaciones destinadas a la adquisición de permisos informáticos e intelectuales.</t>
  </si>
  <si>
    <t>Licencias industriales, comerciales y otras. Asignaciones destinadas a la adquisición de permisos para realizar negocios en general o un negocio o profesión en particular.</t>
  </si>
  <si>
    <t>Otros activos intangibles. Asignación para atender los gastos generados por concepto de otros activos intangibles, no incluidos en partidas específicas anteriores.</t>
  </si>
  <si>
    <t>Edificación habitacional. Asignaciones destinadas a obras para vivienda, ya sean unifamiliares o multifamiliares. Incluye construcción nueva, ampliación, remodelación, mantenimiento o reparación integral de las construcciones, así como los gastos</t>
  </si>
  <si>
    <t>en estudios de pre-inversión y preparación del proyecto.</t>
  </si>
  <si>
    <t>Convenios y aportaciones. Asignaciones para cubrir la contraparte estatal correspondiente al pago de contratos para la realización de obras contenidas en convenios suscritos entre los gobiernos federal y estatal; derivadas de convenios signados con los Municipios; para cubrir la contraparte estatal que le corresponda y que señale en convenios de desarrollo de infraestructura; así como las asignaciones de recursos municipales para cubrir las aportaciones que se comprometan en</t>
  </si>
  <si>
    <t>convenios entre dos o más Municipios; y las aportaciones a Fideicomisos, Municipios y otras Instituciones para la ejecución de obra pública.</t>
  </si>
  <si>
    <t>Obra estatal o municipal. Asignaciones para cubrir el pago de contratos por obras contenidas en el programa de inversión estatal o municipal según sea el caso.</t>
  </si>
  <si>
    <t>Supervisión y control de la obra pública. Asignaciones para cubrir el costo de la supervisión y control de la obra pública en sus diversas modalidades.</t>
  </si>
  <si>
    <t>Transferencias a organismos auxiliares y subsidios a municipios. Asignaciones para apoyar a entidades públicas sin contraprestación alguna, para realizar inversiones en obra pública, para adquirir equipo relacionado con su actividad principal, para comprar reservas territoriales, con el fin de prever la satisfacción de necesidades presentes o futuras sin que constituyan</t>
  </si>
  <si>
    <t>parte de una obra pública; así como para apoyar a Municipios en la ejecución de obras comunitarias sociales, cuando con sus propios recursos no puedan cubrir el importe total o parcial.</t>
  </si>
  <si>
    <t>Ejecución de obras por administración. Asignaciones para cubrir la mano de obra, el costo de las materias primas y materiales, el costo de la maquinaria y equipo para la realización de obras, para adquirir mobiliario y equipo y dotar de éstos a las obras; así como para cubrir gastos administrativos al realizar obras, tales como gastos inherentes a la supervisión de la obra</t>
  </si>
  <si>
    <t>ajustándose a la normatividad aplicable para tal fin, también se incluye la reparación y mantenimiento de vehículos, maquinaria, equipo e instalaciones.</t>
  </si>
  <si>
    <t>Indemnizaciones por expropiación o adjudicación. Asignaciones para cubrir indemnizaciones por la adjudicación o expropiación de un bien por razones de interés público.</t>
  </si>
  <si>
    <t>Arrendamiento de maquinaria, equipo e instalaciones (locales). Asignaciones para cubrir el costo de la renta de maquinaria, equipo e instalaciones en general, ocupados en la realización de obras públicas.</t>
  </si>
  <si>
    <t>Apoyos a obras de bienestar social. Asignaciones destinadas al apoyo de grupos sociales y culturales, así como a la población en general para la realización de obras y proyectos que mejoren la calidad de vida de la población y den cumplimiento a los</t>
  </si>
  <si>
    <t>objetivos de los Planes de Desarrollo del Estado y Municipios.</t>
  </si>
  <si>
    <t>Estudios de pre-inversión. Asignaciones para cubrir la contratación de servicios técnicos por la realización de trabajos relativos a las obras públicas en su etapa de planeación y programación, para cubrir el pago de estudios y proyectos relativos a las</t>
  </si>
  <si>
    <t>obras públicas, así como pagar la elaboración de proyectos de la obra pública.</t>
  </si>
  <si>
    <t>Convenios y aportaciones. Asignaciones para cubrir la contraparte estatal correspondiente al pago de contratos para la realización de obras contenidas en convenios suscritos entre los gobiernos federal y estatal; derivadas de convenios signados con los Municipios; para cubrir la contraparte estatal que le corresponda y que señale en convenios de desarrollo de infraestructura; así como las asignaciones de recursos municipales para cubrir las aportaciones que se comprometan en convenios entre dos o más Municipios; y las aportaciones a Fideicomisos, Municipios y otras Instituciones para la ejecución</t>
  </si>
  <si>
    <t>de obra pública.</t>
  </si>
  <si>
    <t>Estudios de pre-inversión. Asignaciones para cubrir la contratación de servicios técnicos por la realización de trabajos relativos a las obras públicas en su etapa de planeación y programación, para cubrir el pago de estudios y proyectos relativos a las obras públicas, así como pagar la elaboración de proyectos de la obra pública.</t>
  </si>
  <si>
    <t>Reparación y mantenimiento de infraestructura hidráulica. Asignaciones destinadas a los servicios de redes de agua potable. Redes de drenaje, pozos de agua y para cubrir gastos de obras para reposición de pozos de agua.</t>
  </si>
  <si>
    <t>División de terrenos y construcción de obras de urbanización. Asignaciones destinadas a la división de terrenos y construcción de obras de urbanización en lotes, construcción de obras integrales para la dotación de servicios, tales como: guarniciones,</t>
  </si>
  <si>
    <t>banquetas, redes de energía, agua potable y alcantarillado. Incluye construcción nueva, ampliación, remodelación, mantenimiento o reparación integral de las construcciones y los gastos en estudios de pre-inversión y preparación del proyecto.</t>
  </si>
  <si>
    <t>Construcción de vías de comunicación. Asignaciones destinadas a la construcción de carreteras, autopistas, terracerías,</t>
  </si>
  <si>
    <t>puentes, pasos a desnivel y aeropistas. Incluye construcción nueva, ampliación, remodelación, mantenimiento o reparación integral de las construcciones y los gastos en estudios de pre-inversión y preparación del proyecto.</t>
  </si>
  <si>
    <t>Convenios y aportaciones. Asignaciones para cubrir la contraparte estatal correspondiente al pago de contratos para la realización de obras contenidas en convenios suscritos entre los gobiernos federal y estatal; derivadas de convenios signados con los Municipios; para cubrir la contraparte estatal que le corresponda y que señale en convenios de desarrollo de infraestructura; así como las asignaciones de recursos municipales para cubrir las aportaciones que se comprometan en convenios entre dos o más Municipios; y las aportaciones a Fideicomisos, Municipios y otras Instituciones para la ejecución de obra pública.</t>
  </si>
  <si>
    <t>Transferencias a organismos auxiliares y subsidios a municipios. Asignaciones para apoyar a entidades públicas sin contraprestación alguna, para realizar inversiones en obra pública, para adquirir equipo relacionado con su actividad principal, para comprar reservas territoriales, con el fin de prever la satisfacción de necesidades presentes o futuras sin que constituyan parte de una obra pública; así como para apoyar a Municipios en la ejecución de obras comunitarias sociales, cuando con sus</t>
  </si>
  <si>
    <t>propios recursos no puedan cubrir el importe total o parcial.</t>
  </si>
  <si>
    <t>Ejecución de obras por administración. Asignaciones para cubrir la mano de obra, el costo de las materias primas y materiales, el costo de la maquinaria y equipo para la realización de obras, para adquirir mobiliario y equipo y dotar de éstos a las obras; así como para cubrir gastos administrativos al realizar obras, tales como gastos inherentes a la supervisión de la obra ajustándose a la normatividad aplicable para tal fin, también se incluye la reparación y mantenimiento de vehículos, maquinaria, equipo e instalaciones.</t>
  </si>
  <si>
    <t>Reparación y mantenimiento de vialidades y alumbrado. Asignaciones destinadas a los servicios de reparación y mantenimiento de vialidades, señalamientos y alumbrado público.</t>
  </si>
  <si>
    <t>Otras construcciones de ingeniería civil u obra pesada. Asignaciones destinadas a la construcción de presas y represas, obras marítimas, fluviales y subacuáticas, obras para el transporte eléctrico y ferroviario y otras construcciones de ingeniería civil u obra pesada no clasificada en otra parte. Incluye los gastos en estudios de pre-inversión y preparación del proyecto.</t>
  </si>
  <si>
    <t>Obra estatal o municipal. Asignaciones para cubrir el pago de contratos por obras contenidas en el programa de inversión</t>
  </si>
  <si>
    <t>estatal o municipal según sea el caso.</t>
  </si>
  <si>
    <t>Ejecución de obras por administración. Asignaciones para cubrir la mano de obra, el costo de las materias primas y materiales, el costo de la maquinaria y equipo para la realización de obras, para adquirir mobiliario y equipo y dotar de éstos a las obras; así como para cubrir gastos administrativos al realizar obras, tales como gastos inherentes a la supervisión de la obra ajustándose a la normatividad aplicable para tal fin, también se incluye la reparación y mantenimiento de vehículos, maquinaria,</t>
  </si>
  <si>
    <t>equipo e instalaciones.</t>
  </si>
  <si>
    <t>Indemnizaciones por expropiación o adjudicación. Asignaciones para cubrir indemnizaciones por la adjudicación o</t>
  </si>
  <si>
    <t>expropiación de un bien por razones de interés público.</t>
  </si>
  <si>
    <t>Instalaciones y equipamiento en construcciones. Asignaciones destinadas a la realización de instalaciones eléctricas, hidrosanitarias, de gas, aire acondicionado, calefacción, instalaciones electromecánicas y otras instalaciones de</t>
  </si>
  <si>
    <t>construcciones, Incluye los gastos en estudios de pre-inversión y preparación del proyecto.</t>
  </si>
  <si>
    <t>Trabajos de acabados en edificaciones y otros trabajos especializados. Asignaciones destinadas a la preparación de terrenos para la construcción, excavación, demolición de edificios y estructuras; alquiler de maquinaria y equipo para la construcción con operador, colocación de muros falsos, trabajos de enyesado, pintura y otros cubrimientos de paredes, colocación de pisos y azulejos, instalación de productos de carpintería, cancelería de aluminio e impermeabilización. Incluye los gastos en estudios de pre inversión y preparación del proyecto.</t>
  </si>
  <si>
    <t>Edificación habitacional. Asignaciones destinadas a obras para vivienda, ya sean unifamiliares o multifamiliares. Incluye</t>
  </si>
  <si>
    <t>Edificación no habitacional. Asignaciones destinadas para la construcción de edificios no residenciales para fines industriales,</t>
  </si>
  <si>
    <t>comerciales, institucionales y de servicios. Incluye construcción nueva, ampliación, remodelación, mantenimiento o reparación integral de las construcciones, así como, los gastos en estudios de pre-inversión y preparación del proyecto.</t>
  </si>
  <si>
    <t>Construcción de obras para el abastecimiento de agua, petróleo, gas, electricidad y telecomunicaciones. Asignaciones destinadas a la construcción de obras para el abastecimiento de agua, petróleo y gas y a la construcción de obras para la</t>
  </si>
  <si>
    <t>Trabajos de acabados en edificaciones y otros trabajos especializados. Asignaciones destinadas a la preparación de terrenos para la construcción, excavación, demolición de edificios y estructuras; alquiler de maquinaria y equipo para la construcción con operador, colocación de muros falsos, trabajos de enyesado, pintura y otros cubrimientos de paredes, colocación de pisos y azulejos, instalación de productos de carpintería, cancelería de aluminio e impermeabilización. Incluye los gastos en estudios</t>
  </si>
  <si>
    <t>de pre-inversión y preparación del proyecto.</t>
  </si>
  <si>
    <t>Estudios, formulación y evaluación de proyectos productivos no incluidos en conceptos anteriores de este capítulo. Asignaciones destinadas a los estudios, formulación y evaluación de proyectos productivos no incluidos en conceptos anteriores de este capítulo (PPS), denominados, esquemas de inversión donde participan los sectores públicos y privado,</t>
  </si>
  <si>
    <t>desde las concesiones que se otorgan a particulares, hasta los proyectos de infraestructura productiva de largo plazo, en los sectores de energía eléctrica, de carretera y de agua potable, entre otros.</t>
  </si>
  <si>
    <t>Ejecución de proyectos productivos no incluidos en conceptos anteriores de este capítulo. Asignaciones destinadas a la ejecución de proyectos productivos no incluidos en conceptos anteriores de este capítulo (PPS), denominados, esquemas de inversión donde participan los sectores públicos y privados desde las concesiones que se otorgan a particulares hasta los proyectos de infraestructura productiva de largo plazo, en los sectores de energía eléctrica, de carretera y de agua potable,</t>
  </si>
  <si>
    <t>Créditos directos para actividades productivas. Asignaciones del Gobierno Estatal destinadas a otorgar créditos directos a los</t>
  </si>
  <si>
    <t>Municipios y los sectores social y privado, para la adquisición de toda clase de bienes muebles e inmuebles, así como para la construcción y reconstrucción de obras e instalaciones, cuando se apliquen en actividades productivas.</t>
  </si>
  <si>
    <t>Créditos a servidores públicos. Asignaciones destinadas a cubrir por el ISSEMYM al servidor público los créditos que establece la ley de la materia.</t>
  </si>
  <si>
    <t>Fideicomisos para financiamiento de obras. Asignaciones para cubrir la aportación de capital que el Gobierno Estatal destina a través de fideicomisos, para realizar obras públicas.</t>
  </si>
  <si>
    <t>Fideicomisos para financiamiento agropecuario. Asignaciones para cubrir la aportación de capital para que, a través de</t>
  </si>
  <si>
    <t>fideicomisos, se otorgue financiamiento a actividades agropecuarias, forestales y pesqueras.</t>
  </si>
  <si>
    <t>Fideicomisos para financiamiento industrial, artesanal y turístico. Asignaciones para cubrir la aportación de capital para que, a</t>
  </si>
  <si>
    <t>través de fideicomisos, se otorguen créditos destinados a actividades industriales, artesanales y turísticas.</t>
  </si>
  <si>
    <t>Fideicomisos para financiamiento de vivienda. Asignaciones para construir conjuntos habitacionales o fraccionamientos y satisfacer necesidades de vivienda de servidores públicos, a través del otorgamiento de créditos mediante fideicomisos.</t>
  </si>
  <si>
    <t>Acciones y participaciones de capital en entidades paraestatales no empresariales y no financieras con fines de política económica. Asignaciones para la adquisición de acciones y participaciones de capital en organismos descentralizados, que se traducen en una inversión financiera para el organismo que los otorga y en un aumento del patrimonio para el que los recibe. Estas asignaciones tienen por propósito fomentar o desarrollar industrias o servicios públicos a cargo de las entidades paraestatales no empresariales y no financieras, así como asistirlos cuando requieran ayuda por situaciones económicas o</t>
  </si>
  <si>
    <t>fiscales adversas para los mismos.</t>
  </si>
  <si>
    <t>Acciones y participaciones de capital en entidades paraestatales empresariales no financieras con fines de política económica. Asignaciones para la adquisición de acciones y participaciones de capital en empresas públicas no financieras, que se traducen en una inversión financiera para el organismo que los otorga y en un aumento del patrimonio para el que los recibe. Estas asignaciones tienen por propósito fomentar o desarrollar industrias o servicios públicos a cargo de las entidades paraestatales empresariales no financieras, así como asistirlos cuando requieran ayuda por situaciones económicas o fiscales</t>
  </si>
  <si>
    <t>adversas para los mismos.</t>
  </si>
  <si>
    <t>Acciones y participaciones de capital en instituciones paraestatales públicas financieras con fines de política económica. Asignaciones para la adquisición acciones y participaciones de capital en instituciones financieras, que se traducen en una inversión financiera para el organismo que los otorga y en un aumento del patrimonio para el que los recibe. Estas asignaciones tienen por propósito fomentar o desarrollar industrias o servicios públicos a cargo de las instituciones paraestatales públicas financieras, así como asistirlos cuando requieran ayuda por situaciones económicas o fiscales adversas para los mismos.</t>
  </si>
  <si>
    <t>Acciones y participaciones de capital en el sector privado con fines de política económica. Asignaciones para la adquisición acciones y participaciones de capital en el Sector Privado, que se traducen en una inversión financiera para el organismo que los otorga y en un aumento del patrimonio para el que los recibe. Estas asignaciones tienen por propósito fomentar o desarrollar industrias o servicios públicos a cargo de las entidades del sector privado, así como asistirlos cuando requieran</t>
  </si>
  <si>
    <t>ayuda por situaciones económicas adversas para los mismos.</t>
  </si>
  <si>
    <t>Acciones y participaciones de capital en organismos internacionales con fines de política económica. Asignaciones para la adquisición de acciones y participaciones de capital en organismos internacionales. Estas asignaciones tienen por propósito fomentar o desarrollar industrias o servicios públicos a cargo de los organismos internacionales, así como asistirlos cuando requieran ayuda por situaciones económicas adversas para los mismos.</t>
  </si>
  <si>
    <t>Acciones y participaciones de capital en el sector externo con fines de política económica. Asignaciones para la adquisición de acciones y participaciones de capital en el sector externo, diferente de organismos internacionales, que se traducen en una inversión financiera para el organismo que los otorga y en un aumento del patrimonio para quien los recibe. Estas asignaciones tienen por propósito fomentar o desarrollar industrias o servicios públicos a cargo de las entidades del sector externo, así</t>
  </si>
  <si>
    <t>como asistirlos cuando requieran ayuda por situaciones económicas adversas para los mismos.</t>
  </si>
  <si>
    <t>administración de la liquidez.</t>
  </si>
  <si>
    <t>Adquisición de acciones del sector público con fines de gestión de la liquidez. Asignaciones que el Gobierno Estatal destina en forma directa a la adquisición de acciones emitidas por instituciones públicas estatales y municipales</t>
  </si>
  <si>
    <t>Adquisición de acciones de capital en el sector privado con fines de gestión de la liquidez. Asignaciones que el Gobierno Estatal destina en forma directa a la adquisición de acciones emitidas por instituciones privadas, sociedades anónimas o corporaciones autorizadas para emitirlos.</t>
  </si>
  <si>
    <t>Acciones y participaciones de capital en el sector externo con fines de gestión de la liquidez. Asignaciones para la adquisición de acciones y participaciones de capital en entidades del sector externo, que se traducen en una inversión financiera para el</t>
  </si>
  <si>
    <t>organismo que los otorga y en un aumento del patrimonio para el que los recibe realizadas con fines de administración de la liquidez.</t>
  </si>
  <si>
    <t>Adquisición de bonos. Asignaciones que el Gobierno Estatal destina en forma directa a la adquisición de bonos emitidos por</t>
  </si>
  <si>
    <t>instituciones públicas, estatales y municipales, sociedades anónimas o corporaciones privadas nacionales, autorizadas para emitirlos, con fines de administración de liquidez.</t>
  </si>
  <si>
    <t>Valores representativos de deuda adquiridos con fines de gestión de liquidez. Asignaciones destinadas en forma directa a la adquisición de valores, como son los CETES, UDIBONOS, BONDES D, entre otros, emitidos por instituciones públicas federales, estatales y municipales; sociedades anónimas o corporaciones privadas, tanto nacionales como extranjeras, autorizadas para emitirlos, siempre que dichas inversiones superen el ejercicio presupuestal, adquiridos con fines de</t>
  </si>
  <si>
    <t>Obligaciones negociables adquiridas con fines de política económica. Asignaciones destinadas para la adquisición de obligaciones de renta fija, mismas que tienen un cronograma de pagos predefinido, emitidas por instituciones públicas federales, estatales y municipales; sociedades anónimas o corporaciones privadas, tanto nacionales como extranjeras,</t>
  </si>
  <si>
    <t>autorizadas para emitirlos.</t>
  </si>
  <si>
    <t>Adquisición de obligaciones. Asignaciones que el Gobierno Estatal destina en forma directa a la adquisición de obligaciones emitidas por Instituciones Públicas Estatales y Municipales, sociedades anónimas o corporaciones privadas nacionales,</t>
  </si>
  <si>
    <t>Fideicomisos para adquisición de títulos de crédito. Asignaciones que el Gobierno Estatal destina a través de fondos y fideicomisos, a la adquisición de acciones, bonos, obligaciones, certificados y en general de toda clase de títulos de crédito</t>
  </si>
  <si>
    <t>que emitan Instituciones Públicas Estatales y Municipales, sociedades anónimas o corporaciones privadas nacionales, autorizadas para emitirlos.</t>
  </si>
  <si>
    <t>Reserva técnica. Asignaciones que se destinan a incrementar la reserva técnica de los Institutos de Seguridad Social, lo que</t>
  </si>
  <si>
    <t>les permite cubrir el costo de pensiones.</t>
  </si>
  <si>
    <t>Adquisición de otros valores. Asignaciones que el Gobierno Estatal destina en forma directa a la adquisición de cualquier otro tipo de valores crediticios no comprendidos en las otras partidas de este subcapítulo, emitidos por Instituciones Públicas Estatales y Municipales, sociedades anónimas o corporaciones privadas nacionales, autorizadas para emitirlos.</t>
  </si>
  <si>
    <t>Concesión de préstamos a entidades paraestatales no empresariales y no financieras con fines de política económica. Asignaciones destinadas para la concesión de préstamos a entidades paraestatales no empresariales y no financieras con</t>
  </si>
  <si>
    <t>fines de política económica.</t>
  </si>
  <si>
    <t>Concesión de préstamos a entidades paraestatales empresariales no financieras con fines de política económica.</t>
  </si>
  <si>
    <t>Asignaciones destinadas a la concesión de préstamos a entidades paraestatales empresariales no financieras, con fines de política económica.</t>
  </si>
  <si>
    <t>Concesión de préstamos a instituciones paraestatales públicas financieras con fines de política económica. Asignaciones destinadas a la concesión de préstamos a instituciones paraestatales públicas financieras con fines de política económica.</t>
  </si>
  <si>
    <t>Concesión de préstamos a entidades federativas y municipios con fines de política económica. Asignaciones destinadas a la concesión de préstamos a entidades federativas y municipios con fines de política económica.</t>
  </si>
  <si>
    <t>Concesión de préstamos al sector privado con fines de política económica. Asignaciones destinadas a la concesión de préstamos al sector privado, como son toda clase de préstamos al personal, sindicatos y demás erogaciones recuperables,</t>
  </si>
  <si>
    <t>con fines de política económica.</t>
  </si>
  <si>
    <t>Concesión de préstamos al sector externo con fines de política económica. Asignaciones destinadas a la concesión de préstamos al sector externo con fines de política económica.</t>
  </si>
  <si>
    <t>Concesión de préstamos al sector público con fines de gestión de liquidez. Asignaciones destinadas para la concesión de préstamos entre entes públicos con fines de gestión de liquidez.</t>
  </si>
  <si>
    <t>Concesión de préstamos al sector privado con fines de gestión de liquidez. Asignaciones destinadas para la concesión de</t>
  </si>
  <si>
    <t>préstamos al sector privado con fines de gestión de liquidez.</t>
  </si>
  <si>
    <t>Concesión de préstamos al sector externo con fines de gestión de liquidez. Asignaciones destinadas para la concesión de</t>
  </si>
  <si>
    <t>préstamos al sector externo con fines de gestión de liquidez.</t>
  </si>
  <si>
    <t>Inversiones en fideicomisos del Poder Ejecutivo. Asignaciones destinadas para construir o incrementar los fideicomisos del Poder Ejecutivo, con fines de política económica.</t>
  </si>
  <si>
    <t>Inversiones en fideicomisos del Poder Legislativo. Asignaciones destinadas para construir o incrementar los fideicomisos del</t>
  </si>
  <si>
    <t>Poder Legislativo, con fines de política económica.</t>
  </si>
  <si>
    <t>Inversiones en fideicomisos del Poder Judicial. Asignaciones destinadas para construir o incrementar los fideicomisos del Poder Judicial, con fines de política económica.</t>
  </si>
  <si>
    <t>Inversiones en fideicomisos públicos no empresariales y no financieros. Asignaciones destinadas para construir o incrementar</t>
  </si>
  <si>
    <t>los fideicomisos públicos no empresariales y no financieros, con fines de política económica.</t>
  </si>
  <si>
    <t>Inversiones en fideicomisos públicos empresariales no financieros. Asignaciones destinadas para construir o incrementar los fideicomisos públicos empresariales no financieros, con fines de política económica.</t>
  </si>
  <si>
    <t>Inversiones en fideicomisos públicos financieros. Asignaciones destinadas para construir o incrementar a fideicomisos públicos financieros, con fines de política económica.</t>
  </si>
  <si>
    <t>Inversiones en fideicomisos de entidades federativas. Asignaciones a fideicomisos a favor de entidades federativas, con fines</t>
  </si>
  <si>
    <t>de política económica.</t>
  </si>
  <si>
    <t>Inversiones en fideicomisos de municipios. Asignaciones a fideicomisos de Municipios, con fines de política económica.</t>
  </si>
  <si>
    <t>Otras inversiones en fideicomisos. Asignaciones destinadas para construir o incrementar otros fideicomisos no clasificados en las partidas anteriores, con fines de política económica.</t>
  </si>
  <si>
    <t>Depósitos a largo plazo en moneda nacional. Asignaciones destinadas a colocaciones a largo plazo en moneda nacional.</t>
  </si>
  <si>
    <t>Depósitos a largo plazo en moneda extranjera. Asignaciones destinadas a colocaciones financieras a largo plazo en moneda extranjera.</t>
  </si>
  <si>
    <t>Contingencias por fenómenos naturales. Provisiones presupuestales destinadas a enfrentar las erogaciones que se deriven de fenómenos naturales, con el fin de prevenir o resarcir daños a la población o a la infraestructura pública; así como las derivadas de las responsabilidades de los entes públicos; estas provisiones se considerarán como transitorias en tanto se</t>
  </si>
  <si>
    <t>distribuye su monto entre las partidas específicas necesarias para los programas.</t>
  </si>
  <si>
    <t>Contingencias socioeconómicas. Provisiones presupuestarias destinadas a enfrentar las erogaciones que se deriven de contingencias socioeconómicas, con el fin de prevenir o resarcir daños a la población o a la infraestructura pública; así como las derivadas de las responsabilidades de los entes públicos; éstas se considerarán como transitorias en tanto se distribuye</t>
  </si>
  <si>
    <t>su monto entre las partidas específicas necesarias para los programas</t>
  </si>
  <si>
    <t>Otras erogaciones especiales. Provisiones presupuestarias para otras erogaciones especiales, éstas se considerarán como transitorias en tanto se distribuye su monto entre las partidas específicas necesarias para los programas, por lo que su asignación se afectará una vez ubicada en las partidas correspondientes, según la naturaleza de las erogaciones y previa</t>
  </si>
  <si>
    <t>aprobación, de acuerdo con lineamientos específicos.</t>
  </si>
  <si>
    <t>estimaciones de participaciones en los ingresos federales que conforme a la Ley de Coordinación Fiscal correspondan a las haciendas públicas de los Estados, Municipios y Cuidad de México.</t>
  </si>
  <si>
    <t>Fondo de fomento municipal. Asignaciones que prevén estimaciones por el porcentaje del importe total que se distribuye entre las entidades federativas y de la parte correspondiente en materia de derechos.</t>
  </si>
  <si>
    <t>Participaciones a municipios en los ingresos federales. Asignaciones destinadas a cubrir las participaciones a los Municipios provenientes de la recaudación federal conforme a la legislación de la materia.</t>
  </si>
  <si>
    <t>Participaciones a municipios en los ingresos estatales. Asignaciones destinadas a los Municipios de acuerdo a los convenios de coordinación fiscal.</t>
  </si>
  <si>
    <t>Otros conceptos participables de la federación a entidades federativas. Asignaciones destinadas a compensar los montos correspondientes en los fondos previstos en las demás partidas, que conforme a la fórmula establecida se estima deben recibir las entidades federativas por concepto de recaudación federal participable. Incluye las asignaciones cuya participación total en los fondos general de participaciones y de fomento municipal no alcance el crecimiento esperado en la recaudación federal participable, las asignaciones a las entidades federativas que resulten afectadas por el cambio en la fórmula de participaciones, y aquéllas destinadas a cubrir el porcentaje de las participaciones derivado de la recaudación del impuesto especial de</t>
  </si>
  <si>
    <t>producción y servicios.</t>
  </si>
  <si>
    <t>Otros conceptos participables de la federación a municipios. Asignaciones destinadas a compensar los montos correspondientes en los fondos previstos en las demás partidas, que conforme a la fórmula establecida se estima deben recibir los municipios por concepto de recaudación federal participable. Incluye las asignaciones cuya participación total en los fondos general de participaciones y de fomento municipal no alcance el crecimiento esperado en la recaudación federal participable;</t>
  </si>
  <si>
    <t>las asignaciones a los municipios que resulten afectadas por el cambio en la fórmula de participaciones, y aquéllas destinadas a cubrir el porcentaje de las participaciones derivado de la recaudación del impuesto especial de producción y servicios.</t>
  </si>
  <si>
    <t>Convenios de colaboración administrativa. Asignaciones destinadas a cubrir los incentivos derivados de convenios de colaboración administrativa que se celebren con otros órdenes de gobierno</t>
  </si>
  <si>
    <t>Aportaciones de la federación a las entidades federativas. Asignaciones destinadas a cubrir las aportaciones federales para educación básica y normal, los servicios de salud, infraestructura social, el fortalecimiento municipal, el otorgamiento de las aportaciones múltiples, educación tecnológica y de adultos, y seguridad pública y, en su caso otras, a que se refiere la Ley de</t>
  </si>
  <si>
    <t>Coordinación Fiscal a favor de los Estados y Ciudad de México.</t>
  </si>
  <si>
    <t>Fiscal a favor de los Municipios.</t>
  </si>
  <si>
    <t>Aportaciones de la federación a municipios. Asignaciones destinadas a cubrir las aportaciones federales para educación básica y normal, los servicios de salud, infraestructura social, el fortalecimiento municipal, el otorgamiento de las aportaciones múltiples, educación tecnológica y de adultos, y seguridad pública y, en su caso otras, a que se refiere la Ley de Coordinación</t>
  </si>
  <si>
    <t>Aportaciones a municipios del Fondo de Aportaciones para la Infraestructura Social Municipal. Asignaciones del Fondo de Aportaciones para la Infraestructura Social Estatal, derivados del Ramo General 33, destinadas a los municipios de acuerdo a los Convenios de Coordinación Fiscal, Reglas de Operación y Legislación correspondiente.</t>
  </si>
  <si>
    <t>Aportaciones a municipios del Fondo de Aportaciones para el Fortalecimiento de los Municipios y de las Demarcaciones Territoriales del Distrito Federal. Asignaciones del FORTAMUNDF, derivados del Ramo General 33, destinadas a los municipios de acuerdo a los Convenios de Coordinación Fiscal, Reglas de Operación y Legislación correspondiente.</t>
  </si>
  <si>
    <t>Aportaciones previstas en leyes y decretos al sistema de protección social. Asignaciones destinadas a cubrir las aportaciones anuales para cada familia beneficiaría del Sistema de Protección Social en Salud, conforme al porcentaje y, en su caso, las</t>
  </si>
  <si>
    <t>actualizaciones que se determinen conforme a la Ley General de Salud.</t>
  </si>
  <si>
    <t>Aportaciones previstas en leyes y decretos compensatorias a entidades federativas y municipios. Recursos destinados a compensar la disminución en ingresos participables a las entidades federativas y municipios.</t>
  </si>
  <si>
    <t>Convenios de reasignación. Asignaciones destinadas a los convenios que celebran los entes públicos, con el propósito de</t>
  </si>
  <si>
    <t>reasignar la ejecución de funciones, programas o proyectos federales y, en su caso, recursos humanos o materiales.</t>
  </si>
  <si>
    <t>Convenios de descentralización. Asignaciones destinadas a los convenios que celebran los entes públicos, con el propósito de descentralizar la ejecución de funciones, programas o proyectos federales y, en su caso, recursos humanos o materiales.</t>
  </si>
  <si>
    <t>Otros Convenios. Asignaciones destinadas a otros convenios no especificados en las partidas anteriores que celebran los</t>
  </si>
  <si>
    <t>entes.</t>
  </si>
  <si>
    <t>Amortización de capital. Asignación para cubrir el pago de capital de la deuda pública.</t>
  </si>
  <si>
    <t>Actualización de la deuda. Asignación para cubrir gastos por actualización de la deuda pública.</t>
  </si>
  <si>
    <t>Amortización de la deuda interna por emisión de títulos y valores. Asignaciones para el pago del principal derivado de la</t>
  </si>
  <si>
    <t>colocación de valores por los entes públicos en territorio nacional.</t>
  </si>
  <si>
    <t>Amortización de arrendamientos financieros nacionales. Asignaciones para la amortización de financiamientos contraídos con</t>
  </si>
  <si>
    <t>arrendadoras nacionales o en el que su pago esté convenido en moneda nacional.</t>
  </si>
  <si>
    <t>Amortización de la deuda externa con instituciones de crédito. Asignaciones destinadas a cubrir el pago del principal, derivado</t>
  </si>
  <si>
    <t>de los créditos contraídos en moneda extranjera con bancos establecidos fuera del territorio nacional.</t>
  </si>
  <si>
    <t>Amortización de deuda externa con organismos financieros internacionales. Asignaciones destinadas a cubrir el pago del principal de los financiamientos contratados con el Banco Internacional de Reconstrucción y Fomento, el Banco Interamericano de Desarrollo y otras instituciones análogas.</t>
  </si>
  <si>
    <t>Amortización de la deuda bilateral. Asignaciones para el pago del principal derivado de los financiamientos otorgados por gobiernos extranjeros a través de sus instituciones de crédito.</t>
  </si>
  <si>
    <t>Amortización de la deuda externa por emisión de títulos y valores. Asignaciones para el pago del principal derivado de la colocación de títulos y valores mexicanos en los mercados extranjeros.</t>
  </si>
  <si>
    <t>Amortización de arrendamientos financieros internacionales. Asignaciones para la amortización de financiamientos contraídos con arrendadoras extranjeras en el que su pago esté convenido en moneda extranjera.</t>
  </si>
  <si>
    <t>Intereses de la deuda. Asignación para cubrir el pago del servicio de la deuda una vez devengados en función del tiempo.</t>
  </si>
  <si>
    <t>Intereses derivados de la colocación de títulos y valores. Asignaciones destinadas al pago de intereses por la colocación de títulos y valores gubernamentales colocados en territorio nacional.</t>
  </si>
  <si>
    <t>Intereses por arrendamientos financieros nacionales. Asignaciones destinadas al pago de intereses derivado de la contratación de arrendamientos financieros nacionales.</t>
  </si>
  <si>
    <t>Intereses de la deuda externa con instituciones de crédito. Asignaciones destinadas al pago de intereses derivados de créditos contratados con la banca comercial externa.</t>
  </si>
  <si>
    <t>Intereses de la deuda con organismos financieros internacionales. Asignaciones destinadas al pago de intereses por la contratación de financiamientos con el Banco Internacional de Reconstrucción y Fomento, el Banco Interamericano de Desarrollo y otras instituciones análogas.</t>
  </si>
  <si>
    <t>Intereses de la deuda bilateral. Asignaciones destinadas al pago de intereses por la contratación de financiamientos otorgados por gobiernos extranjeros, a través de sus instituciones de crédito.</t>
  </si>
  <si>
    <t>Intereses derivados de la colocación de títulos y valores en el exterior. Asignaciones destinadas al pago de intereses por la colocación de títulos y valores mexicanos en los mercados extranjeros.</t>
  </si>
  <si>
    <t>Intereses por arrendamientos financieros internacionales. Asignaciones destinadas al pago de intereses por concepto de arrendamientos financieros contratados con arrendadoras extranjeras en el que su pago esté establecido en moneda</t>
  </si>
  <si>
    <t>extranjera.</t>
  </si>
  <si>
    <t>Comisiones de la deuda pública. Asignaciones destinadas al pago de obligaciones derivadas del servicio de la deuda pública contratada en territorio nacional.</t>
  </si>
  <si>
    <t>Comisiones de la deuda pública externa. Asignaciones destinadas al pago de obligaciones derivadas del servicio de la deuda contratada fuera del territorio nacional.</t>
  </si>
  <si>
    <t>Gastos de la deuda pública. Asignaciones destinadas al pago de gastos de la deuda pública, tales como: los diversos gastos que se cubren a los bancos agentes conforme a los convenios y contratos de crédito suscritos, los gastos asociados a la difusión de la deuda, los gastos por inscripción de los valores en las instancias respectivas, así como cualquier otra erogación derivada de la contratación, manejo y servicio de la deuda pública que por su naturaleza no corresponda a amortizaciones, intereses, comisiones o coberturas.</t>
  </si>
  <si>
    <t>Gastos de la deuda pública externa. Asignaciones destinadas al pago de gastos de la deuda pública externa, como son: diversos gastos que se cubren a los bancos agentes conforme a los convenios y/o contratos de crédito suscritos, gastos asociados a la difusión de la deuda, gastos por inscripción de los valores en las instancias respectivas; así como cualquier</t>
  </si>
  <si>
    <t>otra erogación derivada de la contratación, manejo y servicio de la deuda pública externa que por su naturaleza no corresponda a amortizaciones, intereses, comisiones o coberturas.</t>
  </si>
  <si>
    <t>Gastos por coberturas en tasas de interés. Asignaciones destinadas al pago de los importes derivados de las variaciones en las tasas de interés con que se cubren los compromisos de la deuda pública. Este tipo de coberturas se efectúa con base en</t>
  </si>
  <si>
    <t>las operaciones realizadas en los mercados de futuros.</t>
  </si>
  <si>
    <t>Gastos por otras coberturas. Asignaciones destinadas a cubrir las erogaciones derivadas de la contratación de otras coberturas mediante los instrumentos financieros denominados como futuros o derivados, así como las comprendidas en el programa de coberturas de productos agropecuarios, entre otros.</t>
  </si>
  <si>
    <t>Apoyos a intermediarios financieros. Asignaciones para cubrir compromisos derivados de programas de apoyo y saneamiento</t>
  </si>
  <si>
    <t>del sistema financiero nacional.</t>
  </si>
  <si>
    <t>Apoyos a ahorradores y deudores del sistema financiero nacional. Asignaciones, destinadas a cubrir compromisos por la aplicación de programas de apoyo a ahorradores y deudores.</t>
  </si>
  <si>
    <t>Por el ejercicio inmediato anterior. Asignaciones destinadas a cubrir el pago de los adeudos registrados al 31 de diciembre del año inmediato anterior, no se deberá registrar con cargo a esta partida las erogaciones no incluidas en el registro contable y presupuestal del ejercicio anterior.</t>
  </si>
  <si>
    <t>Por ejercicios anteriores. Asignaciones destinadas a cubrir el pago de los adeudos registrados en ejercicios anteriores al 31 de diciembre del año inmediato anterior, no se deberá registrar con cargo a esta partida las erogaciones no incluidas en el</t>
  </si>
  <si>
    <t>registro contable y presupuestal del ejercicio inmediato anterior.</t>
  </si>
  <si>
    <t>Otro sueldo magisterio. Remuneración que recibe el docente que cubre dos plazas, de conformidad con lo dispuesto en el Acuerdo que fija el Esquema de Compatibilidad en Horario y Funciones de los Servidores Públicos de los Sectores Central y Auxiliar del Poder Ejecutivo.</t>
  </si>
  <si>
    <r>
      <t xml:space="preserve">Otros activos biológicos. </t>
    </r>
    <r>
      <rPr>
        <sz val="8"/>
        <color theme="1"/>
        <rFont val="Arial"/>
        <family val="2"/>
      </rPr>
      <t>Asignaciones destinadas a la adquisición de otros activos biológicos: el semen como material reproductivo y todos los que sean capaces de experimentar transformaciones biológicas para convertirlos en otros activos</t>
    </r>
  </si>
  <si>
    <r>
      <t>construcción nueva, ampliación, remodelación, mantenimiento o reparación integral de las construcciones, así como los gastos en estudios de pre</t>
    </r>
    <r>
      <rPr>
        <sz val="8"/>
        <color theme="1"/>
        <rFont val="Cambria Math"/>
        <family val="1"/>
      </rPr>
      <t>‐</t>
    </r>
    <r>
      <rPr>
        <sz val="8"/>
        <color theme="1"/>
        <rFont val="Arial"/>
        <family val="2"/>
      </rPr>
      <t>inversión y preparación del proyecto.</t>
    </r>
  </si>
  <si>
    <r>
      <t>generación y construcción de energía eléctrica y para las telecomunicaciones. Incluye los gastos en estudios de pre</t>
    </r>
    <r>
      <rPr>
        <sz val="8"/>
        <color theme="1"/>
        <rFont val="Cambria Math"/>
        <family val="1"/>
      </rPr>
      <t>‐</t>
    </r>
    <r>
      <rPr>
        <sz val="8"/>
        <color theme="1"/>
        <rFont val="Arial"/>
        <family val="2"/>
      </rPr>
      <t>inversión y preparación del proyecto.</t>
    </r>
  </si>
  <si>
    <r>
      <t xml:space="preserve">Fondo general de participaciones. </t>
    </r>
    <r>
      <rPr>
        <sz val="8"/>
        <color theme="1"/>
        <rFont val="Arial"/>
        <family val="2"/>
      </rPr>
      <t>Asignaciones de recursos previstos en el Presupuesto de Egresos por concepto de las</t>
    </r>
  </si>
  <si>
    <t>Sueldo base. Remuneración al servidor público de base o de confianza que preste sus servicios al Poder Legislativo, Ejecutivo, Judicial o algún Organismo Autónomo o Descentralizado. Los montos que importen estas remuneraciones serán fijados de acuerdo con el Catálogo de Puestos del Gobierno Estatal y los tabuladores vigentes autorizados por la Secretaría o su equivalente, en el caso de los municipios se refiere a las remuneraciones al servidor público de base y no sindicalizado, que presta sus servicios en la Administración Pública Municipal, acorde con el marco jurídico.</t>
  </si>
  <si>
    <t>Remuneraciones por adscripción laboral en el extranjero. Asignaciones destinadas a cubrir las remuneraciones del personal que labora en representaciones estatales y municipales en el extranjero. Incluye las variaciones del factor de ajuste: importancia relativa de la oficina de adscripción; costo de la vida en el lugar de adscripción y condiciones de dificultad de la vida en cada adscripción. Dichas remuneraciones son cubiertas exclusivamente al personal que labore en esas representaciones en el exterior.</t>
  </si>
  <si>
    <t>Prima vacacional. Asignación adicional a los servidores públicos que tengan derecho a vacaciones, misma que se cubre de acuerdo a las condiciones establecidas en los convenios suscritos con las organizaciones sindicales, incluye la asignación adicional a docentes incorporados a carrera magisterial y docentes de educación media superior y superior incorporados a carrera docente.</t>
  </si>
  <si>
    <t>Aguinaldo. Asignación que con motivo de fin de año se otorga a los servidores públicos que tengan derecho conforme a la normatividad vigente. Esta asignación se cubre de acuerdo a las condiciones establecidas en los convenios suscritos con las organizaciones sindicales. Incluye la asignación adicional a docentes incorporados a la carrera magisterial y a docentes de educación media superior y superior incorporados a carrera docente.</t>
  </si>
  <si>
    <t>Remuneraciones por horas extraordinarias. Asignación adicional otorgable únicamente a los servidores públicos que desarrollan actividades relacionadas con la preparación, desarrollo y levantamiento de templetes y otros afines, para la celebración de eventos especiales y que cubren jornadas de trabajo adicionales a su horario oficial de trabajo.</t>
  </si>
  <si>
    <t>Asignaciones de técnico, de mando, por comisión, de vuelo y de técnico especial. Remuneraciones a los miembros del Ejército, Fuerza Aérea y Armada Nacionales, titulares en profesiones de los distintos servicios militares, por el desempeño de comisiones dentro del Ramo y que pertenezcan a la milicia permanente; remuneraciones a generales, jefes y oficiales investidos conforme a las leyes y ordenanzas del mando militar, de una corporación del ejército o de una unidad de la armada. Su cuota no podrá variar durante el ejercicio fiscal respectivo. Remuneraciones los miembros del ejército y la armada por el desempeño de una comisión que no sea la propia de su cargo, como en los Estados Mayores de los Secretarios y Subsecretarios, Ayudantía del Oficial Mayor y Jefes de Sección de los diversos Departamentos de la Secretaría de la Defensa Nacional y ayudantía de los funcionarios superiores de la Secretaría de Marina; remuneraciones a los miembros del ejército y la armada, que habitualmente desempeñan servicios en unidades aéreas de las Fuerzas Armadas Mexicanas remuneraciones complementarias a los haberes de los generales del ejército y fuerza aérea, así como de los almirantes de la armada que sean autorizadas por el titular del Ramo y las que éste mismo autorice en casos especiales para los jefes y oficiales del ejército y fuerza aérea, capitanes y oficiales de la armada.</t>
  </si>
  <si>
    <t>Honorarios especiales. Asignaciones destinadas a cubrir los honorarios que correspondan a los representantes de la Hacienda Pública por su intervención en los juicios sucesorios, siempre y cuando el impuesto se hubiere determinado con base en la liquidación formulada por los mismos; a los notificadores especiales en el cobro de impuestos, derechos, multas y arrendamientos, así como a los agentes y subagentes fiscales y postales. Comprende las remuneraciones y gastos del personal designado para realizar inspecciones o intervenciones especiales, así como los programas de presencia fiscal. Estas asignaciones se cubrirán por compromisos devengados durante el año y no se aceptarán los compromisos de ejercicios anteriores.</t>
  </si>
  <si>
    <t>Liquidaciones por indemnizaciones, por sueldos y salarios caídos. Pago de liquidaciones derivadas de laudos emitidos o sentencia dictada por autoridad competente, favorables a los servidores públicos, en función de los sueldos, salarios y/o prestaciones percibidas durante el litigio.</t>
  </si>
  <si>
    <t>Profesionalización de los servidores públicos. Asignación presupuestal derivada de las prestaciones establecidas en los convenios con organizaciones sindicales del Gobierno del Estado de México, destinada a profesionalizar los servidores públicos mediante programas de capacitación que determinen y soliciten los entes públicos para contribuir a su desarrollo y mejora del desempeño laboral.</t>
  </si>
  <si>
    <t>Enseres de oficina. Asignaciones destinadas a la adquisición de toda clase de enseres de oficina tales como: engrapadoras, perforadoras, sacapuntas eléctricos, artículos de dibujo, de correspondencia y de archivo, cestos de basura y otros productos similares, que incluye la adquisición de artículos de envoltura, servilletas, desechables, sacos y valijas, entre otros.</t>
  </si>
  <si>
    <t>Material estadístico y geográfico. Asignaciones destinadas a la adquisición de publicaciones relacionadas con información estadística y geográfica. Se incluye la cartografía y publicaciones, tales como: las relativas a indicadores económicos y sociodemográficos; cuentas nacionales; estudios geográficos y geodésicos; mapas, planos, y fotografías aéreas, entre otros, incluyendo las editadas por instituciones especializadas como el Instituto Nacional de Estadística, Geografía e Informática (INEGI), el Instituto de Información e Investigación Geográfica, Estadística y Catastral del Estado de México (IGECEM) y el Consejo Estatal de Población (COESPO), entre otros.</t>
  </si>
  <si>
    <t>Material de información. Asignaciones destinadas a la adquisición de toda clase de artículos y materiales utilizados en actividades administrativas para la generación, procesamiento y distribución de la información, tales como: libros, revistas, periódicos, publicaciones, diarios oficiales, gacetas, material audiovisual, casetes, discos compactos que contengan información y en general todo tipo de material propio para la información, que se requiera en oficinas.</t>
  </si>
  <si>
    <t>Material didáctico. Asignaciones destinadas a la adquisición de toda clase de artículos y materiales utilizados en actividades educativas, y de investigación, tales como: libros, revistas, periódicos, publicaciones, diarios oficiales, gacetas, material audiovisual, casetes, discos compactos y en general todo tipo de material propio para la enseñanza e investigación, que se requiere en bibliotecas, escuelas, centros de investigación científica y tecnológica, entre otros.</t>
  </si>
  <si>
    <t>Material para identificación y registró. Asignación para adquirir material para elaborar tarjetas y credenciales de adscripción, placas de circulación y licencias de manejo, entre otras, que se expiden como medio de identificación y registro y se otorgan conforme a la normatividad vigente.</t>
  </si>
  <si>
    <t>Productos alimenticios para personas. Asignaciones destinadas a la adquisición de insumos, productos alimenticios y bebidas (refrescos y agua embotellada) para la alimentación de personas, que realizan la prestación del servicio público para la ejecución de los diversos programas fuera del área de trabajo. Incluye la alimentación de internos en centros de readaptación social, pacientes en hospitales, clínicas y asilos, menores en guarderías, así como insumos necesarios para la preparación de alimentos a escolares y desarrollo de programas nutricionales de carácter social.</t>
  </si>
  <si>
    <t>Equipamiento y enseres para animales. Asignación para comprar artículos y equipo necesario para el establecimiento y mantenimiento de granjas, corrales, caballerizas, entre otros, y proveer de las condiciones necesarias de higiene y atención a los animales bajo la responsabilidad de las unidades ejecutoras.</t>
  </si>
  <si>
    <t>Productos de papel, cartón e impresos adquiridos como materia prima. Asignaciones destinadas a la adquisición de papel, cartón e impresos como materias primas en estado natural, transformadas o semi-transformadas, que se utilizan en los procesos productivos, diferentes a las contenidas en las demás partidas.</t>
  </si>
  <si>
    <t>Materias primas y materiales de producción. Asignaciones destinadas a la adquisición de Materias Primas en estado natural, transformadas o semi-transformadas, de naturaleza vegetal, animal y mineral y Materiales de Producción, que se utilizan en los talleres o centros de capacitación (carpintería, corte y confección, cultura de belleza, cocina, entre otros), y procesos productivos para la operación de programas institucionales, (industriales. Agrícolas, pecuarios, forestales, acuícola, entre otros).</t>
  </si>
  <si>
    <t>Combustibles, lubricantes, aditivos, carbón y sus derivados adquiridos como materia prima. Asignaciones destinadas a la adquisición de combustibles, lubricantes y aditivos como materias primas en estado natural, transformadas o semi- transformadas, que se utilizan en los procesos productivos, diferentes a las contenidas en las demás partidas.</t>
  </si>
  <si>
    <t>Productos químicos, farmacéuticos y de laboratorio adquiridos como materia prima. Asignaciones destinadas a la adquisición de medicamentos farmacéuticos y botánicos, productos antisépticos de uso farmacéutico, sustancias para diagnóstico, complementos alimenticios, plasmas y otros derivados de la sangre y productos médicos veterinarios, entre otros, como materias primas en estado natural, transformadas o semi-transformadas, que se utilizan en los procesos productivos, diferentes a las contenidas en las demás partidas.</t>
  </si>
  <si>
    <t>Mercancías para su comercialización en tiendas del sector público. Asignaciones destinadas a cubrir el costo de las mercancías diversas que se adquieran conforme a las disposiciones aplicables, para su comercialización en los establecimientos del sector público, tales como: tiendas, farmacias, centros recreativos, entre otros.</t>
  </si>
  <si>
    <t>Otros productos adquiridos como materia prima. Asignaciones destinadas a la adquisición de otros productos como materias primas en estado natural, transformadas o semi-transformadas, que se utilizan en los procesos productivo, diferentes a las contenidas en las demás partidas de este Clasificador.</t>
  </si>
  <si>
    <t>Material eléctrico y electrónico. Asignaciones destinadas a la adquisición de todo tipo de material eléctrico y electrónico para la adaptación, conservación y operación de oficinas públicas, tales como: cables, interruptores, tubos fluorescentes, focos, aislantes, electrodos, transistores, alambres, lámparas, pilas, entre otros, que requieren las líneas de transmisión telegráfica, telefónica, eléctrica y de telecomunicaciones, sean aéreas o subterráneas; igualmente la adquisición de materiales necesarios en las instalaciones radiofónicas, radiotelegráficas, entre otros.</t>
  </si>
  <si>
    <t>Artículos metálicos para la construcción. Asignaciones destinadas a cubrir los gastos por adquisición de productos para construcción hechos de hierro, acero, aluminio, cobre, zinc, bronce y otras aleaciones, tales como: lingotes, planchas, planchones, hojalatas, perfiles, alambres, varillas, ventanas y puertas metálicas, clavos, tornillos y tuercas de todo tipo; mallas ciclónicas y cercas metálicas, etc.</t>
  </si>
  <si>
    <t>Materiales de construcción. Asignaciones destinadas a la adquisición de materiales utilizados en la construcción, reconstrucción, ampliación, adaptación, mejora, conservación y mantenimiento de todo tipo de bienes muebles e inmuebles, tales como: cemento, ladrillo, yeso, varilla, cal, arena, tabique, madera, clavos, taquetes, pinturas y barnices, entre otros.</t>
  </si>
  <si>
    <t>Estructuras y manufacturas para todo tipo de construcción. Asignaciones destinadas a la adquisición de toda clase de estructuras y manufacturas que se utilizan en la construcción, reconstrucción, ampliación, adaptación, mejora, conservación y mantenimiento de toda clase de muebles e inmuebles, tales como: postes, torres, ventanas, herrajes, puertas, cristales, tanques, lavabos, fregaderos, inodoros, tuberías y todo tipo de accesorios necesarios para los mismos fines.</t>
  </si>
  <si>
    <t>Plaguicidas, abonos y fertilizantes. Asignaciones destinadas a la adquisición de productos químicos para el combate y exterminio de plagas, cuyo estado de fabricación se encuentre terminado, tales como: fertilizantes complejos e inorgánicos, fungicidas, herbicidas, raticidas, entre otros. Incluye los abonos que se comercializan en estado natural.</t>
  </si>
  <si>
    <t>Medicinas y productos farmacéuticos. Asignaciones destinadas a la adquisición de medicinas y productos farmacéuticos de aplicación humana o animal, tales como: vacunas, drogas, medicinas de patente, medicamentos, sueros, plasma, oxígeno, entre otros.</t>
  </si>
  <si>
    <t>Materiales, accesorios y suministros médicos. Asignaciones destinadas a la adquisición de toda clase de materiales y suministros médicos que se requieren en hospitales, unidades sanitarias, consultorios, clínicas veterinarias, entre otros, tales como: jeringas, gasas, agujas, vendajes, materiales de sutura y curación, espátulas, lentes, lancetas, hojas de bisturí, prótesis en general y camillas, entre otros.</t>
  </si>
  <si>
    <t>Materiales, accesorios y suministros de laboratorio. Asignaciones destinadas a la adquisición de toda clase de materiales y suministros, tales como: cilindros graduados, matraces, probetas, mecheros, tanques de revelado, materiales para radiografía, electrocardiografía, medicina nuclear y demás materiales y suministros utilizados en los laboratorios médicos, químicos, de investigación, fotográficos, cinematográficos, entre otros. Esta partida incluye animales para experimentación.</t>
  </si>
  <si>
    <t>Otros productos químicos. Asignaciones destinadas a la adquisición de productos químicos inorgánicos tales como: ácidos, bases y sales inorgánicas, cloro, negro de humo y el enriquecimiento de materiales radiactivos. Así como productos químicos básicos orgánicos, tales como: ácidos, anhídridos, alcoholes de uso industrial, cetonas, aldehídos, ácidos grasos, aguarrás, colofonía, colorantes naturales no comestibles, materiales sintéticos para perfumes y cosméticos, edulcorantes sintéticos, entre otros.</t>
  </si>
  <si>
    <t>Combustibles, lubricantes y aditivos. Asignaciones destinadas a la adquisición de toda clase de combustibles, en estado líquido o gaseoso, crudos o refinados, así como de lubricantes y aditivos, requeridos para el funcionamiento de vehículos y equipos de transporte terrestre, aéreo o lacustre, así como, para maquinaria, equipo de producción, Plantas de emergencia, servicios administrativos y elaboración de alimentos.</t>
  </si>
  <si>
    <t>Vestuario y uniformes. Asignaciones destinadas a la adquisición de toda clase de ropa elaborada y sus accesorios para el sector salud, prevención y readaptación social, entre otros, tales como: camisas, pantalones, calzado, uniformes y sus accesorios, insignias, distintivos, emblemas, banderas, banderines.</t>
  </si>
  <si>
    <t>Prendas de seguridad y protección personal. Asignaciones destinadas a la adquisición de ropa y equipo de máxima seguridad, prendas especiales de protección personal, tales como: guantes, botas de hule y asbesto, de tela o materiales especiales, cascos, caretas, lentes, cinturones y demás prendas distintas de las prendas de protección para seguridad pública y nacional.</t>
  </si>
  <si>
    <t>Productos textiles. Asignaciones destinadas a la adquisición de fibras naturales como lino, seda, algodón, ixtle y henequén; hilados e hilos de fibras naturales o sintéticas; telas, acabados y recubrimientos; alfombras, tapetes, cortinas, costales, redes y otros productos textiles que no sean prendas de vestir.</t>
  </si>
  <si>
    <t>Material de seguridad pública. Asignaciones destinadas a la adquisición de toda clase de suministros propios para la seguridad pública, tales como: municiones, espoletas, cargas, granadas, cartuchos, balas, entre otros, para uso exclusivo de las unidades responsables de la seguridad pública.</t>
  </si>
  <si>
    <t>Prendas de protección. Asignaciones destinadas a la adquisición de prendas especiales de protección personal, tales como: guantes, botas, cascos, caretas, lentes, cinturones, así como prendas de protección propias para el desempeño de Seguridad Pública, tales como escudos, protectores, cascos policiales, chalecos blindados, máscaras y demás prendas para el mismo fin.</t>
  </si>
  <si>
    <t>Refacciones, accesorios y herramientas. Asignaciones destinadas a la adquisición de refacciones, accesorios y herramientas auxiliares de trabajo tales como: pinzas, bandejas, charolas, moldes, latas, espátulas, martillos, prensas, berbiquíes, garlopas,taladros, zapapicos, escaleras, discos para arado, micrófonos, detectores de metales manuales y demás bienes de consumo similares.</t>
  </si>
  <si>
    <t>Refacciones y accesorios para equipo de cómputo. Asignaciones destinadas a la adquisición de componentes o dispositivos internos o externos que se integran al equipo de cómputo, con el objeto de conservar o recuperar su funcionalidad y que son de difícil control de inventarios, tales como: tarjetas electrónicas, “drivers” internos, circuitos, bocinas, pantallas, mouse, módems, teclados, memoria USB, entre otros.</t>
  </si>
  <si>
    <t>Refacciones y accesorios menores para equipo de transporte. Asignaciones destinadas a la adquisición de transporte tales como: llantas, suspensiones, sistemas de frenos, partes eléctricas, alternadores, distribuidores, partes de suspensión y dirección, sistemas de frenos marchas, embragues, retrovisores, limpiadores, volantes, tapetes reflejantes, bocinas, auto estéreos, gatos hidráulicos o mecánicos.</t>
  </si>
  <si>
    <t>Servicios de radiolocalización y telecomunicación. Asignaciones destinadas al pago de servicios de radiolocalización, requerido en el desempeño de las funciones oficiales, tales como comunicación por radio, así como las cuotas a cargo del Estado y Municipio por el servicio que le presta la Secretaría de Comunicaciones y Transportes Federal, además la contratación acceso a los servicios específicos audiovisuales como la televisión restringida.</t>
  </si>
  <si>
    <t>Servicios de acceso a Internet. Asignaciones destinadas a cubrir el servicio de acceso a Internet y servicios prestados a través de la red, tales como hospedaje de páginas web, correo, diseño de páginas web, entre otros. Así como el manejo y administración de aplicaciones en servidores.</t>
  </si>
  <si>
    <t>Servicios de telecomunicación especializados. Asignaciones destinadas a cubrir el pago de servicios tales como rastreo de satélites, telemetría de comunicaciones y operación de estaciones de radar.</t>
  </si>
  <si>
    <t>Servicios de información, mediante telecomunicaciones especializadas. Asignaciones destinadas a cubrir el costo de los servicios profesionales de intercambio y procesamiento de información, haciendo uso de una o varias tecnologías de telecomunicaciones especializadas como celular y radio entre otras, para la prestación y entrega de un servicio informativo.</t>
  </si>
  <si>
    <t>Arrendamiento de activos intangibles. Asignaciones destinadas a cubrir el importe que corresponda por el uso de patentes y marcas, representaciones comerciales e industriales, regalías por derechos de autor, membrecías, así como licencias de uso de programas de cómputo y su actualización.</t>
  </si>
  <si>
    <t>Descripción</t>
  </si>
  <si>
    <t>Ingresos Propios del Municipio</t>
  </si>
  <si>
    <t>Transferencias a Organismos Descentralizados Municipales</t>
  </si>
  <si>
    <t>Financiamiento de Instituciones Financieras</t>
  </si>
  <si>
    <t>Financiamiento de Proveedores</t>
  </si>
  <si>
    <t>Ingresos líquidos de Entidades Públicas Municipales</t>
  </si>
  <si>
    <t>Otros Ingresos en especie de Gestión de Entidades Públicas Municipales</t>
  </si>
  <si>
    <t>Ingresos por Adeudos de Ejercicios Fiscales Anteriores de Entidades Públicas Municipales</t>
  </si>
  <si>
    <t>Ingresos por disponibilidades Presupuestarias de Entidades Públicas Municipales</t>
  </si>
  <si>
    <t>Ramo 28: Participaciones de los Ingresos Federales</t>
  </si>
  <si>
    <t>Fondo de Estabilización de los Ingresos de las Entidades Federativas FEIEF</t>
  </si>
  <si>
    <t>Ingresos no etiquetados derivados del Sistema Estatal de Coordinación Hacendaria</t>
  </si>
  <si>
    <t>Ingresos recibidos del Sector Privado</t>
  </si>
  <si>
    <t>Fondos Internacionales</t>
  </si>
  <si>
    <t>Ingresos recibidos de otros gobiernos municipales</t>
  </si>
  <si>
    <t>Ingresos recibidos de otros gobiernos estatales</t>
  </si>
  <si>
    <t>FAIS- FISMDF</t>
  </si>
  <si>
    <t>FORTAMUN</t>
  </si>
  <si>
    <t>FAM</t>
  </si>
  <si>
    <t>FAETA - CONALEP</t>
  </si>
  <si>
    <t>FASP</t>
  </si>
  <si>
    <t>Aportaciones Ramo 4: Subsidios otorgados por la Secretaría de Gobernación</t>
  </si>
  <si>
    <t>Aportaciones Ramo 6: Subsidios otorgados por la Secretaría de Hacienda y Crédito Público</t>
  </si>
  <si>
    <t>Aportaciones Ramo 8: Subsidios para la Agricultura, Ganadería, Desarrollo Rural, Pesca y Alimentación</t>
  </si>
  <si>
    <t>Aportaciones Ramo 9: Subsidios otorgados por la Secretaría de Comunicaciones y Transportes</t>
  </si>
  <si>
    <t>Aportaciones Ramo 10: Subsidios otorgados por la Secretaría de Economía</t>
  </si>
  <si>
    <t>Aportaciones Ramo 11: Apoyo a la Educación</t>
  </si>
  <si>
    <t>Aportaciones Ramo 12: Subsidios a la Salud</t>
  </si>
  <si>
    <t>Aportaciones Ramo 14: Subsidios otorgados por la Secretaría del Trabajo y Previsión Social</t>
  </si>
  <si>
    <t>Aportaciones Ramo 15: Subsidios otorgados por la Secretaría de Desarrollo Agrario, Territorial y Urbano</t>
  </si>
  <si>
    <t>Aportaciones Ramo 16: Subsidios otorgados por la Secretaría del Medio Ambiente y Recursos Naturales</t>
  </si>
  <si>
    <t>Aportaciones Ramo 20: Subsidios otorgados por la Secretaría de Desarrollo Social</t>
  </si>
  <si>
    <t>Aportaciones Ramo 21: Subsidios otorgados por la Secretaría de Turismo</t>
  </si>
  <si>
    <t>Aportaciones Ramo 23: Provisiones Salariales y Económicas: Desarrollo Regional y otras provisiones económicas</t>
  </si>
  <si>
    <t>Aportaciones Ramo 36: Seguridad Pública: Subsidios otorgados por la Subsecretaria de Sistema Penitenciario Federal</t>
  </si>
  <si>
    <t>Aportaciones Ramo 38: Subsidios otorgados por el Consejo Nacional de Ciencia y Tecnología</t>
  </si>
  <si>
    <t>Aportaciones Ramo 47: Entidades no sectorizadas: Proyectos de Coordinación para la Prevención y Atención de la Violencia contra las Mujeres</t>
  </si>
  <si>
    <t>Aportaciones Ramo 48: Subsidios otorgados por la Secretaría de Cultura</t>
  </si>
  <si>
    <t>Aportaciones Ramo 54: Programa de Apoyo para Refugios Especializados para Mujeres Victimas de Violencia de Genero, sus hijas e hijos</t>
  </si>
  <si>
    <t>Otras Aportaciones Federales: Aportaciones de Fideicomisos</t>
  </si>
  <si>
    <t>Recursos del Fondo Estatal de Fortalecimiento Municipal</t>
  </si>
  <si>
    <t>Recursos del Gasto de Inversión para el Desarrollo del Estado de México (GIDEM)</t>
  </si>
  <si>
    <t>Otros recursos Estatales etiquetados</t>
  </si>
  <si>
    <t>Asesorías asociadas a convenios o acuerdos. Asignaciones destinadas a cubrir el costo de servicios profesionales y técnicos por concepto de asesoría, consultoría, auditoria, consulta y asistencia e intercambio en materia jurídica, económica, contable, de ingeniería, arquitectura, entre otras, requeridas para el cumplimiento de compromisos formalizados mediante convenios o acuerdos.</t>
  </si>
  <si>
    <t>Servicios estadísticos y geográficos. Asignaciones destinadas a cubrir el costo de los servicios profesionales, relacionados con la información estadística y geográfica. Se incluyen estudios e investigaciones estadísticas y geográficas, vuelos fotogramétricos y de teledetección, servicios de medición catastral, levantamiento geofísico y elaboración de mapas, entre otros.</t>
  </si>
  <si>
    <t>Servicios informáticos. Asignaciones destinadas a cubrir el costo de los servicios profesionales para el desarrollo de sistemas, sitios o páginas de Internet, procesamiento y elaboración de programas, planos y gráficos por computadora, reproducción de información en medios magnéticos, mantenimiento de sitios y de páginas “Web”, así como el mantenimiento y soporte a los sistemas y programas ya existentes.</t>
  </si>
  <si>
    <t>Clave</t>
  </si>
  <si>
    <t>Dependencia General</t>
  </si>
  <si>
    <t>Comunicación Social</t>
  </si>
  <si>
    <t>B00</t>
  </si>
  <si>
    <t>SINDICATURAS</t>
  </si>
  <si>
    <t>C00</t>
  </si>
  <si>
    <t>REGIDURIAS</t>
  </si>
  <si>
    <t>Regiduría I</t>
  </si>
  <si>
    <t>Regiduría II</t>
  </si>
  <si>
    <t>Regiduría III</t>
  </si>
  <si>
    <t>Regiduría IV</t>
  </si>
  <si>
    <t>Regiduría V</t>
  </si>
  <si>
    <t>Regiduría VI</t>
  </si>
  <si>
    <t>Regiduría VII</t>
  </si>
  <si>
    <t>Regiduría VIII</t>
  </si>
  <si>
    <t>Regiduría IX</t>
  </si>
  <si>
    <t>Regiduría X</t>
  </si>
  <si>
    <t>Regiduría XI</t>
  </si>
  <si>
    <t>Regiduría XII</t>
  </si>
  <si>
    <t>ADMINISTRACIÓN</t>
  </si>
  <si>
    <t>E01</t>
  </si>
  <si>
    <t>Planeación</t>
  </si>
  <si>
    <t>E02</t>
  </si>
  <si>
    <t>Informática</t>
  </si>
  <si>
    <t>E03</t>
  </si>
  <si>
    <t>Eventos Especiales</t>
  </si>
  <si>
    <t>Desarrollo Urbano y Servicios Públicos</t>
  </si>
  <si>
    <t>DIRECCIÓN DE ECOLOGÍA</t>
  </si>
  <si>
    <t>SERVICIOS PÚBLICOS</t>
  </si>
  <si>
    <t>H01</t>
  </si>
  <si>
    <t>AGUA POTABLE</t>
  </si>
  <si>
    <t>PROMOCIÓN SOCIAL</t>
  </si>
  <si>
    <t>Dirección de Desarrollo Social</t>
  </si>
  <si>
    <t>GOBIERNO MUNICIPAL</t>
  </si>
  <si>
    <t>TESORERÍA</t>
  </si>
  <si>
    <t>CONSEJERÍA JURÍDICA</t>
  </si>
  <si>
    <t>N01</t>
  </si>
  <si>
    <t>Desarrollo Agropecuario</t>
  </si>
  <si>
    <t>EDUCACIÓN CULTURAL Y BIENESTAR SOCIAL</t>
  </si>
  <si>
    <t>P00</t>
  </si>
  <si>
    <t>ATENCIÓN CIUDADANA</t>
  </si>
  <si>
    <t>SEGURIDAD PÚBLICA Y TRÁNSITO</t>
  </si>
  <si>
    <t>R00</t>
  </si>
  <si>
    <t>CASA DE LA CULTURA</t>
  </si>
  <si>
    <t>S00</t>
  </si>
  <si>
    <t>UNIDAD DE INFORMACIÓN, PLANEACIÓN, PROGRAMACIÓN Y EVALUACIÓN</t>
  </si>
  <si>
    <t>COORDINACIÓN MUNICIPAL DE PROTECCIÓN CIVIL</t>
  </si>
  <si>
    <t>U00</t>
  </si>
  <si>
    <t>TURISMO</t>
  </si>
  <si>
    <t>DIRECCIÓN DE LAS MUJERES</t>
  </si>
  <si>
    <t>W00</t>
  </si>
  <si>
    <t>UNIDAD DE CONTROL Y BIENESTAR ANIMAL</t>
  </si>
  <si>
    <t>X00</t>
  </si>
  <si>
    <t>Y00</t>
  </si>
  <si>
    <t>DIRECCIÓN DEL CAMPO</t>
  </si>
  <si>
    <t>Z00</t>
  </si>
  <si>
    <t>DIRECCIÓN DE ASUNTOS INDÍGENAS</t>
  </si>
  <si>
    <t>Dependencia Auxiliar</t>
  </si>
  <si>
    <t>Secretaría Particular</t>
  </si>
  <si>
    <t>Secretaría Técnica</t>
  </si>
  <si>
    <t>Seguridad Pública</t>
  </si>
  <si>
    <t>Coordinación Municipal de Protección Civil</t>
  </si>
  <si>
    <t>Cuerpo de Bomberos</t>
  </si>
  <si>
    <t>Urbanismo y Vivienda</t>
  </si>
  <si>
    <t>Juzgados Cívicos</t>
  </si>
  <si>
    <t>Registro Civil</t>
  </si>
  <si>
    <t>Acción Cívica</t>
  </si>
  <si>
    <t>Coordinación de Delegaciones</t>
  </si>
  <si>
    <t>Participación Ciudadana</t>
  </si>
  <si>
    <t>Cronista Municipal</t>
  </si>
  <si>
    <t>Control Patrimonial</t>
  </si>
  <si>
    <t>Ingresos</t>
  </si>
  <si>
    <t>Egresos</t>
  </si>
  <si>
    <t>Presupuesto</t>
  </si>
  <si>
    <t>Catastro Municipal</t>
  </si>
  <si>
    <t>Contabilidad</t>
  </si>
  <si>
    <t>Administración y Desarrollo de Personal</t>
  </si>
  <si>
    <t>Recursos Materiales</t>
  </si>
  <si>
    <t>Unidad de Transparencia</t>
  </si>
  <si>
    <t>Desarrollo Urbano</t>
  </si>
  <si>
    <t>Obras Públicas</t>
  </si>
  <si>
    <t>Servicios Públicos</t>
  </si>
  <si>
    <t>Limpia</t>
  </si>
  <si>
    <t>Alumbrado Público</t>
  </si>
  <si>
    <t>Calles, parques, jardines, áreas verdes y recreativas</t>
  </si>
  <si>
    <t>Control Antirrábico y Bienestar Animal</t>
  </si>
  <si>
    <t>Desarrollo Agrícola y Ganadero</t>
  </si>
  <si>
    <t>Fomento Industrial</t>
  </si>
  <si>
    <t>Desarrollo Comercial y de Servicios</t>
  </si>
  <si>
    <t>Fomento Artesanal</t>
  </si>
  <si>
    <t>Auditoría Financiera</t>
  </si>
  <si>
    <t>Auditoría de Obra</t>
  </si>
  <si>
    <t>Auditoría Administrativa</t>
  </si>
  <si>
    <t>Simplificación Administrativa</t>
  </si>
  <si>
    <t>Responsabilidad y Situación Patrimonial</t>
  </si>
  <si>
    <t>Control Social</t>
  </si>
  <si>
    <t>Servicio Municipal de Empleo</t>
  </si>
  <si>
    <t>Deporte</t>
  </si>
  <si>
    <t>Atención a la Juventud</t>
  </si>
  <si>
    <t>Gobernación</t>
  </si>
  <si>
    <t>Panteones</t>
  </si>
  <si>
    <t>Rastro</t>
  </si>
  <si>
    <t>Mercados y centrales de abasto</t>
  </si>
  <si>
    <t>Servicio Militar Municipal</t>
  </si>
  <si>
    <t>Fomento Turístico</t>
  </si>
  <si>
    <t>Atención a los Pueblos Indígenas</t>
  </si>
  <si>
    <t>Atención a la Mujer</t>
  </si>
  <si>
    <t>Atención a la Salud</t>
  </si>
  <si>
    <t>Vialidad y Transporte</t>
  </si>
  <si>
    <t>Área Jurídica</t>
  </si>
  <si>
    <t>Suministro de Agua Potable</t>
  </si>
  <si>
    <t>Alcantarillado y saneamiento</t>
  </si>
  <si>
    <t>Tránsito</t>
  </si>
  <si>
    <t>Secretaría Técnica de Seguridad Pública</t>
  </si>
  <si>
    <t>Prevención y Control Ambiental</t>
  </si>
  <si>
    <t>Unidad Substanciadora y Resolutora</t>
  </si>
  <si>
    <t>Unidad Investigadora</t>
  </si>
  <si>
    <t>Programas Sociales</t>
  </si>
  <si>
    <t>Agua potable</t>
  </si>
  <si>
    <t>Aguas residuales</t>
  </si>
  <si>
    <t>Recolección</t>
  </si>
  <si>
    <t>Embellecimiento y conservación de los poblados</t>
  </si>
  <si>
    <t>Asistencia social</t>
  </si>
  <si>
    <t>Cuerpos de búsqueda de personas</t>
  </si>
  <si>
    <t>Atención a la Población de la Diversidad Sexual</t>
  </si>
  <si>
    <t>110101</t>
  </si>
  <si>
    <t>110201</t>
  </si>
  <si>
    <t>120101</t>
  </si>
  <si>
    <t>120102</t>
  </si>
  <si>
    <t>140101</t>
  </si>
  <si>
    <t>140102</t>
  </si>
  <si>
    <t>140103</t>
  </si>
  <si>
    <t>140104</t>
  </si>
  <si>
    <t>150101</t>
  </si>
  <si>
    <t>150102</t>
  </si>
  <si>
    <t>160101</t>
  </si>
  <si>
    <t>170101</t>
  </si>
  <si>
    <t>170201</t>
  </si>
  <si>
    <t>170301</t>
  </si>
  <si>
    <t>170302</t>
  </si>
  <si>
    <t>250101</t>
  </si>
  <si>
    <t>250102</t>
  </si>
  <si>
    <t>250103</t>
  </si>
  <si>
    <t>250104</t>
  </si>
  <si>
    <t>250105</t>
  </si>
  <si>
    <t>250201</t>
  </si>
  <si>
    <t>250202</t>
  </si>
  <si>
    <t>250203</t>
  </si>
  <si>
    <t>250204</t>
  </si>
  <si>
    <t>250205</t>
  </si>
  <si>
    <t>250206</t>
  </si>
  <si>
    <t>250207</t>
  </si>
  <si>
    <t>250208</t>
  </si>
  <si>
    <t>250209</t>
  </si>
  <si>
    <t>2502010</t>
  </si>
  <si>
    <t>2502011</t>
  </si>
  <si>
    <t>2502012</t>
  </si>
  <si>
    <t>2502013</t>
  </si>
  <si>
    <t>2502014</t>
  </si>
  <si>
    <t>2502015</t>
  </si>
  <si>
    <t>2502016</t>
  </si>
  <si>
    <t>2502017</t>
  </si>
  <si>
    <t>2502018</t>
  </si>
  <si>
    <t>2502019</t>
  </si>
  <si>
    <t>260101</t>
  </si>
  <si>
    <t>260102</t>
  </si>
  <si>
    <t>260103</t>
  </si>
  <si>
    <t>Refacciones y accesorios menores de mobiliario y equipo de administración, educacional y recreativo. Asignaciones destinadas a la adquisición de refacciones y accesorios de escritorios, sillas, sillones, archiveros, máquinas de escribir, calculadoras, fotocopiadoras, entre otros. Tales como: bases de 5 puntas, rodajas, (para sillas y muebles), estructuras de sillas, pistones, brazos asientos y respaldos, tornillos soleras, regatones, estructuras de muebles, entre otros. Así como los destinados para refacciones de instrumentos musicales y otros equipos educacionales.</t>
  </si>
  <si>
    <t>Servicios de apoyo administrativo y fotocopiado. Asignaciones destinadas a cubrir el costo de los servicios de digitalización de documentos oficiales, fax engargolado, enmicado, fotocopiado ordinarios, encuadernación y corte de papel, entre otros. Incluye servicios de apoyo secretarial, servicios de estenografía en los tribunales, transcripción simultánea de diálogos para la televisión, reuniones y conferencias.</t>
  </si>
  <si>
    <t>Impresiones de documentos oficiales para la prestación de servicios públicos, identificación, formatos administrativos y fiscales, formas valoradas, certificados y títulos. Asignaciones destinadas a cubrir el costo de los servicios de impresión de documentos oficiales necesarios para la prestación de servicios públicos y la función pública, tales como: tarjetas y credenciales de adscripción, placas de circulación y licencias de manejo, hologramas, certificados especiales, formas fiscales,formas valoradas y demás documentos para la identificación, trámites oficiales y servicios a la población.</t>
  </si>
  <si>
    <t>Servicios de impresión de documentos oficiales. Asignación destinada a cubrir el costo de los servicios de impresión y elaboración de material informativo, tales como: programas sectoriales, regionales, informes de labores, manuales de organización, de procedimientos y de servicios al público, decretos, acuerdos, convenios, oficios, circulares, programas de adquisiciones, instructivos, libros, revistas, folletos, boletines, posters, trípticos, edictos e informes entre otros.</t>
  </si>
  <si>
    <t>Servicios de protección y seguridad. Asignaciones destinadas a la realización de programas, investigaciones, acciones y actividades en materia de seguridad pública y nacional, en cumplimiento de funciones y actividades en oficiales, cuya realización implique riesgo, urgencia y confidencialidad extrema. Incluye los recursos para la contratación temporal de personas y la adquisición de materiales y servicios necesarios para tales efectos. En ningún caso se podrán sufragar con cargo a esta partida, erogaciones previstas en otros capítulos, conceptos y partidas de este clasificador cuando corresponda a programas, investigaciones, acciones y actividades diferentes de los especiales sujetos a esta partida.</t>
  </si>
  <si>
    <t/>
  </si>
  <si>
    <t>H</t>
  </si>
  <si>
    <t>A02 102 0102040102 E</t>
  </si>
  <si>
    <t>A00 100 0103010101 P</t>
  </si>
  <si>
    <t>I00 143 0206080602 E</t>
  </si>
  <si>
    <t>I02 129 0201050201 E</t>
  </si>
  <si>
    <t>Q00 104 0107010101 E</t>
  </si>
  <si>
    <t>H00 125 0201010101 V</t>
  </si>
  <si>
    <t>T00 105 0107020101 E</t>
  </si>
  <si>
    <t>F01 154 0105020602 M</t>
  </si>
  <si>
    <t>M00 112 0108010101 E</t>
  </si>
  <si>
    <t>V00 152 0206080501 E</t>
  </si>
  <si>
    <t>J00 102 0102040102 E</t>
  </si>
  <si>
    <t>O00 141 0205010110 S</t>
  </si>
  <si>
    <t>G00 160 0201040109 V</t>
  </si>
  <si>
    <t>F00 123 0103080104 P</t>
  </si>
  <si>
    <t>N00 131 0304020102 F</t>
  </si>
  <si>
    <t>A01 103 0108030103 F</t>
  </si>
  <si>
    <t>I01 112 0202020101 S</t>
  </si>
  <si>
    <t>E00 114 0105020606 M</t>
  </si>
  <si>
    <t>K00 134 0103040101 O</t>
  </si>
  <si>
    <t>L00 115 0105020201 E</t>
  </si>
  <si>
    <t>C12 110 0202020102 M</t>
  </si>
  <si>
    <t>C09 110 0202020102 M</t>
  </si>
  <si>
    <t>C11 110 0202020102 M</t>
  </si>
  <si>
    <t>C10 110 0202020102 M</t>
  </si>
  <si>
    <t>C08 110 0202020102 M</t>
  </si>
  <si>
    <t>C07 110 0202020102 M</t>
  </si>
  <si>
    <t>C06 110 0202020102 M</t>
  </si>
  <si>
    <t>C05 110 0202020102 M</t>
  </si>
  <si>
    <t>C04 110 0202020102 M</t>
  </si>
  <si>
    <t>C03 110 0202020102 M</t>
  </si>
  <si>
    <t>C02 110 0202020102 M</t>
  </si>
  <si>
    <t>C01 110 0202020102 M</t>
  </si>
  <si>
    <t>B02 110 0202020102 M</t>
  </si>
  <si>
    <t>B01 110 0202020102 M</t>
  </si>
  <si>
    <t>D00 108 0103090301 L</t>
  </si>
  <si>
    <t>AREA</t>
  </si>
  <si>
    <t>NOMBRE AREA</t>
  </si>
  <si>
    <t>AUXILIAR</t>
  </si>
  <si>
    <t>NOMBRE AUXILIAR</t>
  </si>
  <si>
    <t>ESTRUCTURA</t>
  </si>
  <si>
    <t>FULL</t>
  </si>
  <si>
    <t>OBJETIVO</t>
  </si>
  <si>
    <t>Registro, control contable-presupuestal y cuenta de la hacienda pública
municipal</t>
  </si>
  <si>
    <t>X00 124 0105020511 O</t>
  </si>
  <si>
    <t>id</t>
  </si>
  <si>
    <t>clave</t>
  </si>
  <si>
    <t>dependencia</t>
  </si>
  <si>
    <t>conac</t>
  </si>
  <si>
    <t>descripcion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</si>
</sst>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name val="Century Gothic"/>
      <family val="2"/>
    </font>
    <font>
      <sz val="12"/>
      <color rgb="FF000000"/>
      <name val="Century Gothic"/>
      <family val="2"/>
    </font>
    <font>
      <sz val="12"/>
      <name val="Century Gothic"/>
      <family val="2"/>
    </font>
    <font>
      <b/>
      <sz val="12"/>
      <color rgb="FFFFFFFF"/>
      <name val="Century Gothic"/>
      <family val="2"/>
    </font>
    <font>
      <b/>
      <sz val="12"/>
      <color rgb="FF000000"/>
      <name val="Century Gothic"/>
      <family val="2"/>
    </font>
    <font>
      <sz val="10"/>
      <name val="Arial"/>
      <family val="2"/>
    </font>
    <font>
      <sz val="11"/>
      <name val="Arial Narrow"/>
      <family val="2"/>
    </font>
    <font>
      <sz val="12"/>
      <color rgb="FF002060"/>
      <name val="Century Gothic"/>
      <family val="2"/>
    </font>
    <font>
      <sz val="11"/>
      <color rgb="FF002060"/>
      <name val="Arial Narrow"/>
      <family val="2"/>
    </font>
    <font>
      <sz val="11"/>
      <color rgb="FF002060"/>
      <name val="Century Gothic"/>
      <family val="2"/>
    </font>
    <font>
      <sz val="12"/>
      <color theme="1"/>
      <name val="Century Gothic"/>
      <family val="2"/>
    </font>
    <font>
      <sz val="11"/>
      <color theme="1"/>
      <name val="Calibri"/>
      <family val="2"/>
      <scheme val="minor"/>
    </font>
    <font>
      <sz val="12"/>
      <color theme="9" tint="0.39997558519241921"/>
      <name val="Century Gothic"/>
      <family val="2"/>
    </font>
    <font>
      <b/>
      <sz val="8"/>
      <color theme="1"/>
      <name val="Arial"/>
      <family val="2"/>
    </font>
    <font>
      <sz val="8"/>
      <color theme="1"/>
      <name val="Arial"/>
      <family val="2"/>
    </font>
    <font>
      <sz val="3.5"/>
      <color theme="1"/>
      <name val="Arial"/>
      <family val="2"/>
    </font>
    <font>
      <sz val="8"/>
      <color theme="1"/>
      <name val="Cambria Math"/>
      <family val="1"/>
    </font>
  </fonts>
  <fills count="61">
    <fill>
      <patternFill patternType="none"/>
    </fill>
    <fill>
      <patternFill patternType="gray125"/>
    </fill>
    <fill>
      <patternFill patternType="solid">
        <fgColor theme="0"/>
        <bgColor rgb="FF000000"/>
      </patternFill>
    </fill>
    <fill>
      <patternFill patternType="solid">
        <fgColor rgb="FF92D050"/>
        <bgColor rgb="FF000000"/>
      </patternFill>
    </fill>
    <fill>
      <patternFill patternType="solid">
        <fgColor rgb="FF800000"/>
        <bgColor rgb="FF000000"/>
      </patternFill>
    </fill>
    <fill>
      <patternFill patternType="solid">
        <fgColor rgb="FF0070C0"/>
        <bgColor rgb="FF000000"/>
      </patternFill>
    </fill>
    <fill>
      <patternFill patternType="solid">
        <fgColor rgb="FFA6A6A6"/>
        <bgColor rgb="FF000000"/>
      </patternFill>
    </fill>
    <fill>
      <patternFill patternType="solid">
        <fgColor rgb="FFD9D9D9"/>
        <bgColor rgb="FF000000"/>
      </patternFill>
    </fill>
    <fill>
      <patternFill patternType="solid">
        <fgColor theme="0" tint="-0.14999847407452621"/>
        <bgColor rgb="FF000000"/>
      </patternFill>
    </fill>
    <fill>
      <patternFill patternType="solid">
        <fgColor rgb="FFFFFFFF"/>
        <bgColor rgb="FF000000"/>
      </patternFill>
    </fill>
    <fill>
      <patternFill patternType="solid">
        <fgColor rgb="FFBFBFBF"/>
        <bgColor rgb="FF000000"/>
      </patternFill>
    </fill>
    <fill>
      <patternFill patternType="solid">
        <fgColor rgb="FF92D050"/>
        <bgColor indexed="64"/>
      </patternFill>
    </fill>
    <fill>
      <patternFill patternType="solid">
        <fgColor theme="9" tint="0.79998168889431442"/>
        <bgColor rgb="FF000000"/>
      </patternFill>
    </fill>
    <fill>
      <patternFill patternType="solid">
        <fgColor theme="9" tint="0.59999389629810485"/>
        <bgColor rgb="FF000000"/>
      </patternFill>
    </fill>
    <fill>
      <patternFill patternType="solid">
        <fgColor rgb="FF00B0F0"/>
        <bgColor rgb="FF000000"/>
      </patternFill>
    </fill>
    <fill>
      <patternFill patternType="solid">
        <fgColor rgb="FF00B0F0"/>
        <bgColor indexed="64"/>
      </patternFill>
    </fill>
    <fill>
      <patternFill patternType="solid">
        <fgColor theme="3" tint="0.59999389629810485"/>
        <bgColor rgb="FF000000"/>
      </patternFill>
    </fill>
    <fill>
      <patternFill patternType="solid">
        <fgColor theme="5"/>
        <bgColor rgb="FF000000"/>
      </patternFill>
    </fill>
    <fill>
      <patternFill patternType="solid">
        <fgColor theme="0" tint="-0.14999847407452621"/>
        <bgColor indexed="64"/>
      </patternFill>
    </fill>
    <fill>
      <patternFill patternType="solid">
        <fgColor theme="8" tint="0.59999389629810485"/>
        <bgColor rgb="FF000000"/>
      </patternFill>
    </fill>
    <fill>
      <patternFill patternType="solid">
        <fgColor theme="8" tint="0.59999389629810485"/>
        <bgColor indexed="64"/>
      </patternFill>
    </fill>
    <fill>
      <patternFill patternType="solid">
        <fgColor theme="9" tint="0.79998168889431442"/>
        <bgColor indexed="64"/>
      </patternFill>
    </fill>
    <fill>
      <patternFill patternType="solid">
        <fgColor theme="5" tint="0.79998168889431442"/>
        <bgColor rgb="FF000000"/>
      </patternFill>
    </fill>
    <fill>
      <patternFill patternType="solid">
        <fgColor theme="5" tint="0.79998168889431442"/>
        <bgColor indexed="64"/>
      </patternFill>
    </fill>
    <fill>
      <patternFill patternType="solid">
        <fgColor rgb="FFFFFF00"/>
        <bgColor indexed="64"/>
      </patternFill>
    </fill>
    <fill>
      <patternFill patternType="solid">
        <fgColor rgb="FFFFFF00"/>
        <bgColor rgb="FF000000"/>
      </patternFill>
    </fill>
    <fill>
      <patternFill patternType="solid">
        <fgColor theme="0"/>
        <bgColor indexed="64"/>
      </patternFill>
    </fill>
    <fill>
      <patternFill patternType="solid">
        <fgColor rgb="FFFFC000"/>
        <bgColor rgb="FF000000"/>
      </patternFill>
    </fill>
    <fill>
      <patternFill patternType="solid">
        <fgColor rgb="FFFFC000"/>
        <bgColor indexed="64"/>
      </patternFill>
    </fill>
    <fill>
      <patternFill patternType="solid">
        <fgColor rgb="FFFF0000"/>
        <bgColor rgb="FF000000"/>
      </patternFill>
    </fill>
    <fill>
      <patternFill patternType="solid">
        <fgColor rgb="FFFF0000"/>
        <bgColor indexed="64"/>
      </patternFill>
    </fill>
    <fill>
      <patternFill patternType="solid">
        <fgColor theme="5"/>
        <bgColor indexed="64"/>
      </patternFill>
    </fill>
    <fill>
      <patternFill patternType="solid">
        <fgColor theme="7" tint="0.59999389629810485"/>
        <bgColor rgb="FF000000"/>
      </patternFill>
    </fill>
    <fill>
      <patternFill patternType="solid">
        <fgColor theme="7" tint="0.59999389629810485"/>
        <bgColor indexed="64"/>
      </patternFill>
    </fill>
    <fill>
      <patternFill patternType="solid">
        <fgColor theme="2"/>
        <bgColor rgb="FF000000"/>
      </patternFill>
    </fill>
    <fill>
      <patternFill patternType="solid">
        <fgColor theme="2"/>
        <bgColor indexed="64"/>
      </patternFill>
    </fill>
    <fill>
      <patternFill patternType="solid">
        <fgColor rgb="FFC189F7"/>
        <bgColor indexed="64"/>
      </patternFill>
    </fill>
    <fill>
      <patternFill patternType="solid">
        <fgColor theme="3" tint="0.79998168889431442"/>
        <bgColor indexed="64"/>
      </patternFill>
    </fill>
    <fill>
      <patternFill patternType="solid">
        <fgColor theme="3" tint="0.79998168889431442"/>
        <bgColor rgb="FF000000"/>
      </patternFill>
    </fill>
    <fill>
      <patternFill patternType="solid">
        <fgColor rgb="FF975CCB"/>
        <bgColor indexed="64"/>
      </patternFill>
    </fill>
    <fill>
      <patternFill patternType="solid">
        <fgColor theme="5" tint="0.39997558519241921"/>
        <bgColor rgb="FF000000"/>
      </patternFill>
    </fill>
    <fill>
      <patternFill patternType="solid">
        <fgColor theme="5" tint="0.39997558519241921"/>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7"/>
        <bgColor indexed="64"/>
      </patternFill>
    </fill>
    <fill>
      <patternFill patternType="solid">
        <fgColor theme="7"/>
        <bgColor rgb="FF000000"/>
      </patternFill>
    </fill>
    <fill>
      <patternFill patternType="solid">
        <fgColor theme="9" tint="0.39997558519241921"/>
        <bgColor indexed="64"/>
      </patternFill>
    </fill>
    <fill>
      <patternFill patternType="solid">
        <fgColor theme="7" tint="0.39997558519241921"/>
        <bgColor rgb="FF000000"/>
      </patternFill>
    </fill>
    <fill>
      <patternFill patternType="solid">
        <fgColor theme="4" tint="0.59999389629810485"/>
        <bgColor rgb="FF000000"/>
      </patternFill>
    </fill>
    <fill>
      <patternFill patternType="solid">
        <fgColor theme="4" tint="0.59999389629810485"/>
        <bgColor indexed="64"/>
      </patternFill>
    </fill>
    <fill>
      <patternFill patternType="solid">
        <fgColor theme="5" tint="0.59999389629810485"/>
        <bgColor rgb="FF000000"/>
      </patternFill>
    </fill>
    <fill>
      <patternFill patternType="solid">
        <fgColor theme="5" tint="0.59999389629810485"/>
        <bgColor indexed="64"/>
      </patternFill>
    </fill>
    <fill>
      <patternFill patternType="solid">
        <fgColor theme="9" tint="0.39997558519241921"/>
        <bgColor rgb="FF000000"/>
      </patternFill>
    </fill>
    <fill>
      <patternFill patternType="solid">
        <fgColor theme="7" tint="0.39997558519241921"/>
        <bgColor indexed="64"/>
      </patternFill>
    </fill>
    <fill>
      <patternFill patternType="solid">
        <fgColor theme="8" tint="0.39997558519241921"/>
        <bgColor rgb="FF000000"/>
      </patternFill>
    </fill>
    <fill>
      <patternFill patternType="solid">
        <fgColor theme="8" tint="0.39997558519241921"/>
        <bgColor indexed="64"/>
      </patternFill>
    </fill>
    <fill>
      <patternFill patternType="solid">
        <fgColor theme="9" tint="0.59999389629810485"/>
        <bgColor indexed="64"/>
      </patternFill>
    </fill>
    <fill>
      <patternFill patternType="solid">
        <fgColor rgb="FF76E3FF"/>
        <bgColor rgb="FF000000"/>
      </patternFill>
    </fill>
    <fill>
      <patternFill patternType="solid">
        <fgColor rgb="FF76E3FF"/>
        <bgColor indexed="64"/>
      </patternFill>
    </fill>
    <fill>
      <patternFill patternType="solid">
        <fgColor rgb="FF66FF33"/>
        <bgColor rgb="FF000000"/>
      </patternFill>
    </fill>
    <fill>
      <patternFill patternType="solid">
        <fgColor rgb="FF66FF3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s>
  <cellStyleXfs count="3">
    <xf numFmtId="0" fontId="0" fillId="0" borderId="0"/>
    <xf numFmtId="0" fontId="6" fillId="0" borderId="0"/>
    <xf numFmtId="0" fontId="12" fillId="0" borderId="0"/>
  </cellStyleXfs>
  <cellXfs count="404">
    <xf numFmtId="0" fontId="0" fillId="0" borderId="0" xfId="0"/>
    <xf numFmtId="0" fontId="3" fillId="2"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9"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8" borderId="1" xfId="0" applyFont="1" applyFill="1" applyBorder="1" applyAlignment="1">
      <alignment horizontal="justify" vertical="center" wrapText="1"/>
    </xf>
    <xf numFmtId="0" fontId="3" fillId="8" borderId="1" xfId="0" applyFont="1" applyFill="1" applyBorder="1" applyAlignment="1">
      <alignment horizontal="center" vertical="center" wrapText="1"/>
    </xf>
    <xf numFmtId="0" fontId="2" fillId="7" borderId="1" xfId="0" applyFont="1" applyFill="1" applyBorder="1" applyAlignment="1">
      <alignment horizontal="justify" vertical="center" wrapText="1"/>
    </xf>
    <xf numFmtId="0" fontId="2" fillId="2" borderId="1" xfId="0" applyFont="1" applyFill="1" applyBorder="1" applyAlignment="1">
      <alignment vertical="center" wrapText="1"/>
    </xf>
    <xf numFmtId="0" fontId="1" fillId="13"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0" fillId="0" borderId="1" xfId="0" applyBorder="1" applyAlignment="1">
      <alignment vertical="center"/>
    </xf>
    <xf numFmtId="0" fontId="2" fillId="20" borderId="1" xfId="0" applyFont="1" applyFill="1" applyBorder="1" applyAlignment="1">
      <alignment vertical="center" wrapText="1"/>
    </xf>
    <xf numFmtId="0" fontId="2" fillId="20" borderId="1" xfId="0" applyFont="1" applyFill="1" applyBorder="1" applyAlignment="1">
      <alignment horizontal="left" vertical="center" wrapText="1"/>
    </xf>
    <xf numFmtId="0" fontId="2" fillId="19" borderId="1" xfId="0" applyFont="1" applyFill="1" applyBorder="1" applyAlignment="1">
      <alignment vertical="center" wrapText="1"/>
    </xf>
    <xf numFmtId="0" fontId="0" fillId="0" borderId="0" xfId="0" applyAlignment="1">
      <alignment vertical="center"/>
    </xf>
    <xf numFmtId="0" fontId="2" fillId="19"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3" fillId="19" borderId="1" xfId="0" applyFont="1" applyFill="1" applyBorder="1" applyAlignment="1">
      <alignment vertical="center" wrapText="1"/>
    </xf>
    <xf numFmtId="0" fontId="0" fillId="0" borderId="1" xfId="0" applyBorder="1"/>
    <xf numFmtId="0" fontId="2" fillId="21" borderId="1" xfId="0" applyFont="1" applyFill="1" applyBorder="1" applyAlignment="1">
      <alignment vertical="center" wrapText="1"/>
    </xf>
    <xf numFmtId="0" fontId="3" fillId="21" borderId="1" xfId="0" applyFont="1" applyFill="1" applyBorder="1" applyAlignment="1">
      <alignment vertical="center" wrapText="1"/>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2" fillId="22" borderId="1" xfId="0" applyFont="1" applyFill="1" applyBorder="1" applyAlignment="1">
      <alignment vertical="center" wrapText="1"/>
    </xf>
    <xf numFmtId="49" fontId="3" fillId="11"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49" fontId="3" fillId="8" borderId="1" xfId="0" applyNumberFormat="1" applyFont="1" applyFill="1" applyBorder="1" applyAlignment="1">
      <alignment horizontal="center" vertical="center" wrapText="1"/>
    </xf>
    <xf numFmtId="49" fontId="3" fillId="7" borderId="1" xfId="0" applyNumberFormat="1" applyFont="1" applyFill="1" applyBorder="1" applyAlignment="1">
      <alignment horizontal="center" vertical="center" wrapText="1"/>
    </xf>
    <xf numFmtId="49" fontId="2" fillId="11" borderId="1" xfId="0" applyNumberFormat="1" applyFont="1" applyFill="1" applyBorder="1" applyAlignment="1">
      <alignment horizontal="center" vertical="center" wrapText="1"/>
    </xf>
    <xf numFmtId="49" fontId="2" fillId="8"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3" fillId="8" borderId="1" xfId="0" quotePrefix="1" applyNumberFormat="1" applyFont="1" applyFill="1" applyBorder="1" applyAlignment="1">
      <alignment horizontal="center" vertical="center" wrapText="1"/>
    </xf>
    <xf numFmtId="49" fontId="3" fillId="18" borderId="1" xfId="0" applyNumberFormat="1" applyFont="1" applyFill="1" applyBorder="1" applyAlignment="1">
      <alignment horizontal="center" vertical="center" wrapText="1"/>
    </xf>
    <xf numFmtId="0" fontId="2" fillId="23" borderId="1" xfId="0" applyFont="1" applyFill="1" applyBorder="1" applyAlignment="1">
      <alignment horizontal="left" vertical="center" wrapText="1"/>
    </xf>
    <xf numFmtId="0" fontId="2" fillId="25" borderId="1" xfId="0" applyFont="1" applyFill="1" applyBorder="1" applyAlignment="1">
      <alignment vertical="center" wrapText="1"/>
    </xf>
    <xf numFmtId="0" fontId="0" fillId="24" borderId="1" xfId="0" applyFill="1" applyBorder="1"/>
    <xf numFmtId="49" fontId="7" fillId="26" borderId="0" xfId="0" applyNumberFormat="1" applyFont="1" applyFill="1" applyAlignment="1" applyProtection="1">
      <alignment vertical="center" wrapText="1"/>
      <protection locked="0"/>
    </xf>
    <xf numFmtId="0" fontId="7" fillId="26" borderId="0" xfId="0" applyFont="1" applyFill="1" applyAlignment="1" applyProtection="1">
      <alignment vertical="center" wrapText="1"/>
      <protection locked="0"/>
    </xf>
    <xf numFmtId="0" fontId="2" fillId="27" borderId="1" xfId="0" applyFont="1" applyFill="1" applyBorder="1" applyAlignment="1">
      <alignment horizontal="center" vertical="center" wrapText="1"/>
    </xf>
    <xf numFmtId="49" fontId="9" fillId="26" borderId="0" xfId="0" applyNumberFormat="1" applyFont="1" applyFill="1" applyAlignment="1" applyProtection="1">
      <alignment vertical="center" wrapText="1"/>
      <protection locked="0"/>
    </xf>
    <xf numFmtId="0" fontId="2" fillId="27" borderId="2" xfId="0" applyFont="1" applyFill="1" applyBorder="1" applyAlignment="1">
      <alignment vertical="center" wrapText="1"/>
    </xf>
    <xf numFmtId="0" fontId="2" fillId="27" borderId="3" xfId="0" applyFont="1" applyFill="1" applyBorder="1" applyAlignment="1">
      <alignment vertical="center" wrapText="1"/>
    </xf>
    <xf numFmtId="0" fontId="2" fillId="27" borderId="4" xfId="0" applyFont="1" applyFill="1" applyBorder="1" applyAlignment="1">
      <alignment vertical="center" wrapText="1"/>
    </xf>
    <xf numFmtId="0" fontId="8" fillId="27" borderId="1" xfId="0" applyFont="1" applyFill="1" applyBorder="1" applyAlignment="1">
      <alignment vertical="center" wrapText="1"/>
    </xf>
    <xf numFmtId="0" fontId="2" fillId="27" borderId="1" xfId="0" applyFont="1" applyFill="1" applyBorder="1" applyAlignment="1">
      <alignment vertical="center" wrapText="1"/>
    </xf>
    <xf numFmtId="0" fontId="0" fillId="28" borderId="0" xfId="0" applyFill="1"/>
    <xf numFmtId="0" fontId="1" fillId="29"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2" fillId="29" borderId="1" xfId="0" applyFont="1" applyFill="1" applyBorder="1" applyAlignment="1">
      <alignment horizontal="center" vertical="center" wrapText="1"/>
    </xf>
    <xf numFmtId="0" fontId="3" fillId="25" borderId="1" xfId="0" applyFont="1" applyFill="1" applyBorder="1" applyAlignment="1">
      <alignment horizontal="center" vertical="center" wrapText="1"/>
    </xf>
    <xf numFmtId="0" fontId="2" fillId="9" borderId="3" xfId="0" applyFont="1" applyFill="1" applyBorder="1" applyAlignment="1">
      <alignment horizontal="center" vertical="center" wrapText="1"/>
    </xf>
    <xf numFmtId="49" fontId="3" fillId="24" borderId="1" xfId="0" applyNumberFormat="1" applyFont="1" applyFill="1" applyBorder="1" applyAlignment="1">
      <alignment horizontal="center" vertical="center" wrapText="1"/>
    </xf>
    <xf numFmtId="0" fontId="2" fillId="25" borderId="1" xfId="0" applyFont="1" applyFill="1" applyBorder="1" applyAlignment="1">
      <alignment horizontal="center" vertical="center" wrapText="1"/>
    </xf>
    <xf numFmtId="0" fontId="3" fillId="32" borderId="1" xfId="0" applyFont="1" applyFill="1" applyBorder="1" applyAlignment="1">
      <alignment horizontal="center" vertical="center" wrapText="1"/>
    </xf>
    <xf numFmtId="49" fontId="3" fillId="33" borderId="1" xfId="0" applyNumberFormat="1" applyFont="1" applyFill="1" applyBorder="1" applyAlignment="1">
      <alignment horizontal="center" vertical="center" wrapText="1"/>
    </xf>
    <xf numFmtId="49" fontId="3" fillId="32" borderId="1" xfId="0" applyNumberFormat="1" applyFont="1" applyFill="1" applyBorder="1" applyAlignment="1">
      <alignment horizontal="center" vertical="center" wrapText="1"/>
    </xf>
    <xf numFmtId="0" fontId="2" fillId="33" borderId="1" xfId="0" applyFont="1" applyFill="1" applyBorder="1" applyAlignment="1">
      <alignment horizontal="center" vertical="center" wrapText="1"/>
    </xf>
    <xf numFmtId="0" fontId="2" fillId="32" borderId="1" xfId="0" applyFont="1" applyFill="1" applyBorder="1" applyAlignment="1">
      <alignment horizontal="center" vertical="center" wrapText="1"/>
    </xf>
    <xf numFmtId="0" fontId="3" fillId="33" borderId="1" xfId="0" applyFont="1" applyFill="1" applyBorder="1" applyAlignment="1">
      <alignment horizontal="center" vertical="center" wrapText="1"/>
    </xf>
    <xf numFmtId="49" fontId="3" fillId="35" borderId="1" xfId="0" applyNumberFormat="1" applyFont="1" applyFill="1" applyBorder="1" applyAlignment="1">
      <alignment horizontal="center" vertical="center" wrapText="1"/>
    </xf>
    <xf numFmtId="49" fontId="3" fillId="34" borderId="1" xfId="0" applyNumberFormat="1" applyFont="1" applyFill="1" applyBorder="1" applyAlignment="1">
      <alignment horizontal="center" vertical="center" wrapText="1"/>
    </xf>
    <xf numFmtId="0" fontId="2" fillId="34" borderId="1" xfId="0" applyFont="1" applyFill="1" applyBorder="1" applyAlignment="1">
      <alignment horizontal="center" vertical="center" wrapText="1"/>
    </xf>
    <xf numFmtId="0" fontId="3" fillId="34" borderId="1" xfId="0" applyFont="1" applyFill="1" applyBorder="1" applyAlignment="1">
      <alignment horizontal="center" vertical="center" wrapText="1"/>
    </xf>
    <xf numFmtId="49" fontId="2" fillId="34" borderId="1" xfId="0" applyNumberFormat="1" applyFont="1" applyFill="1" applyBorder="1" applyAlignment="1">
      <alignment horizontal="center" vertical="center" wrapText="1"/>
    </xf>
    <xf numFmtId="49" fontId="3" fillId="25" borderId="1" xfId="0" applyNumberFormat="1" applyFont="1" applyFill="1" applyBorder="1" applyAlignment="1">
      <alignment horizontal="center" vertical="center" wrapText="1"/>
    </xf>
    <xf numFmtId="49" fontId="2" fillId="25" borderId="1" xfId="0" applyNumberFormat="1" applyFont="1" applyFill="1" applyBorder="1" applyAlignment="1">
      <alignment horizontal="center" vertical="center" wrapText="1"/>
    </xf>
    <xf numFmtId="4" fontId="3" fillId="26" borderId="1" xfId="2" applyNumberFormat="1" applyFont="1" applyFill="1" applyBorder="1" applyAlignment="1" applyProtection="1">
      <alignment horizontal="center" vertical="center" wrapText="1"/>
      <protection locked="0"/>
    </xf>
    <xf numFmtId="0" fontId="2" fillId="24" borderId="1"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1" fillId="13" borderId="3" xfId="0" applyFont="1" applyFill="1" applyBorder="1" applyAlignment="1">
      <alignment horizontal="center" vertical="center" wrapText="1"/>
    </xf>
    <xf numFmtId="0" fontId="3" fillId="32" borderId="2" xfId="0" applyFont="1" applyFill="1" applyBorder="1" applyAlignment="1">
      <alignment horizontal="center" vertical="center" wrapText="1"/>
    </xf>
    <xf numFmtId="0" fontId="2" fillId="33"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horizontal="center" vertical="center" wrapText="1"/>
    </xf>
    <xf numFmtId="49" fontId="3" fillId="37" borderId="1"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0" fontId="3" fillId="31" borderId="1" xfId="0" applyFont="1" applyFill="1" applyBorder="1" applyAlignment="1">
      <alignment horizontal="center" vertical="center" wrapText="1"/>
    </xf>
    <xf numFmtId="49" fontId="3" fillId="31"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4" fontId="3" fillId="0" borderId="1" xfId="2" applyNumberFormat="1" applyFont="1" applyBorder="1" applyAlignment="1" applyProtection="1">
      <alignment horizontal="center" vertical="center" wrapText="1"/>
      <protection locked="0"/>
    </xf>
    <xf numFmtId="49" fontId="3" fillId="25" borderId="1" xfId="0" quotePrefix="1" applyNumberFormat="1" applyFont="1" applyFill="1" applyBorder="1" applyAlignment="1">
      <alignment horizontal="center" vertical="center" wrapText="1"/>
    </xf>
    <xf numFmtId="0" fontId="3" fillId="26" borderId="1" xfId="0" applyFont="1" applyFill="1" applyBorder="1" applyAlignment="1">
      <alignment horizontal="center" vertical="center" wrapText="1"/>
    </xf>
    <xf numFmtId="0" fontId="2" fillId="31" borderId="1" xfId="0" applyFont="1" applyFill="1" applyBorder="1" applyAlignment="1">
      <alignment horizontal="center" vertical="center" wrapText="1"/>
    </xf>
    <xf numFmtId="49" fontId="11" fillId="31" borderId="1" xfId="0" applyNumberFormat="1" applyFont="1" applyFill="1" applyBorder="1" applyAlignment="1">
      <alignment horizontal="center" vertical="center" wrapText="1"/>
    </xf>
    <xf numFmtId="0" fontId="11" fillId="31" borderId="1" xfId="0" applyFont="1" applyFill="1" applyBorder="1" applyAlignment="1">
      <alignment horizontal="center" vertical="center" wrapText="1"/>
    </xf>
    <xf numFmtId="0" fontId="4" fillId="40" borderId="2" xfId="0" applyFont="1" applyFill="1" applyBorder="1" applyAlignment="1">
      <alignment horizontal="center" vertical="center" wrapText="1"/>
    </xf>
    <xf numFmtId="0" fontId="1" fillId="40" borderId="3" xfId="0" applyFont="1" applyFill="1" applyBorder="1" applyAlignment="1">
      <alignment horizontal="center" vertical="center" wrapText="1"/>
    </xf>
    <xf numFmtId="0" fontId="3" fillId="40" borderId="1" xfId="0" applyFont="1" applyFill="1" applyBorder="1" applyAlignment="1">
      <alignment horizontal="center" vertical="center" wrapText="1"/>
    </xf>
    <xf numFmtId="0" fontId="3" fillId="40" borderId="2" xfId="0" applyFont="1" applyFill="1" applyBorder="1" applyAlignment="1">
      <alignment horizontal="center" vertical="center" wrapText="1"/>
    </xf>
    <xf numFmtId="0" fontId="3" fillId="43" borderId="1" xfId="0" applyFont="1" applyFill="1" applyBorder="1" applyAlignment="1">
      <alignment horizontal="center" vertical="center" wrapText="1"/>
    </xf>
    <xf numFmtId="49" fontId="3" fillId="46" borderId="1" xfId="0" applyNumberFormat="1" applyFont="1" applyFill="1" applyBorder="1" applyAlignment="1">
      <alignment horizontal="center" vertical="center" wrapText="1"/>
    </xf>
    <xf numFmtId="0" fontId="2" fillId="42" borderId="1" xfId="0" applyFont="1" applyFill="1" applyBorder="1" applyAlignment="1">
      <alignment horizontal="center" vertical="center" wrapText="1"/>
    </xf>
    <xf numFmtId="0" fontId="3" fillId="42" borderId="1" xfId="0" applyFont="1" applyFill="1" applyBorder="1" applyAlignment="1">
      <alignment horizontal="center" vertical="center" wrapText="1"/>
    </xf>
    <xf numFmtId="49" fontId="11" fillId="24" borderId="1" xfId="0" applyNumberFormat="1" applyFont="1" applyFill="1" applyBorder="1" applyAlignment="1">
      <alignment horizontal="center" vertical="center" wrapText="1"/>
    </xf>
    <xf numFmtId="0" fontId="2" fillId="47" borderId="1" xfId="0" applyFont="1" applyFill="1" applyBorder="1" applyAlignment="1">
      <alignment horizontal="center" vertical="center" wrapText="1"/>
    </xf>
    <xf numFmtId="49" fontId="3" fillId="41" borderId="1" xfId="0" applyNumberFormat="1" applyFont="1" applyFill="1" applyBorder="1" applyAlignment="1">
      <alignment horizontal="center" vertical="center" wrapText="1"/>
    </xf>
    <xf numFmtId="0" fontId="3" fillId="41" borderId="1" xfId="0" applyFont="1" applyFill="1" applyBorder="1" applyAlignment="1">
      <alignment horizontal="center" vertical="center" wrapText="1"/>
    </xf>
    <xf numFmtId="0" fontId="2" fillId="40" borderId="2" xfId="0" applyFont="1" applyFill="1" applyBorder="1" applyAlignment="1">
      <alignment horizontal="center" vertical="center" wrapText="1"/>
    </xf>
    <xf numFmtId="49" fontId="3" fillId="49" borderId="1" xfId="0" applyNumberFormat="1" applyFont="1" applyFill="1" applyBorder="1" applyAlignment="1">
      <alignment horizontal="center" vertical="center" wrapText="1"/>
    </xf>
    <xf numFmtId="49" fontId="3" fillId="48" borderId="1" xfId="0" applyNumberFormat="1" applyFont="1" applyFill="1" applyBorder="1" applyAlignment="1">
      <alignment horizontal="center" vertical="center" wrapText="1"/>
    </xf>
    <xf numFmtId="0" fontId="2" fillId="48" borderId="1" xfId="0" applyFont="1" applyFill="1" applyBorder="1" applyAlignment="1">
      <alignment horizontal="center" vertical="center" wrapText="1"/>
    </xf>
    <xf numFmtId="0" fontId="3" fillId="48" borderId="1" xfId="0" applyFont="1" applyFill="1" applyBorder="1" applyAlignment="1">
      <alignment horizontal="center" vertical="center" wrapText="1"/>
    </xf>
    <xf numFmtId="49" fontId="2" fillId="48" borderId="1" xfId="0" applyNumberFormat="1" applyFont="1" applyFill="1" applyBorder="1" applyAlignment="1">
      <alignment horizontal="center" vertical="center" wrapText="1"/>
    </xf>
    <xf numFmtId="0" fontId="2" fillId="48" borderId="2" xfId="0" applyFont="1" applyFill="1" applyBorder="1" applyAlignment="1">
      <alignment horizontal="center" vertical="center" wrapText="1"/>
    </xf>
    <xf numFmtId="0" fontId="1" fillId="50" borderId="2" xfId="0" applyFont="1" applyFill="1" applyBorder="1" applyAlignment="1">
      <alignment horizontal="center" vertical="center" wrapText="1"/>
    </xf>
    <xf numFmtId="49" fontId="3" fillId="51" borderId="1" xfId="0" applyNumberFormat="1" applyFont="1" applyFill="1" applyBorder="1" applyAlignment="1">
      <alignment horizontal="center" vertical="center" wrapText="1"/>
    </xf>
    <xf numFmtId="0" fontId="2" fillId="51" borderId="1" xfId="0" applyFont="1" applyFill="1" applyBorder="1" applyAlignment="1">
      <alignment horizontal="center" vertical="center" wrapText="1"/>
    </xf>
    <xf numFmtId="0" fontId="3" fillId="51" borderId="1" xfId="0" applyFont="1" applyFill="1" applyBorder="1" applyAlignment="1">
      <alignment horizontal="center" vertical="center" wrapText="1"/>
    </xf>
    <xf numFmtId="0" fontId="2" fillId="50" borderId="2" xfId="0" applyFont="1" applyFill="1" applyBorder="1" applyAlignment="1">
      <alignment horizontal="center" vertical="center" wrapText="1"/>
    </xf>
    <xf numFmtId="0" fontId="2" fillId="50" borderId="1" xfId="0" applyFont="1" applyFill="1" applyBorder="1" applyAlignment="1">
      <alignment horizontal="center" vertical="center" wrapText="1"/>
    </xf>
    <xf numFmtId="0" fontId="3" fillId="50" borderId="1" xfId="0" applyFont="1" applyFill="1" applyBorder="1" applyAlignment="1">
      <alignment horizontal="center" vertical="center" wrapText="1"/>
    </xf>
    <xf numFmtId="0" fontId="1" fillId="52" borderId="1" xfId="0" applyFont="1" applyFill="1" applyBorder="1" applyAlignment="1">
      <alignment horizontal="center" vertical="center" wrapText="1"/>
    </xf>
    <xf numFmtId="49" fontId="3" fillId="52" borderId="1" xfId="0" applyNumberFormat="1" applyFont="1" applyFill="1" applyBorder="1" applyAlignment="1">
      <alignment horizontal="center" vertical="center" wrapText="1"/>
    </xf>
    <xf numFmtId="0" fontId="2" fillId="52" borderId="1" xfId="0" applyFont="1" applyFill="1" applyBorder="1" applyAlignment="1">
      <alignment horizontal="center" vertical="center" wrapText="1"/>
    </xf>
    <xf numFmtId="0" fontId="3" fillId="52" borderId="1" xfId="0" applyFont="1" applyFill="1" applyBorder="1" applyAlignment="1">
      <alignment horizontal="center" vertical="center" wrapText="1"/>
    </xf>
    <xf numFmtId="49" fontId="3" fillId="53" borderId="1" xfId="0" applyNumberFormat="1" applyFont="1" applyFill="1" applyBorder="1" applyAlignment="1">
      <alignment horizontal="center" vertical="center" wrapText="1"/>
    </xf>
    <xf numFmtId="49" fontId="3" fillId="47" borderId="1" xfId="0" applyNumberFormat="1" applyFont="1" applyFill="1" applyBorder="1" applyAlignment="1">
      <alignment horizontal="center" vertical="center" wrapText="1"/>
    </xf>
    <xf numFmtId="0" fontId="3" fillId="47" borderId="1" xfId="0" applyFont="1" applyFill="1" applyBorder="1" applyAlignment="1">
      <alignment horizontal="center" vertical="center" wrapText="1"/>
    </xf>
    <xf numFmtId="0" fontId="2" fillId="47" borderId="2" xfId="0" applyFont="1" applyFill="1" applyBorder="1" applyAlignment="1">
      <alignment horizontal="center" vertical="center" wrapText="1"/>
    </xf>
    <xf numFmtId="0" fontId="2" fillId="53" borderId="1" xfId="0" applyFont="1" applyFill="1" applyBorder="1" applyAlignment="1">
      <alignment horizontal="center" vertical="center" wrapText="1"/>
    </xf>
    <xf numFmtId="49" fontId="3" fillId="50" borderId="1" xfId="0" applyNumberFormat="1" applyFont="1" applyFill="1" applyBorder="1" applyAlignment="1">
      <alignment horizontal="center" vertical="center" wrapText="1"/>
    </xf>
    <xf numFmtId="0" fontId="2" fillId="42" borderId="2" xfId="0" applyFont="1" applyFill="1" applyBorder="1" applyAlignment="1">
      <alignment horizontal="center" vertical="center" wrapText="1"/>
    </xf>
    <xf numFmtId="0" fontId="1" fillId="52" borderId="3" xfId="0" applyFont="1" applyFill="1" applyBorder="1" applyAlignment="1">
      <alignment horizontal="center" vertical="center" wrapText="1"/>
    </xf>
    <xf numFmtId="0" fontId="2" fillId="52" borderId="2" xfId="0" applyFont="1" applyFill="1" applyBorder="1" applyAlignment="1">
      <alignment horizontal="center" vertical="center" wrapText="1"/>
    </xf>
    <xf numFmtId="49" fontId="3" fillId="40" borderId="1" xfId="0" applyNumberFormat="1" applyFont="1" applyFill="1" applyBorder="1" applyAlignment="1">
      <alignment horizontal="center" vertical="center" wrapText="1"/>
    </xf>
    <xf numFmtId="0" fontId="2" fillId="40" borderId="1" xfId="0" applyFont="1" applyFill="1" applyBorder="1" applyAlignment="1">
      <alignment horizontal="center" vertical="center" wrapText="1"/>
    </xf>
    <xf numFmtId="49" fontId="3" fillId="20" borderId="1" xfId="0" applyNumberFormat="1" applyFont="1" applyFill="1" applyBorder="1" applyAlignment="1">
      <alignment horizontal="center" vertical="center" wrapText="1"/>
    </xf>
    <xf numFmtId="49" fontId="3" fillId="19" borderId="1" xfId="0" applyNumberFormat="1" applyFont="1" applyFill="1" applyBorder="1" applyAlignment="1">
      <alignment horizontal="center" vertical="center" wrapText="1"/>
    </xf>
    <xf numFmtId="0" fontId="2" fillId="19"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49" fontId="3" fillId="55" borderId="1" xfId="0" applyNumberFormat="1" applyFont="1" applyFill="1" applyBorder="1" applyAlignment="1">
      <alignment horizontal="center" vertical="center" wrapText="1"/>
    </xf>
    <xf numFmtId="0" fontId="2" fillId="54" borderId="1" xfId="0" applyFont="1" applyFill="1" applyBorder="1" applyAlignment="1">
      <alignment horizontal="center" vertical="center" wrapText="1"/>
    </xf>
    <xf numFmtId="0" fontId="2" fillId="54" borderId="2" xfId="0" applyFont="1" applyFill="1" applyBorder="1" applyAlignment="1">
      <alignment horizontal="center" vertical="center" wrapText="1"/>
    </xf>
    <xf numFmtId="49" fontId="3" fillId="54" borderId="1" xfId="0" applyNumberFormat="1" applyFont="1" applyFill="1" applyBorder="1" applyAlignment="1">
      <alignment horizontal="center" vertical="center" wrapText="1"/>
    </xf>
    <xf numFmtId="0" fontId="3" fillId="54" borderId="1" xfId="0" applyFont="1" applyFill="1" applyBorder="1" applyAlignment="1">
      <alignment horizontal="center" vertical="center" wrapText="1"/>
    </xf>
    <xf numFmtId="0" fontId="2" fillId="32" borderId="2" xfId="0" applyFont="1" applyFill="1" applyBorder="1" applyAlignment="1">
      <alignment horizontal="center" vertical="center" wrapText="1"/>
    </xf>
    <xf numFmtId="0" fontId="2" fillId="52" borderId="4" xfId="0" applyFont="1" applyFill="1" applyBorder="1" applyAlignment="1">
      <alignment horizontal="center" vertical="center" wrapText="1"/>
    </xf>
    <xf numFmtId="0" fontId="1" fillId="50" borderId="1" xfId="0" applyFont="1" applyFill="1" applyBorder="1" applyAlignment="1">
      <alignment horizontal="center" vertical="center" wrapText="1"/>
    </xf>
    <xf numFmtId="0" fontId="11" fillId="26" borderId="0" xfId="0" applyFont="1" applyFill="1" applyAlignment="1">
      <alignment horizontal="center" vertical="center" wrapText="1"/>
    </xf>
    <xf numFmtId="49" fontId="2" fillId="33" borderId="1" xfId="0" applyNumberFormat="1" applyFont="1" applyFill="1" applyBorder="1" applyAlignment="1">
      <alignment horizontal="center" vertical="center" wrapText="1"/>
    </xf>
    <xf numFmtId="49" fontId="2" fillId="32" borderId="1" xfId="0" applyNumberFormat="1" applyFont="1" applyFill="1" applyBorder="1" applyAlignment="1">
      <alignment horizontal="center" vertical="center" wrapText="1"/>
    </xf>
    <xf numFmtId="49" fontId="3" fillId="56" borderId="1" xfId="0" applyNumberFormat="1" applyFont="1" applyFill="1" applyBorder="1" applyAlignment="1">
      <alignment horizontal="center" vertical="center" wrapText="1"/>
    </xf>
    <xf numFmtId="49" fontId="3"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2" xfId="0" applyFont="1" applyFill="1" applyBorder="1" applyAlignment="1">
      <alignment horizontal="center" vertical="center" wrapText="1"/>
    </xf>
    <xf numFmtId="49" fontId="3" fillId="13" borderId="1" xfId="0" quotePrefix="1" applyNumberFormat="1" applyFont="1" applyFill="1" applyBorder="1" applyAlignment="1">
      <alignment horizontal="center" vertical="center" wrapText="1"/>
    </xf>
    <xf numFmtId="0" fontId="3" fillId="53" borderId="1" xfId="0" applyFont="1" applyFill="1" applyBorder="1" applyAlignment="1">
      <alignment horizontal="center" vertical="center" wrapText="1"/>
    </xf>
    <xf numFmtId="0" fontId="11" fillId="53" borderId="2" xfId="0" applyFont="1" applyFill="1" applyBorder="1" applyAlignment="1">
      <alignment horizontal="center" vertical="center" wrapText="1"/>
    </xf>
    <xf numFmtId="0" fontId="2" fillId="56" borderId="1" xfId="0" applyFont="1" applyFill="1" applyBorder="1" applyAlignment="1">
      <alignment horizontal="center" vertical="center" wrapText="1"/>
    </xf>
    <xf numFmtId="0" fontId="3" fillId="56" borderId="1" xfId="0" applyFont="1" applyFill="1" applyBorder="1" applyAlignment="1">
      <alignment horizontal="center" vertical="center" wrapText="1"/>
    </xf>
    <xf numFmtId="0" fontId="3" fillId="49" borderId="1" xfId="0" applyFont="1" applyFill="1" applyBorder="1" applyAlignment="1">
      <alignment horizontal="center" vertical="center" wrapText="1"/>
    </xf>
    <xf numFmtId="0" fontId="11" fillId="33" borderId="2" xfId="0" applyFont="1" applyFill="1" applyBorder="1" applyAlignment="1">
      <alignment horizontal="center" vertical="center" wrapText="1"/>
    </xf>
    <xf numFmtId="49" fontId="2" fillId="51" borderId="1" xfId="0" applyNumberFormat="1" applyFont="1" applyFill="1" applyBorder="1" applyAlignment="1">
      <alignment horizontal="center" vertical="center" wrapText="1"/>
    </xf>
    <xf numFmtId="49" fontId="2" fillId="50" borderId="1" xfId="0" applyNumberFormat="1" applyFont="1" applyFill="1" applyBorder="1" applyAlignment="1">
      <alignment horizontal="center" vertical="center" wrapText="1"/>
    </xf>
    <xf numFmtId="0" fontId="2" fillId="49" borderId="1" xfId="0" applyFont="1" applyFill="1" applyBorder="1" applyAlignment="1">
      <alignment horizontal="center" vertical="center" wrapText="1"/>
    </xf>
    <xf numFmtId="0" fontId="1" fillId="57" borderId="1" xfId="0" applyFont="1" applyFill="1" applyBorder="1" applyAlignment="1">
      <alignment horizontal="center" vertical="center" wrapText="1"/>
    </xf>
    <xf numFmtId="49" fontId="11" fillId="58" borderId="1" xfId="0" applyNumberFormat="1" applyFont="1" applyFill="1" applyBorder="1" applyAlignment="1">
      <alignment horizontal="center" vertical="center" wrapText="1"/>
    </xf>
    <xf numFmtId="0" fontId="11" fillId="58" borderId="1" xfId="0" applyFont="1" applyFill="1" applyBorder="1" applyAlignment="1">
      <alignment horizontal="center" vertical="center" wrapText="1"/>
    </xf>
    <xf numFmtId="0" fontId="4" fillId="45" borderId="2" xfId="0" applyFont="1" applyFill="1" applyBorder="1" applyAlignment="1">
      <alignment horizontal="center" vertical="center" wrapText="1"/>
    </xf>
    <xf numFmtId="0" fontId="3" fillId="45" borderId="1" xfId="0" applyFont="1" applyFill="1" applyBorder="1" applyAlignment="1">
      <alignment horizontal="center" vertical="center" wrapText="1"/>
    </xf>
    <xf numFmtId="0" fontId="3" fillId="45" borderId="2" xfId="0" applyFont="1" applyFill="1" applyBorder="1" applyAlignment="1">
      <alignment horizontal="center" vertical="center" wrapText="1"/>
    </xf>
    <xf numFmtId="0" fontId="1" fillId="45" borderId="1" xfId="0" applyFont="1" applyFill="1" applyBorder="1" applyAlignment="1">
      <alignment horizontal="center" vertical="center" wrapText="1"/>
    </xf>
    <xf numFmtId="0" fontId="1" fillId="27" borderId="3" xfId="0" applyFont="1" applyFill="1" applyBorder="1" applyAlignment="1">
      <alignment horizontal="center" vertical="center" wrapText="1"/>
    </xf>
    <xf numFmtId="4" fontId="3" fillId="9" borderId="1" xfId="2" applyNumberFormat="1" applyFont="1" applyFill="1" applyBorder="1" applyAlignment="1" applyProtection="1">
      <alignment horizontal="center" vertical="center" wrapText="1"/>
      <protection locked="0"/>
    </xf>
    <xf numFmtId="4" fontId="3" fillId="9" borderId="1" xfId="1" applyNumberFormat="1" applyFont="1" applyFill="1" applyBorder="1" applyAlignment="1" applyProtection="1">
      <alignment horizontal="center" vertical="center" wrapText="1"/>
      <protection locked="0"/>
    </xf>
    <xf numFmtId="0" fontId="3" fillId="48" borderId="1" xfId="1" applyFont="1" applyFill="1" applyBorder="1" applyAlignment="1" applyProtection="1">
      <alignment horizontal="center" vertical="center"/>
      <protection locked="0"/>
    </xf>
    <xf numFmtId="0" fontId="3" fillId="20" borderId="1" xfId="2" applyFont="1" applyFill="1" applyBorder="1" applyAlignment="1" applyProtection="1">
      <alignment vertical="center" wrapText="1"/>
      <protection locked="0"/>
    </xf>
    <xf numFmtId="0" fontId="3" fillId="26" borderId="1" xfId="2" applyFont="1" applyFill="1" applyBorder="1" applyAlignment="1" applyProtection="1">
      <alignment horizontal="center" vertical="center" wrapText="1"/>
      <protection locked="0"/>
    </xf>
    <xf numFmtId="0" fontId="11" fillId="35" borderId="0" xfId="0" applyFont="1" applyFill="1" applyAlignment="1">
      <alignment horizontal="center" vertical="center" wrapText="1"/>
    </xf>
    <xf numFmtId="0" fontId="2" fillId="35" borderId="1" xfId="0" applyFont="1" applyFill="1" applyBorder="1" applyAlignment="1">
      <alignment horizontal="center" vertical="center" wrapText="1"/>
    </xf>
    <xf numFmtId="0" fontId="3" fillId="35" borderId="1" xfId="0" applyFont="1" applyFill="1" applyBorder="1" applyAlignment="1">
      <alignment horizontal="center" vertical="center" wrapText="1"/>
    </xf>
    <xf numFmtId="0" fontId="11" fillId="0" borderId="5" xfId="0" applyFont="1" applyBorder="1" applyAlignment="1">
      <alignment horizontal="center" vertical="center" wrapText="1"/>
    </xf>
    <xf numFmtId="0" fontId="3" fillId="48" borderId="1" xfId="2" applyFont="1" applyFill="1" applyBorder="1" applyAlignment="1" applyProtection="1">
      <alignment horizontal="center" vertical="center" wrapText="1"/>
      <protection locked="0"/>
    </xf>
    <xf numFmtId="0" fontId="3" fillId="20" borderId="1" xfId="2" applyFont="1" applyFill="1" applyBorder="1" applyAlignment="1" applyProtection="1">
      <alignment horizontal="center" vertical="center" wrapText="1"/>
      <protection locked="0"/>
    </xf>
    <xf numFmtId="0" fontId="11" fillId="39" borderId="0" xfId="0" applyFont="1" applyFill="1" applyAlignment="1">
      <alignment horizontal="center" vertical="center" wrapText="1"/>
    </xf>
    <xf numFmtId="0" fontId="2" fillId="22" borderId="1" xfId="0" applyFont="1" applyFill="1" applyBorder="1" applyAlignment="1">
      <alignment horizontal="center" vertical="center" wrapText="1"/>
    </xf>
    <xf numFmtId="0" fontId="3" fillId="0" borderId="1" xfId="2" applyFont="1" applyBorder="1" applyAlignment="1" applyProtection="1">
      <alignment horizontal="center" vertical="center" wrapText="1"/>
      <protection locked="0"/>
    </xf>
    <xf numFmtId="0" fontId="11" fillId="36" borderId="0" xfId="0" applyFont="1" applyFill="1" applyAlignment="1">
      <alignment horizontal="center" vertical="center" wrapText="1"/>
    </xf>
    <xf numFmtId="0" fontId="2" fillId="23" borderId="1" xfId="0" applyFont="1" applyFill="1" applyBorder="1" applyAlignment="1">
      <alignment horizontal="center" vertical="center" wrapText="1"/>
    </xf>
    <xf numFmtId="0" fontId="11" fillId="43" borderId="0" xfId="0" applyFont="1" applyFill="1" applyAlignment="1">
      <alignment horizontal="center" vertical="center" wrapText="1"/>
    </xf>
    <xf numFmtId="0" fontId="2" fillId="0" borderId="0" xfId="0" applyFont="1" applyAlignment="1">
      <alignment vertical="center" wrapText="1"/>
    </xf>
    <xf numFmtId="0" fontId="3" fillId="20" borderId="6" xfId="2" applyFont="1" applyFill="1" applyBorder="1" applyAlignment="1" applyProtection="1">
      <alignment vertical="center" wrapText="1"/>
      <protection locked="0"/>
    </xf>
    <xf numFmtId="0" fontId="3" fillId="20" borderId="6" xfId="2" applyFont="1" applyFill="1" applyBorder="1" applyAlignment="1" applyProtection="1">
      <alignment horizontal="center" vertical="center" wrapText="1"/>
      <protection locked="0"/>
    </xf>
    <xf numFmtId="4" fontId="3" fillId="26" borderId="7" xfId="0" applyNumberFormat="1" applyFont="1" applyFill="1" applyBorder="1" applyAlignment="1">
      <alignment horizontal="center" vertical="center" wrapText="1"/>
    </xf>
    <xf numFmtId="0" fontId="3" fillId="20" borderId="1" xfId="0" applyFont="1" applyFill="1" applyBorder="1" applyAlignment="1">
      <alignment vertical="center" wrapText="1"/>
    </xf>
    <xf numFmtId="0" fontId="3" fillId="18" borderId="1" xfId="0" applyFont="1" applyFill="1" applyBorder="1" applyAlignment="1">
      <alignment vertical="center" wrapText="1"/>
    </xf>
    <xf numFmtId="49" fontId="3" fillId="24" borderId="1" xfId="0" applyNumberFormat="1" applyFont="1" applyFill="1" applyBorder="1" applyAlignment="1">
      <alignment vertical="center" wrapText="1"/>
    </xf>
    <xf numFmtId="49" fontId="3" fillId="11" borderId="1" xfId="0" applyNumberFormat="1" applyFont="1" applyFill="1" applyBorder="1" applyAlignment="1">
      <alignment vertical="center" wrapText="1"/>
    </xf>
    <xf numFmtId="49" fontId="3" fillId="18" borderId="1" xfId="0" applyNumberFormat="1" applyFont="1" applyFill="1" applyBorder="1" applyAlignment="1">
      <alignment vertical="center" wrapText="1"/>
    </xf>
    <xf numFmtId="49" fontId="3" fillId="18" borderId="2" xfId="0" applyNumberFormat="1" applyFont="1" applyFill="1" applyBorder="1" applyAlignment="1">
      <alignment vertical="center" wrapText="1"/>
    </xf>
    <xf numFmtId="49" fontId="3" fillId="18" borderId="3" xfId="0" applyNumberFormat="1" applyFont="1" applyFill="1" applyBorder="1" applyAlignment="1">
      <alignment vertical="center" wrapText="1"/>
    </xf>
    <xf numFmtId="0" fontId="15" fillId="0" borderId="9" xfId="0" applyFont="1" applyBorder="1" applyAlignment="1">
      <alignment horizontal="right" vertical="center" wrapText="1"/>
    </xf>
    <xf numFmtId="0" fontId="15" fillId="0" borderId="10" xfId="0" applyFont="1" applyBorder="1" applyAlignment="1">
      <alignment vertical="center" wrapText="1"/>
    </xf>
    <xf numFmtId="0" fontId="16" fillId="0" borderId="0" xfId="0" applyFont="1" applyAlignment="1">
      <alignment vertical="center"/>
    </xf>
    <xf numFmtId="0" fontId="15" fillId="0" borderId="15" xfId="0" applyFont="1" applyBorder="1" applyAlignment="1">
      <alignment vertical="center" wrapText="1"/>
    </xf>
    <xf numFmtId="0" fontId="15" fillId="0" borderId="12" xfId="0" applyFont="1" applyBorder="1" applyAlignment="1">
      <alignment horizontal="justify" vertical="center" wrapText="1"/>
    </xf>
    <xf numFmtId="0" fontId="15" fillId="0" borderId="10" xfId="0" applyFont="1" applyBorder="1" applyAlignment="1">
      <alignment horizontal="justify" vertical="center" wrapText="1"/>
    </xf>
    <xf numFmtId="0" fontId="15" fillId="0" borderId="12" xfId="0" applyFont="1" applyBorder="1" applyAlignment="1">
      <alignment vertical="center" wrapText="1"/>
    </xf>
    <xf numFmtId="0" fontId="0" fillId="0" borderId="10" xfId="0" applyBorder="1" applyAlignment="1">
      <alignment vertical="top" wrapText="1"/>
    </xf>
    <xf numFmtId="0" fontId="0" fillId="0" borderId="12" xfId="0" applyBorder="1" applyAlignment="1">
      <alignment vertical="top" wrapText="1"/>
    </xf>
    <xf numFmtId="0" fontId="15" fillId="0" borderId="14" xfId="0" applyFont="1" applyBorder="1" applyAlignment="1">
      <alignment vertical="center" wrapText="1"/>
    </xf>
    <xf numFmtId="0" fontId="15" fillId="0" borderId="13" xfId="0" applyFont="1" applyBorder="1" applyAlignment="1">
      <alignment horizontal="justify" vertical="center" wrapText="1"/>
    </xf>
    <xf numFmtId="0" fontId="14" fillId="0" borderId="9" xfId="0" applyFont="1" applyBorder="1" applyAlignment="1">
      <alignment horizontal="right" vertical="center" wrapText="1"/>
    </xf>
    <xf numFmtId="0" fontId="15" fillId="0" borderId="13" xfId="0" applyFont="1" applyBorder="1" applyAlignment="1">
      <alignment vertical="center" wrapText="1"/>
    </xf>
    <xf numFmtId="0" fontId="15" fillId="0" borderId="8" xfId="0" applyFont="1" applyBorder="1" applyAlignment="1">
      <alignment horizontal="right" vertical="center" wrapText="1"/>
    </xf>
    <xf numFmtId="0" fontId="15" fillId="0" borderId="11" xfId="0" applyFont="1" applyBorder="1" applyAlignment="1">
      <alignment vertical="center" wrapText="1"/>
    </xf>
    <xf numFmtId="0" fontId="15" fillId="0" borderId="0" xfId="0" applyFont="1" applyAlignment="1">
      <alignment vertical="center"/>
    </xf>
    <xf numFmtId="0" fontId="14" fillId="0" borderId="12" xfId="0" applyFont="1" applyBorder="1" applyAlignment="1">
      <alignment vertical="center" wrapText="1"/>
    </xf>
    <xf numFmtId="0" fontId="15" fillId="0" borderId="9" xfId="0" applyFont="1" applyBorder="1" applyAlignment="1">
      <alignment horizontal="left" vertical="center" wrapText="1" indent="3"/>
    </xf>
    <xf numFmtId="0" fontId="15" fillId="0" borderId="9" xfId="0" applyFont="1" applyBorder="1" applyAlignment="1">
      <alignment vertical="center" wrapText="1"/>
    </xf>
    <xf numFmtId="0" fontId="14" fillId="0" borderId="14" xfId="0" applyFont="1" applyBorder="1" applyAlignment="1">
      <alignment vertical="center" wrapText="1"/>
    </xf>
    <xf numFmtId="0" fontId="14" fillId="0" borderId="9" xfId="0" applyFont="1" applyBorder="1" applyAlignment="1">
      <alignment vertical="center" wrapText="1"/>
    </xf>
    <xf numFmtId="0" fontId="15" fillId="0" borderId="10" xfId="0" applyFont="1" applyBorder="1" applyAlignment="1">
      <alignment horizontal="right" vertical="center" wrapText="1"/>
    </xf>
    <xf numFmtId="0" fontId="15" fillId="0" borderId="11" xfId="0" applyFont="1" applyBorder="1" applyAlignment="1">
      <alignment horizontal="right" vertical="center" wrapText="1"/>
    </xf>
    <xf numFmtId="0" fontId="0" fillId="24" borderId="0" xfId="0" applyFill="1"/>
    <xf numFmtId="0" fontId="0" fillId="30" borderId="0" xfId="0" applyFill="1"/>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8" borderId="3"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33" borderId="1" xfId="0" applyFont="1" applyFill="1" applyBorder="1" applyAlignment="1">
      <alignment horizontal="center" vertical="center" wrapText="1"/>
    </xf>
    <xf numFmtId="0" fontId="2" fillId="34" borderId="2" xfId="0" applyFont="1" applyFill="1" applyBorder="1" applyAlignment="1">
      <alignment horizontal="center" vertical="center" wrapText="1"/>
    </xf>
    <xf numFmtId="0" fontId="2" fillId="34" borderId="3" xfId="0" applyFont="1" applyFill="1" applyBorder="1" applyAlignment="1">
      <alignment horizontal="center" vertical="center" wrapText="1"/>
    </xf>
    <xf numFmtId="0" fontId="2" fillId="34"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1" fillId="17" borderId="2"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 fillId="17"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12"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2" fillId="9" borderId="2" xfId="0" quotePrefix="1" applyFont="1" applyFill="1" applyBorder="1" applyAlignment="1">
      <alignment horizontal="center" vertical="center" wrapText="1"/>
    </xf>
    <xf numFmtId="0" fontId="1" fillId="16"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 fillId="13" borderId="2" xfId="0" applyFont="1" applyFill="1" applyBorder="1" applyAlignment="1">
      <alignment horizontal="center" vertical="center" wrapText="1"/>
    </xf>
    <xf numFmtId="0" fontId="1" fillId="13" borderId="3" xfId="0" applyFont="1" applyFill="1" applyBorder="1" applyAlignment="1">
      <alignment horizontal="center" vertical="center" wrapText="1"/>
    </xf>
    <xf numFmtId="0" fontId="1" fillId="13" borderId="4"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 fillId="34" borderId="2" xfId="0" applyFont="1" applyFill="1" applyBorder="1" applyAlignment="1">
      <alignment horizontal="center" vertical="center" wrapText="1"/>
    </xf>
    <xf numFmtId="0" fontId="1" fillId="34" borderId="3" xfId="0" applyFont="1" applyFill="1" applyBorder="1" applyAlignment="1">
      <alignment horizontal="center" vertical="center" wrapText="1"/>
    </xf>
    <xf numFmtId="0" fontId="2" fillId="42"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3" fillId="32" borderId="1" xfId="0" applyFont="1" applyFill="1" applyBorder="1" applyAlignment="1">
      <alignment horizontal="center" vertical="center" wrapText="1"/>
    </xf>
    <xf numFmtId="0" fontId="3" fillId="32" borderId="2" xfId="0" applyFont="1" applyFill="1" applyBorder="1" applyAlignment="1">
      <alignment horizontal="center" vertical="center" wrapText="1"/>
    </xf>
    <xf numFmtId="0" fontId="3" fillId="32" borderId="3"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2" fillId="33" borderId="2" xfId="0" applyFont="1" applyFill="1" applyBorder="1" applyAlignment="1">
      <alignment horizontal="center" vertical="center" wrapText="1"/>
    </xf>
    <xf numFmtId="0" fontId="2" fillId="33" borderId="3" xfId="0" applyFont="1" applyFill="1" applyBorder="1" applyAlignment="1">
      <alignment horizontal="center" vertical="center" wrapText="1"/>
    </xf>
    <xf numFmtId="0" fontId="2" fillId="33" borderId="4"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31"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5" borderId="3" xfId="0" applyFont="1" applyFill="1" applyBorder="1" applyAlignment="1">
      <alignment horizontal="center" vertical="center" wrapText="1"/>
    </xf>
    <xf numFmtId="0" fontId="1" fillId="14"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1" fillId="29" borderId="2" xfId="0" applyFont="1" applyFill="1" applyBorder="1" applyAlignment="1">
      <alignment horizontal="center" vertical="center" wrapText="1"/>
    </xf>
    <xf numFmtId="0" fontId="1" fillId="29"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2" fillId="17" borderId="4"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38" borderId="2" xfId="0" applyFont="1" applyFill="1" applyBorder="1" applyAlignment="1">
      <alignment horizontal="center" vertical="center" wrapText="1"/>
    </xf>
    <xf numFmtId="0" fontId="2" fillId="38" borderId="4"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34" borderId="4" xfId="0" applyFont="1" applyFill="1" applyBorder="1" applyAlignment="1">
      <alignment horizontal="center" vertical="center" wrapText="1"/>
    </xf>
    <xf numFmtId="0" fontId="2" fillId="38" borderId="3" xfId="0" applyFont="1" applyFill="1" applyBorder="1" applyAlignment="1">
      <alignment horizontal="center" vertical="center" wrapText="1"/>
    </xf>
    <xf numFmtId="49" fontId="7" fillId="18" borderId="2" xfId="0" applyNumberFormat="1" applyFont="1" applyFill="1" applyBorder="1" applyAlignment="1" applyProtection="1">
      <alignment horizontal="center" vertical="center" wrapText="1"/>
      <protection locked="0"/>
    </xf>
    <xf numFmtId="49" fontId="7" fillId="18" borderId="3" xfId="0" applyNumberFormat="1" applyFont="1" applyFill="1" applyBorder="1" applyAlignment="1" applyProtection="1">
      <alignment horizontal="center" vertical="center" wrapText="1"/>
      <protection locked="0"/>
    </xf>
    <xf numFmtId="49" fontId="7" fillId="18" borderId="4" xfId="0" applyNumberFormat="1" applyFont="1" applyFill="1" applyBorder="1" applyAlignment="1" applyProtection="1">
      <alignment horizontal="center" vertical="center" wrapText="1"/>
      <protection locked="0"/>
    </xf>
    <xf numFmtId="49" fontId="7" fillId="23" borderId="2" xfId="0" applyNumberFormat="1" applyFont="1" applyFill="1" applyBorder="1" applyAlignment="1" applyProtection="1">
      <alignment horizontal="center" vertical="center" wrapText="1"/>
      <protection locked="0"/>
    </xf>
    <xf numFmtId="49" fontId="7" fillId="23" borderId="3" xfId="0" applyNumberFormat="1" applyFont="1" applyFill="1" applyBorder="1" applyAlignment="1" applyProtection="1">
      <alignment horizontal="center" vertical="center" wrapText="1"/>
      <protection locked="0"/>
    </xf>
    <xf numFmtId="49" fontId="7" fillId="23" borderId="4" xfId="0" applyNumberFormat="1" applyFont="1" applyFill="1" applyBorder="1" applyAlignment="1" applyProtection="1">
      <alignment horizontal="center" vertical="center" wrapText="1"/>
      <protection locked="0"/>
    </xf>
    <xf numFmtId="0" fontId="2" fillId="24" borderId="1" xfId="0" applyFont="1" applyFill="1" applyBorder="1" applyAlignment="1">
      <alignment horizontal="center" vertical="center" wrapText="1"/>
    </xf>
    <xf numFmtId="0" fontId="2" fillId="9" borderId="1" xfId="0" applyFont="1" applyFill="1" applyBorder="1" applyAlignment="1">
      <alignment horizontal="center" vertical="center"/>
    </xf>
    <xf numFmtId="49" fontId="2" fillId="9" borderId="1" xfId="0" applyNumberFormat="1" applyFont="1" applyFill="1" applyBorder="1" applyAlignment="1">
      <alignment horizontal="center" vertical="center"/>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49" fontId="9" fillId="28" borderId="2" xfId="0" applyNumberFormat="1" applyFont="1" applyFill="1" applyBorder="1" applyAlignment="1" applyProtection="1">
      <alignment horizontal="center" vertical="center" wrapText="1"/>
      <protection locked="0"/>
    </xf>
    <xf numFmtId="49" fontId="9" fillId="28" borderId="3" xfId="0" applyNumberFormat="1" applyFont="1" applyFill="1" applyBorder="1" applyAlignment="1" applyProtection="1">
      <alignment horizontal="center" vertical="center" wrapText="1"/>
      <protection locked="0"/>
    </xf>
    <xf numFmtId="49" fontId="9" fillId="28" borderId="4" xfId="0" applyNumberFormat="1" applyFont="1" applyFill="1" applyBorder="1" applyAlignment="1" applyProtection="1">
      <alignment horizontal="center" vertical="center" wrapText="1"/>
      <protection locked="0"/>
    </xf>
    <xf numFmtId="0" fontId="8" fillId="27" borderId="1" xfId="0" applyFont="1" applyFill="1" applyBorder="1" applyAlignment="1">
      <alignment horizontal="center" vertical="center" wrapText="1"/>
    </xf>
    <xf numFmtId="0" fontId="2" fillId="27" borderId="1" xfId="0" applyFont="1" applyFill="1" applyBorder="1" applyAlignment="1">
      <alignment horizontal="center" vertical="center" wrapText="1"/>
    </xf>
    <xf numFmtId="0" fontId="2" fillId="27" borderId="2" xfId="0" applyFont="1" applyFill="1" applyBorder="1" applyAlignment="1">
      <alignment horizontal="center" vertical="center" wrapText="1"/>
    </xf>
    <xf numFmtId="0" fontId="2" fillId="27" borderId="3" xfId="0" applyFont="1" applyFill="1" applyBorder="1" applyAlignment="1">
      <alignment horizontal="center" vertical="center" wrapText="1"/>
    </xf>
    <xf numFmtId="0" fontId="2" fillId="27" borderId="4" xfId="0" applyFont="1" applyFill="1" applyBorder="1" applyAlignment="1">
      <alignment horizontal="center" vertical="center" wrapText="1"/>
    </xf>
    <xf numFmtId="49" fontId="10" fillId="28" borderId="2" xfId="0" applyNumberFormat="1" applyFont="1" applyFill="1" applyBorder="1" applyAlignment="1" applyProtection="1">
      <alignment horizontal="center" vertical="center" wrapText="1"/>
      <protection locked="0"/>
    </xf>
    <xf numFmtId="49" fontId="10" fillId="28" borderId="3" xfId="0" applyNumberFormat="1" applyFont="1" applyFill="1" applyBorder="1" applyAlignment="1" applyProtection="1">
      <alignment horizontal="center" vertical="center" wrapText="1"/>
      <protection locked="0"/>
    </xf>
    <xf numFmtId="49" fontId="10" fillId="28" borderId="4" xfId="0" applyNumberFormat="1" applyFont="1" applyFill="1" applyBorder="1" applyAlignment="1" applyProtection="1">
      <alignment horizontal="center" vertical="center" wrapText="1"/>
      <protection locked="0"/>
    </xf>
    <xf numFmtId="49" fontId="3" fillId="49" borderId="2" xfId="0" applyNumberFormat="1" applyFont="1" applyFill="1" applyBorder="1" applyAlignment="1">
      <alignment horizontal="center" vertical="center" wrapText="1"/>
    </xf>
    <xf numFmtId="49" fontId="3" fillId="49" borderId="3" xfId="0" applyNumberFormat="1" applyFont="1" applyFill="1" applyBorder="1" applyAlignment="1">
      <alignment horizontal="center" vertical="center" wrapText="1"/>
    </xf>
    <xf numFmtId="49" fontId="3" fillId="49" borderId="4" xfId="0" applyNumberFormat="1" applyFont="1" applyFill="1" applyBorder="1" applyAlignment="1">
      <alignment horizontal="center" vertical="center" wrapText="1"/>
    </xf>
    <xf numFmtId="0" fontId="2" fillId="48" borderId="2" xfId="0" applyFont="1" applyFill="1" applyBorder="1" applyAlignment="1">
      <alignment horizontal="center" vertical="center" wrapText="1"/>
    </xf>
    <xf numFmtId="0" fontId="2" fillId="48" borderId="3" xfId="0" applyFont="1" applyFill="1" applyBorder="1" applyAlignment="1">
      <alignment horizontal="center" vertical="center" wrapText="1"/>
    </xf>
    <xf numFmtId="49" fontId="3" fillId="49" borderId="1" xfId="0" applyNumberFormat="1" applyFont="1" applyFill="1" applyBorder="1" applyAlignment="1">
      <alignment horizontal="center" vertical="center" wrapText="1"/>
    </xf>
    <xf numFmtId="0" fontId="1" fillId="45" borderId="1" xfId="0" applyFont="1" applyFill="1" applyBorder="1" applyAlignment="1">
      <alignment horizontal="center" vertical="center" wrapText="1"/>
    </xf>
    <xf numFmtId="0" fontId="1" fillId="48" borderId="1" xfId="0" applyFont="1" applyFill="1" applyBorder="1" applyAlignment="1">
      <alignment horizontal="center" vertical="center" wrapText="1"/>
    </xf>
    <xf numFmtId="0" fontId="2" fillId="49" borderId="1" xfId="0" applyFont="1" applyFill="1" applyBorder="1" applyAlignment="1">
      <alignment horizontal="center" vertical="center" wrapText="1"/>
    </xf>
    <xf numFmtId="0" fontId="1" fillId="44"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3" fillId="49" borderId="1" xfId="0" applyFont="1" applyFill="1" applyBorder="1" applyAlignment="1">
      <alignment horizontal="center" vertical="center" wrapText="1"/>
    </xf>
    <xf numFmtId="0" fontId="2" fillId="48" borderId="1" xfId="0" applyFont="1" applyFill="1" applyBorder="1" applyAlignment="1">
      <alignment horizontal="center" vertical="center" wrapText="1"/>
    </xf>
    <xf numFmtId="0" fontId="1" fillId="45" borderId="2" xfId="0" applyFont="1" applyFill="1" applyBorder="1" applyAlignment="1">
      <alignment horizontal="center" vertical="center" wrapText="1"/>
    </xf>
    <xf numFmtId="0" fontId="1" fillId="45" borderId="3" xfId="0" applyFont="1" applyFill="1" applyBorder="1" applyAlignment="1">
      <alignment horizontal="center" vertical="center" wrapText="1"/>
    </xf>
    <xf numFmtId="0" fontId="1" fillId="32" borderId="2" xfId="0" applyFont="1" applyFill="1" applyBorder="1" applyAlignment="1">
      <alignment horizontal="center" vertical="center" wrapText="1"/>
    </xf>
    <xf numFmtId="0" fontId="1" fillId="32" borderId="3" xfId="0" applyFont="1" applyFill="1" applyBorder="1" applyAlignment="1">
      <alignment horizontal="center" vertical="center" wrapText="1"/>
    </xf>
    <xf numFmtId="0" fontId="2" fillId="32" borderId="2" xfId="0" quotePrefix="1" applyFont="1" applyFill="1" applyBorder="1" applyAlignment="1">
      <alignment horizontal="center" vertical="center" wrapText="1"/>
    </xf>
    <xf numFmtId="0" fontId="2" fillId="32" borderId="3" xfId="0" applyFont="1" applyFill="1" applyBorder="1" applyAlignment="1">
      <alignment horizontal="center" vertical="center" wrapText="1"/>
    </xf>
    <xf numFmtId="0" fontId="2" fillId="50" borderId="2" xfId="0" applyFont="1" applyFill="1" applyBorder="1" applyAlignment="1">
      <alignment horizontal="center" vertical="center" wrapText="1"/>
    </xf>
    <xf numFmtId="0" fontId="2" fillId="50" borderId="3" xfId="0" applyFont="1" applyFill="1" applyBorder="1" applyAlignment="1">
      <alignment horizontal="center" vertical="center" wrapText="1"/>
    </xf>
    <xf numFmtId="0" fontId="2" fillId="50" borderId="4" xfId="0" applyFont="1" applyFill="1" applyBorder="1" applyAlignment="1">
      <alignment horizontal="center" vertical="center" wrapText="1"/>
    </xf>
    <xf numFmtId="0" fontId="2" fillId="50" borderId="1" xfId="0" applyFont="1" applyFill="1" applyBorder="1" applyAlignment="1">
      <alignment horizontal="center" vertical="center" wrapText="1"/>
    </xf>
    <xf numFmtId="0" fontId="1" fillId="54" borderId="1" xfId="0" applyFont="1" applyFill="1" applyBorder="1" applyAlignment="1">
      <alignment horizontal="center" vertical="center" wrapText="1"/>
    </xf>
    <xf numFmtId="0" fontId="2" fillId="54" borderId="1" xfId="0" applyFont="1" applyFill="1" applyBorder="1" applyAlignment="1">
      <alignment horizontal="center" vertical="center" wrapText="1"/>
    </xf>
    <xf numFmtId="0" fontId="1" fillId="50" borderId="1" xfId="0" applyFont="1" applyFill="1" applyBorder="1" applyAlignment="1">
      <alignment horizontal="center" vertical="center" wrapText="1"/>
    </xf>
    <xf numFmtId="0" fontId="2" fillId="56" borderId="1" xfId="0" applyFont="1" applyFill="1" applyBorder="1" applyAlignment="1">
      <alignment horizontal="center" vertical="center" wrapText="1"/>
    </xf>
    <xf numFmtId="0" fontId="2" fillId="47" borderId="2" xfId="0" applyFont="1" applyFill="1" applyBorder="1" applyAlignment="1">
      <alignment horizontal="center" vertical="center" wrapText="1"/>
    </xf>
    <xf numFmtId="0" fontId="2" fillId="47" borderId="3" xfId="0" applyFont="1" applyFill="1" applyBorder="1" applyAlignment="1">
      <alignment horizontal="center" vertical="center" wrapText="1"/>
    </xf>
    <xf numFmtId="0" fontId="1" fillId="47" borderId="2" xfId="0" applyFont="1" applyFill="1" applyBorder="1" applyAlignment="1">
      <alignment horizontal="center" vertical="center" wrapText="1"/>
    </xf>
    <xf numFmtId="0" fontId="1" fillId="47" borderId="3" xfId="0" applyFont="1" applyFill="1" applyBorder="1" applyAlignment="1">
      <alignment horizontal="center" vertical="center" wrapText="1"/>
    </xf>
    <xf numFmtId="0" fontId="1" fillId="40" borderId="1" xfId="0" applyFont="1" applyFill="1" applyBorder="1" applyAlignment="1">
      <alignment horizontal="center" vertical="center" wrapText="1"/>
    </xf>
    <xf numFmtId="0" fontId="1" fillId="45" borderId="4" xfId="0" applyFont="1" applyFill="1" applyBorder="1" applyAlignment="1">
      <alignment horizontal="center" vertical="center" wrapText="1"/>
    </xf>
    <xf numFmtId="0" fontId="1" fillId="48" borderId="2" xfId="0" applyFont="1" applyFill="1" applyBorder="1" applyAlignment="1">
      <alignment horizontal="center" vertical="center" wrapText="1"/>
    </xf>
    <xf numFmtId="0" fontId="1" fillId="48" borderId="3" xfId="0" applyFont="1" applyFill="1" applyBorder="1" applyAlignment="1">
      <alignment horizontal="center" vertical="center" wrapText="1"/>
    </xf>
    <xf numFmtId="0" fontId="1" fillId="52" borderId="2" xfId="0" applyFont="1" applyFill="1" applyBorder="1" applyAlignment="1">
      <alignment horizontal="center" vertical="center" wrapText="1"/>
    </xf>
    <xf numFmtId="0" fontId="1" fillId="52" borderId="3" xfId="0" applyFont="1" applyFill="1" applyBorder="1" applyAlignment="1">
      <alignment horizontal="center" vertical="center" wrapText="1"/>
    </xf>
    <xf numFmtId="0" fontId="2" fillId="52" borderId="2" xfId="0" applyFont="1" applyFill="1" applyBorder="1" applyAlignment="1">
      <alignment horizontal="center" vertical="center" wrapText="1"/>
    </xf>
    <xf numFmtId="0" fontId="2" fillId="52" borderId="3" xfId="0" applyFont="1" applyFill="1" applyBorder="1" applyAlignment="1">
      <alignment horizontal="center" vertical="center" wrapText="1"/>
    </xf>
    <xf numFmtId="0" fontId="2" fillId="52" borderId="4" xfId="0" applyFont="1" applyFill="1" applyBorder="1" applyAlignment="1">
      <alignment horizontal="center" vertical="center" wrapText="1"/>
    </xf>
    <xf numFmtId="0" fontId="1" fillId="32"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2" fillId="40" borderId="1" xfId="0" applyFont="1" applyFill="1" applyBorder="1" applyAlignment="1">
      <alignment horizontal="center" vertical="center" wrapText="1"/>
    </xf>
    <xf numFmtId="0" fontId="1" fillId="47" borderId="4" xfId="0" applyFont="1" applyFill="1" applyBorder="1" applyAlignment="1">
      <alignment horizontal="center" vertical="center" wrapText="1"/>
    </xf>
    <xf numFmtId="0" fontId="2" fillId="47" borderId="4" xfId="0" applyFont="1" applyFill="1" applyBorder="1" applyAlignment="1">
      <alignment horizontal="center" vertical="center" wrapText="1"/>
    </xf>
    <xf numFmtId="0" fontId="1" fillId="50" borderId="2" xfId="0" applyFont="1" applyFill="1" applyBorder="1" applyAlignment="1">
      <alignment horizontal="center" vertical="center" wrapText="1"/>
    </xf>
    <xf numFmtId="0" fontId="1" fillId="50" borderId="3" xfId="0" applyFont="1" applyFill="1" applyBorder="1" applyAlignment="1">
      <alignment horizontal="center" vertical="center" wrapText="1"/>
    </xf>
    <xf numFmtId="0" fontId="1" fillId="44" borderId="3" xfId="0" applyFont="1" applyFill="1" applyBorder="1" applyAlignment="1">
      <alignment horizontal="center" vertical="center" wrapText="1"/>
    </xf>
    <xf numFmtId="0" fontId="2" fillId="52" borderId="1" xfId="0" applyFont="1" applyFill="1" applyBorder="1" applyAlignment="1">
      <alignment horizontal="center" vertical="center" wrapText="1"/>
    </xf>
    <xf numFmtId="0" fontId="1" fillId="50" borderId="4" xfId="0" applyFont="1" applyFill="1" applyBorder="1" applyAlignment="1">
      <alignment horizontal="center" vertical="center" wrapText="1"/>
    </xf>
    <xf numFmtId="0" fontId="3" fillId="50" borderId="2" xfId="0" applyFont="1" applyFill="1" applyBorder="1" applyAlignment="1">
      <alignment horizontal="center" vertical="center" wrapText="1"/>
    </xf>
    <xf numFmtId="0" fontId="3" fillId="50" borderId="3" xfId="0" applyFont="1" applyFill="1" applyBorder="1" applyAlignment="1">
      <alignment horizontal="center" vertical="center" wrapText="1"/>
    </xf>
    <xf numFmtId="0" fontId="3" fillId="50" borderId="4" xfId="0" applyFont="1" applyFill="1" applyBorder="1" applyAlignment="1">
      <alignment horizontal="center" vertical="center" wrapText="1"/>
    </xf>
    <xf numFmtId="0" fontId="1" fillId="40" borderId="2" xfId="0" applyFont="1" applyFill="1" applyBorder="1" applyAlignment="1">
      <alignment horizontal="center" vertical="center" wrapText="1"/>
    </xf>
    <xf numFmtId="0" fontId="1" fillId="40" borderId="3" xfId="0" applyFont="1" applyFill="1" applyBorder="1" applyAlignment="1">
      <alignment horizontal="center" vertical="center" wrapText="1"/>
    </xf>
    <xf numFmtId="0" fontId="11" fillId="60" borderId="5" xfId="0" applyFont="1" applyFill="1" applyBorder="1" applyAlignment="1">
      <alignment horizontal="center" vertical="center" wrapText="1"/>
    </xf>
    <xf numFmtId="0" fontId="11" fillId="60" borderId="0" xfId="0" applyFont="1" applyFill="1" applyAlignment="1">
      <alignment horizontal="center" vertical="center" wrapText="1"/>
    </xf>
    <xf numFmtId="0" fontId="13" fillId="59" borderId="5" xfId="0" applyFont="1" applyFill="1" applyBorder="1" applyAlignment="1">
      <alignment horizontal="center" vertical="center" wrapText="1"/>
    </xf>
    <xf numFmtId="0" fontId="13" fillId="59" borderId="0" xfId="0" applyFont="1" applyFill="1" applyAlignment="1">
      <alignment horizontal="center" vertical="center" wrapText="1"/>
    </xf>
    <xf numFmtId="0" fontId="2" fillId="60" borderId="5" xfId="0" applyFont="1" applyFill="1" applyBorder="1" applyAlignment="1">
      <alignment horizontal="center" vertical="center" wrapText="1"/>
    </xf>
    <xf numFmtId="0" fontId="2" fillId="60" borderId="0" xfId="0" applyFont="1" applyFill="1" applyAlignment="1">
      <alignment horizontal="center" vertical="center" wrapText="1"/>
    </xf>
    <xf numFmtId="0" fontId="3" fillId="50" borderId="1" xfId="0" applyFont="1" applyFill="1" applyBorder="1" applyAlignment="1">
      <alignment horizontal="center" vertical="center" wrapText="1"/>
    </xf>
    <xf numFmtId="0" fontId="2" fillId="48" borderId="4" xfId="0" applyFont="1" applyFill="1" applyBorder="1" applyAlignment="1">
      <alignment horizontal="center" vertical="center" wrapText="1"/>
    </xf>
    <xf numFmtId="0" fontId="15" fillId="0" borderId="14" xfId="0" applyFont="1" applyBorder="1" applyAlignment="1">
      <alignment horizontal="justify" vertical="center" wrapText="1"/>
    </xf>
    <xf numFmtId="0" fontId="15" fillId="0" borderId="9" xfId="0" applyFont="1" applyBorder="1" applyAlignment="1">
      <alignment horizontal="justify" vertical="center" wrapText="1"/>
    </xf>
    <xf numFmtId="0" fontId="15" fillId="0" borderId="15" xfId="0" applyFont="1" applyBorder="1" applyAlignment="1">
      <alignment horizontal="justify" vertical="center" wrapText="1"/>
    </xf>
  </cellXfs>
  <cellStyles count="3">
    <cellStyle name="Normal" xfId="0" builtinId="0"/>
    <cellStyle name="Normal 2" xfId="1" xr:uid="{00000000-0005-0000-0000-000001000000}"/>
    <cellStyle name="Normal 3" xfId="2" xr:uid="{9800D664-3B4F-4588-A154-9B6F531FEE6B}"/>
  </cellStyles>
  <dxfs count="10">
    <dxf>
      <fill>
        <patternFill>
          <bgColor rgb="FF00B0F0"/>
        </patternFill>
      </fill>
    </dxf>
    <dxf>
      <fill>
        <patternFill>
          <bgColor rgb="FFFF0000"/>
        </patternFill>
      </fill>
    </dxf>
    <dxf>
      <font>
        <color theme="0"/>
      </font>
      <fill>
        <patternFill>
          <bgColor rgb="FFFF0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fgColor rgb="FF4472C4"/>
          <bgColor rgb="FF000000"/>
        </patternFill>
      </fill>
    </dxf>
  </dxfs>
  <tableStyles count="0" defaultTableStyle="TableStyleMedium2" defaultPivotStyle="PivotStyleLight16"/>
  <colors>
    <mruColors>
      <color rgb="FF66FF33"/>
      <color rgb="FFD94E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361950</xdr:colOff>
      <xdr:row>139</xdr:row>
      <xdr:rowOff>114300</xdr:rowOff>
    </xdr:from>
    <xdr:to>
      <xdr:col>7</xdr:col>
      <xdr:colOff>390525</xdr:colOff>
      <xdr:row>139</xdr:row>
      <xdr:rowOff>228600</xdr:rowOff>
    </xdr:to>
    <xdr:grpSp>
      <xdr:nvGrpSpPr>
        <xdr:cNvPr id="7173" name="Group 358">
          <a:extLst>
            <a:ext uri="{FF2B5EF4-FFF2-40B4-BE49-F238E27FC236}">
              <a16:creationId xmlns:a16="http://schemas.microsoft.com/office/drawing/2014/main" id="{53BA866D-AF71-1F7F-8CB6-78C119A4A222}"/>
            </a:ext>
          </a:extLst>
        </xdr:cNvPr>
        <xdr:cNvGrpSpPr>
          <a:grpSpLocks/>
        </xdr:cNvGrpSpPr>
      </xdr:nvGrpSpPr>
      <xdr:grpSpPr bwMode="auto">
        <a:xfrm>
          <a:off x="22642830" y="29771340"/>
          <a:ext cx="28575" cy="99060"/>
          <a:chOff x="0" y="0"/>
          <a:chExt cx="29209" cy="116205"/>
        </a:xfrm>
      </xdr:grpSpPr>
      <xdr:sp macro="" textlink="">
        <xdr:nvSpPr>
          <xdr:cNvPr id="7176" name="Graphic 359">
            <a:extLst>
              <a:ext uri="{FF2B5EF4-FFF2-40B4-BE49-F238E27FC236}">
                <a16:creationId xmlns:a16="http://schemas.microsoft.com/office/drawing/2014/main" id="{12615FCD-A817-8032-1049-40918952B4F6}"/>
              </a:ext>
            </a:extLst>
          </xdr:cNvPr>
          <xdr:cNvSpPr>
            <a:spLocks/>
          </xdr:cNvSpPr>
        </xdr:nvSpPr>
        <xdr:spPr bwMode="auto">
          <a:xfrm>
            <a:off x="0" y="0"/>
            <a:ext cx="29209" cy="116205"/>
          </a:xfrm>
          <a:custGeom>
            <a:avLst/>
            <a:gdLst>
              <a:gd name="T0" fmla="*/ 28955 w 29209"/>
              <a:gd name="T1" fmla="*/ 0 h 116205"/>
              <a:gd name="T2" fmla="*/ 0 w 29209"/>
              <a:gd name="T3" fmla="*/ 0 h 116205"/>
              <a:gd name="T4" fmla="*/ 0 w 29209"/>
              <a:gd name="T5" fmla="*/ 116128 h 116205"/>
              <a:gd name="T6" fmla="*/ 28955 w 29209"/>
              <a:gd name="T7" fmla="*/ 116128 h 116205"/>
              <a:gd name="T8" fmla="*/ 28955 w 29209"/>
              <a:gd name="T9" fmla="*/ 0 h 116205"/>
            </a:gdLst>
            <a:ahLst/>
            <a:cxnLst>
              <a:cxn ang="0">
                <a:pos x="T0" y="T1"/>
              </a:cxn>
              <a:cxn ang="0">
                <a:pos x="T2" y="T3"/>
              </a:cxn>
              <a:cxn ang="0">
                <a:pos x="T4" y="T5"/>
              </a:cxn>
              <a:cxn ang="0">
                <a:pos x="T6" y="T7"/>
              </a:cxn>
              <a:cxn ang="0">
                <a:pos x="T8" y="T9"/>
              </a:cxn>
            </a:cxnLst>
            <a:rect l="0" t="0" r="r" b="b"/>
            <a:pathLst>
              <a:path w="29209" h="116205">
                <a:moveTo>
                  <a:pt x="28955" y="0"/>
                </a:moveTo>
                <a:lnTo>
                  <a:pt x="0" y="0"/>
                </a:lnTo>
                <a:lnTo>
                  <a:pt x="0" y="116128"/>
                </a:lnTo>
                <a:lnTo>
                  <a:pt x="28955" y="116128"/>
                </a:lnTo>
                <a:lnTo>
                  <a:pt x="28955" y="0"/>
                </a:lnTo>
                <a:close/>
              </a:path>
            </a:pathLst>
          </a:custGeom>
          <a:solidFill>
            <a:srgbClr val="FFFF00"/>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twoCellAnchor>
    <xdr:from>
      <xdr:col>8</xdr:col>
      <xdr:colOff>152400</xdr:colOff>
      <xdr:row>448</xdr:row>
      <xdr:rowOff>114300</xdr:rowOff>
    </xdr:from>
    <xdr:to>
      <xdr:col>8</xdr:col>
      <xdr:colOff>180975</xdr:colOff>
      <xdr:row>448</xdr:row>
      <xdr:rowOff>228600</xdr:rowOff>
    </xdr:to>
    <xdr:grpSp>
      <xdr:nvGrpSpPr>
        <xdr:cNvPr id="7174" name="Group 360">
          <a:extLst>
            <a:ext uri="{FF2B5EF4-FFF2-40B4-BE49-F238E27FC236}">
              <a16:creationId xmlns:a16="http://schemas.microsoft.com/office/drawing/2014/main" id="{9D61A266-973E-E4A3-B89D-6313DBB35F87}"/>
            </a:ext>
          </a:extLst>
        </xdr:cNvPr>
        <xdr:cNvGrpSpPr>
          <a:grpSpLocks/>
        </xdr:cNvGrpSpPr>
      </xdr:nvGrpSpPr>
      <xdr:grpSpPr bwMode="auto">
        <a:xfrm>
          <a:off x="23225760" y="95699580"/>
          <a:ext cx="28575" cy="99060"/>
          <a:chOff x="0" y="0"/>
          <a:chExt cx="27940" cy="117475"/>
        </a:xfrm>
      </xdr:grpSpPr>
      <xdr:sp macro="" textlink="">
        <xdr:nvSpPr>
          <xdr:cNvPr id="7175" name="Graphic 361">
            <a:extLst>
              <a:ext uri="{FF2B5EF4-FFF2-40B4-BE49-F238E27FC236}">
                <a16:creationId xmlns:a16="http://schemas.microsoft.com/office/drawing/2014/main" id="{DD817DB7-9E79-0C35-C46D-9BC2663BAD7D}"/>
              </a:ext>
            </a:extLst>
          </xdr:cNvPr>
          <xdr:cNvSpPr>
            <a:spLocks/>
          </xdr:cNvSpPr>
        </xdr:nvSpPr>
        <xdr:spPr bwMode="auto">
          <a:xfrm>
            <a:off x="0" y="0"/>
            <a:ext cx="27940" cy="117475"/>
          </a:xfrm>
          <a:custGeom>
            <a:avLst/>
            <a:gdLst>
              <a:gd name="T0" fmla="*/ 27432 w 27940"/>
              <a:gd name="T1" fmla="*/ 0 h 117475"/>
              <a:gd name="T2" fmla="*/ 0 w 27940"/>
              <a:gd name="T3" fmla="*/ 0 h 117475"/>
              <a:gd name="T4" fmla="*/ 0 w 27940"/>
              <a:gd name="T5" fmla="*/ 117348 h 117475"/>
              <a:gd name="T6" fmla="*/ 27432 w 27940"/>
              <a:gd name="T7" fmla="*/ 117348 h 117475"/>
              <a:gd name="T8" fmla="*/ 27432 w 27940"/>
              <a:gd name="T9" fmla="*/ 0 h 117475"/>
            </a:gdLst>
            <a:ahLst/>
            <a:cxnLst>
              <a:cxn ang="0">
                <a:pos x="T0" y="T1"/>
              </a:cxn>
              <a:cxn ang="0">
                <a:pos x="T2" y="T3"/>
              </a:cxn>
              <a:cxn ang="0">
                <a:pos x="T4" y="T5"/>
              </a:cxn>
              <a:cxn ang="0">
                <a:pos x="T6" y="T7"/>
              </a:cxn>
              <a:cxn ang="0">
                <a:pos x="T8" y="T9"/>
              </a:cxn>
            </a:cxnLst>
            <a:rect l="0" t="0" r="r" b="b"/>
            <a:pathLst>
              <a:path w="27940" h="117475">
                <a:moveTo>
                  <a:pt x="27432" y="0"/>
                </a:moveTo>
                <a:lnTo>
                  <a:pt x="0" y="0"/>
                </a:lnTo>
                <a:lnTo>
                  <a:pt x="0" y="117348"/>
                </a:lnTo>
                <a:lnTo>
                  <a:pt x="27432" y="117348"/>
                </a:lnTo>
                <a:lnTo>
                  <a:pt x="27432" y="0"/>
                </a:lnTo>
                <a:close/>
              </a:path>
            </a:pathLst>
          </a:custGeom>
          <a:solidFill>
            <a:srgbClr val="FFFF00"/>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ua22\Documents\Ecatepec\Control-de-Presupuesto2.github.io\sql\EST.%20PROGRAMATICA%20%202026.xlsx" TargetMode="External"/><Relationship Id="rId1" Type="http://schemas.openxmlformats.org/officeDocument/2006/relationships/externalLinkPath" Target="EST.%20PROGRAMATICA%20%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VA. EST. PROGRAMATICA 2026"/>
      <sheetName val="Hoja2"/>
      <sheetName val="ESTRUCTURA 2026"/>
      <sheetName val="Objetivo"/>
      <sheetName val="Ob, Nuevos"/>
      <sheetName val="Pp y Py 2026"/>
      <sheetName val="GACETA"/>
      <sheetName val="GACETA 1"/>
      <sheetName val="Hoja3"/>
      <sheetName val="GACETA 2"/>
      <sheetName val="Hoja1"/>
      <sheetName val="GACETA 3"/>
      <sheetName val="GACETA 4"/>
      <sheetName val="Hoja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97"/>
  <sheetViews>
    <sheetView zoomScale="130" zoomScaleNormal="130" workbookViewId="0">
      <pane xSplit="2" ySplit="1" topLeftCell="D372" activePane="bottomRight" state="frozen"/>
      <selection activeCell="A3" sqref="A3"/>
      <selection pane="topRight" activeCell="C3" sqref="C3"/>
      <selection pane="bottomLeft" activeCell="A4" sqref="A4"/>
      <selection pane="bottomRight" activeCell="O374" sqref="O374"/>
    </sheetView>
  </sheetViews>
  <sheetFormatPr baseColWidth="10" defaultColWidth="11.44140625" defaultRowHeight="15" x14ac:dyDescent="0.3"/>
  <cols>
    <col min="1" max="1" width="7.44140625" style="92" customWidth="1"/>
    <col min="2" max="2" width="47.6640625" style="92" customWidth="1"/>
    <col min="3" max="7" width="4.6640625" style="92" bestFit="1" customWidth="1"/>
    <col min="8" max="8" width="4.6640625" style="92" hidden="1" customWidth="1"/>
    <col min="9" max="9" width="9.33203125" style="92" bestFit="1" customWidth="1"/>
    <col min="10" max="10" width="9.33203125" style="92" customWidth="1"/>
    <col min="11" max="11" width="12.44140625" style="92" bestFit="1" customWidth="1"/>
    <col min="12" max="12" width="12.44140625" style="92" customWidth="1"/>
    <col min="13" max="13" width="14.109375" style="92" bestFit="1" customWidth="1"/>
    <col min="14" max="14" width="7.88671875" style="92" customWidth="1"/>
    <col min="15" max="15" width="31.33203125" style="92" bestFit="1" customWidth="1"/>
    <col min="16" max="17" width="32.6640625" style="92" customWidth="1"/>
    <col min="18" max="18" width="67.6640625" style="92" customWidth="1"/>
    <col min="19" max="19" width="16.33203125" style="92" customWidth="1"/>
    <col min="20" max="20" width="24" style="92" customWidth="1"/>
    <col min="21" max="23" width="15.88671875" style="92" customWidth="1"/>
    <col min="24" max="16384" width="11.44140625" style="92"/>
  </cols>
  <sheetData>
    <row r="1" spans="1:20" ht="21" customHeight="1" x14ac:dyDescent="0.3">
      <c r="A1" s="28" t="s">
        <v>44</v>
      </c>
      <c r="B1" s="29" t="s">
        <v>24</v>
      </c>
      <c r="C1" s="30" t="s">
        <v>64</v>
      </c>
      <c r="D1" s="30" t="s">
        <v>65</v>
      </c>
      <c r="E1" s="30" t="s">
        <v>66</v>
      </c>
      <c r="F1" s="30" t="s">
        <v>67</v>
      </c>
      <c r="G1" s="30" t="s">
        <v>68</v>
      </c>
      <c r="H1" s="30" t="s">
        <v>69</v>
      </c>
      <c r="I1" s="30" t="s">
        <v>44</v>
      </c>
      <c r="J1" s="30"/>
      <c r="K1" s="30" t="s">
        <v>70</v>
      </c>
      <c r="L1" s="30"/>
      <c r="M1" s="30"/>
      <c r="N1" s="30"/>
      <c r="O1" s="30"/>
      <c r="P1" s="30" t="s">
        <v>71</v>
      </c>
      <c r="Q1" s="30" t="s">
        <v>72</v>
      </c>
      <c r="R1" s="31" t="s">
        <v>73</v>
      </c>
      <c r="S1" s="31" t="s">
        <v>74</v>
      </c>
      <c r="T1" s="31" t="s">
        <v>75</v>
      </c>
    </row>
    <row r="2" spans="1:20" ht="30" x14ac:dyDescent="0.3">
      <c r="A2" s="304" t="s">
        <v>45</v>
      </c>
      <c r="B2" s="264" t="s">
        <v>9</v>
      </c>
      <c r="C2" s="33" t="s">
        <v>829</v>
      </c>
      <c r="D2" s="33" t="s">
        <v>830</v>
      </c>
      <c r="E2" s="33" t="s">
        <v>831</v>
      </c>
      <c r="F2" s="33" t="s">
        <v>832</v>
      </c>
      <c r="G2" s="33" t="s">
        <v>829</v>
      </c>
      <c r="H2" s="33" t="s">
        <v>829</v>
      </c>
      <c r="I2" s="3" t="s">
        <v>45</v>
      </c>
      <c r="J2" s="3"/>
      <c r="K2" s="3">
        <v>155</v>
      </c>
      <c r="L2" s="3" t="str">
        <f>VLOOKUP(K2,'GACETA 3'!E2:$F$75,2,0)</f>
        <v>Área Jurídica</v>
      </c>
      <c r="M2" s="3" t="str">
        <f>CONCATENATE(C2,D2,E2,F2,G2)</f>
        <v>0103090201</v>
      </c>
      <c r="N2" s="3" t="str">
        <f>VLOOKUP(M2,GACETA!$A$1:$C$186,3,0)</f>
        <v>M</v>
      </c>
      <c r="O2" s="3" t="str">
        <f>VLOOKUP(M2,GACETA!$A$1:$C$186,2,0)</f>
        <v>Revisión y emisión de la reglamentación municipal</v>
      </c>
      <c r="P2" s="299" t="s">
        <v>95</v>
      </c>
      <c r="Q2" s="299" t="s">
        <v>96</v>
      </c>
      <c r="R2" s="147" t="s">
        <v>97</v>
      </c>
      <c r="S2" s="7" t="s">
        <v>86</v>
      </c>
      <c r="T2" s="7" t="s">
        <v>98</v>
      </c>
    </row>
    <row r="3" spans="1:20" ht="30" x14ac:dyDescent="0.3">
      <c r="A3" s="305"/>
      <c r="B3" s="265"/>
      <c r="C3" s="33" t="s">
        <v>829</v>
      </c>
      <c r="D3" s="33" t="s">
        <v>830</v>
      </c>
      <c r="E3" s="33" t="s">
        <v>831</v>
      </c>
      <c r="F3" s="33" t="s">
        <v>832</v>
      </c>
      <c r="G3" s="33" t="s">
        <v>829</v>
      </c>
      <c r="H3" s="33" t="s">
        <v>829</v>
      </c>
      <c r="I3" s="3" t="s">
        <v>45</v>
      </c>
      <c r="J3" s="3"/>
      <c r="K3" s="3">
        <v>155</v>
      </c>
      <c r="L3" s="3" t="str">
        <f>VLOOKUP(K3,'GACETA 3'!E3:$F$75,2,0)</f>
        <v>Área Jurídica</v>
      </c>
      <c r="M3" s="3" t="str">
        <f t="shared" ref="M3:M66" si="0">CONCATENATE(C3,D3,E3,F3,G3)</f>
        <v>0103090201</v>
      </c>
      <c r="N3" s="3" t="str">
        <f>VLOOKUP(M3,GACETA!$A$1:$C$186,3,0)</f>
        <v>M</v>
      </c>
      <c r="O3" s="3" t="str">
        <f>VLOOKUP(M3,GACETA!$A$1:$C$186,2,0)</f>
        <v>Revisión y emisión de la reglamentación municipal</v>
      </c>
      <c r="P3" s="299"/>
      <c r="Q3" s="299"/>
      <c r="R3" s="147" t="s">
        <v>99</v>
      </c>
      <c r="S3" s="7" t="s">
        <v>86</v>
      </c>
      <c r="T3" s="7" t="s">
        <v>100</v>
      </c>
    </row>
    <row r="4" spans="1:20" ht="30" x14ac:dyDescent="0.3">
      <c r="A4" s="305"/>
      <c r="B4" s="265"/>
      <c r="C4" s="33" t="s">
        <v>829</v>
      </c>
      <c r="D4" s="33" t="s">
        <v>830</v>
      </c>
      <c r="E4" s="33" t="s">
        <v>831</v>
      </c>
      <c r="F4" s="33" t="s">
        <v>832</v>
      </c>
      <c r="G4" s="33" t="s">
        <v>829</v>
      </c>
      <c r="H4" s="33" t="s">
        <v>829</v>
      </c>
      <c r="I4" s="3" t="s">
        <v>45</v>
      </c>
      <c r="J4" s="3"/>
      <c r="K4" s="3">
        <v>155</v>
      </c>
      <c r="L4" s="3" t="str">
        <f>VLOOKUP(K4,'GACETA 3'!E4:$F$75,2,0)</f>
        <v>Área Jurídica</v>
      </c>
      <c r="M4" s="3" t="str">
        <f t="shared" si="0"/>
        <v>0103090201</v>
      </c>
      <c r="N4" s="3" t="str">
        <f>VLOOKUP(M4,GACETA!$A$1:$C$186,3,0)</f>
        <v>M</v>
      </c>
      <c r="O4" s="3" t="str">
        <f>VLOOKUP(M4,GACETA!$A$1:$C$186,2,0)</f>
        <v>Revisión y emisión de la reglamentación municipal</v>
      </c>
      <c r="P4" s="299"/>
      <c r="Q4" s="299"/>
      <c r="R4" s="147" t="s">
        <v>101</v>
      </c>
      <c r="S4" s="7" t="s">
        <v>86</v>
      </c>
      <c r="T4" s="7" t="s">
        <v>102</v>
      </c>
    </row>
    <row r="5" spans="1:20" ht="34.5" customHeight="1" x14ac:dyDescent="0.3">
      <c r="A5" s="305"/>
      <c r="B5" s="265"/>
      <c r="C5" s="33" t="s">
        <v>829</v>
      </c>
      <c r="D5" s="33" t="s">
        <v>830</v>
      </c>
      <c r="E5" s="33" t="s">
        <v>831</v>
      </c>
      <c r="F5" s="33" t="s">
        <v>832</v>
      </c>
      <c r="G5" s="33" t="s">
        <v>829</v>
      </c>
      <c r="H5" s="61" t="s">
        <v>829</v>
      </c>
      <c r="I5" s="3" t="s">
        <v>45</v>
      </c>
      <c r="J5" s="3"/>
      <c r="K5" s="3">
        <v>155</v>
      </c>
      <c r="L5" s="3" t="str">
        <f>VLOOKUP(K5,'GACETA 3'!E5:$F$75,2,0)</f>
        <v>Área Jurídica</v>
      </c>
      <c r="M5" s="3" t="str">
        <f t="shared" si="0"/>
        <v>0103090201</v>
      </c>
      <c r="N5" s="3" t="str">
        <f>VLOOKUP(M5,GACETA!$A$1:$C$186,3,0)</f>
        <v>M</v>
      </c>
      <c r="O5" s="3" t="str">
        <f>VLOOKUP(M5,GACETA!$A$1:$C$186,2,0)</f>
        <v>Revisión y emisión de la reglamentación municipal</v>
      </c>
      <c r="P5" s="299"/>
      <c r="Q5" s="299"/>
      <c r="R5" s="147" t="s">
        <v>103</v>
      </c>
      <c r="S5" s="7" t="s">
        <v>86</v>
      </c>
      <c r="T5" s="7" t="s">
        <v>104</v>
      </c>
    </row>
    <row r="6" spans="1:20" ht="45" x14ac:dyDescent="0.3">
      <c r="A6" s="305"/>
      <c r="B6" s="265"/>
      <c r="C6" s="33" t="s">
        <v>829</v>
      </c>
      <c r="D6" s="33" t="s">
        <v>833</v>
      </c>
      <c r="E6" s="33" t="s">
        <v>832</v>
      </c>
      <c r="F6" s="33" t="s">
        <v>835</v>
      </c>
      <c r="G6" s="33" t="s">
        <v>835</v>
      </c>
      <c r="H6" s="61"/>
      <c r="I6" s="3" t="s">
        <v>45</v>
      </c>
      <c r="J6" s="3"/>
      <c r="K6" s="3">
        <v>114</v>
      </c>
      <c r="L6" s="3" t="str">
        <f>VLOOKUP(K6,'GACETA 3'!E6:$F$75,2,0)</f>
        <v>Control Patrimonial</v>
      </c>
      <c r="M6" s="3" t="str">
        <f t="shared" si="0"/>
        <v>0105020606</v>
      </c>
      <c r="N6" s="3" t="str">
        <f>VLOOKUP(M6,GACETA!$A$1:$C$186,3,0)</f>
        <v>M</v>
      </c>
      <c r="O6" s="3" t="str">
        <f>VLOOKUP(M6,GACETA!$A$1:$C$186,2,0)</f>
        <v>Control del patrimonio y normatividad</v>
      </c>
      <c r="P6" s="299" t="s">
        <v>164</v>
      </c>
      <c r="Q6" s="299" t="s">
        <v>106</v>
      </c>
      <c r="R6" s="147" t="s">
        <v>107</v>
      </c>
      <c r="S6" s="7" t="s">
        <v>86</v>
      </c>
      <c r="T6" s="7" t="s">
        <v>108</v>
      </c>
    </row>
    <row r="7" spans="1:20" ht="45" x14ac:dyDescent="0.3">
      <c r="A7" s="305"/>
      <c r="B7" s="265"/>
      <c r="C7" s="33" t="s">
        <v>829</v>
      </c>
      <c r="D7" s="33" t="s">
        <v>833</v>
      </c>
      <c r="E7" s="33" t="s">
        <v>832</v>
      </c>
      <c r="F7" s="33" t="s">
        <v>835</v>
      </c>
      <c r="G7" s="33" t="s">
        <v>835</v>
      </c>
      <c r="H7" s="61"/>
      <c r="I7" s="3" t="s">
        <v>45</v>
      </c>
      <c r="J7" s="3"/>
      <c r="K7" s="3">
        <v>114</v>
      </c>
      <c r="L7" s="3" t="str">
        <f>VLOOKUP(K7,'GACETA 3'!E7:$F$75,2,0)</f>
        <v>Control Patrimonial</v>
      </c>
      <c r="M7" s="3" t="str">
        <f t="shared" si="0"/>
        <v>0105020606</v>
      </c>
      <c r="N7" s="3" t="str">
        <f>VLOOKUP(M7,GACETA!$A$1:$C$186,3,0)</f>
        <v>M</v>
      </c>
      <c r="O7" s="3" t="str">
        <f>VLOOKUP(M7,GACETA!$A$1:$C$186,2,0)</f>
        <v>Control del patrimonio y normatividad</v>
      </c>
      <c r="P7" s="299"/>
      <c r="Q7" s="299"/>
      <c r="R7" s="147" t="s">
        <v>109</v>
      </c>
      <c r="S7" s="7" t="s">
        <v>86</v>
      </c>
      <c r="T7" s="7" t="s">
        <v>110</v>
      </c>
    </row>
    <row r="8" spans="1:20" ht="45" x14ac:dyDescent="0.3">
      <c r="A8" s="305"/>
      <c r="B8" s="265"/>
      <c r="C8" s="33" t="s">
        <v>829</v>
      </c>
      <c r="D8" s="33" t="s">
        <v>833</v>
      </c>
      <c r="E8" s="33" t="s">
        <v>832</v>
      </c>
      <c r="F8" s="33" t="s">
        <v>835</v>
      </c>
      <c r="G8" s="33" t="s">
        <v>835</v>
      </c>
      <c r="H8" s="61"/>
      <c r="I8" s="3" t="s">
        <v>45</v>
      </c>
      <c r="J8" s="3"/>
      <c r="K8" s="3">
        <v>114</v>
      </c>
      <c r="L8" s="3" t="str">
        <f>VLOOKUP(K8,'GACETA 3'!E8:$F$75,2,0)</f>
        <v>Control Patrimonial</v>
      </c>
      <c r="M8" s="3" t="str">
        <f t="shared" si="0"/>
        <v>0105020606</v>
      </c>
      <c r="N8" s="3" t="str">
        <f>VLOOKUP(M8,GACETA!$A$1:$C$186,3,0)</f>
        <v>M</v>
      </c>
      <c r="O8" s="3" t="str">
        <f>VLOOKUP(M8,GACETA!$A$1:$C$186,2,0)</f>
        <v>Control del patrimonio y normatividad</v>
      </c>
      <c r="P8" s="299"/>
      <c r="Q8" s="299"/>
      <c r="R8" s="62" t="s">
        <v>974</v>
      </c>
      <c r="S8" s="62" t="s">
        <v>86</v>
      </c>
      <c r="T8" s="62" t="s">
        <v>975</v>
      </c>
    </row>
    <row r="9" spans="1:20" ht="45" x14ac:dyDescent="0.3">
      <c r="A9" s="305"/>
      <c r="B9" s="265"/>
      <c r="C9" s="33" t="s">
        <v>829</v>
      </c>
      <c r="D9" s="33" t="s">
        <v>830</v>
      </c>
      <c r="E9" s="33" t="s">
        <v>831</v>
      </c>
      <c r="F9" s="33" t="s">
        <v>830</v>
      </c>
      <c r="G9" s="33" t="s">
        <v>829</v>
      </c>
      <c r="H9" s="61"/>
      <c r="I9" s="3" t="s">
        <v>45</v>
      </c>
      <c r="J9" s="3"/>
      <c r="K9" s="3">
        <v>108</v>
      </c>
      <c r="L9" s="3" t="str">
        <f>VLOOKUP(K9,'GACETA 3'!$E$9:$F$75,2,0)</f>
        <v>Juzgados Cívicos</v>
      </c>
      <c r="M9" s="3" t="str">
        <f t="shared" si="0"/>
        <v>0103090301</v>
      </c>
      <c r="N9" s="3" t="str">
        <f>VLOOKUP(M9,GACETA!$A$1:$C$186,3,0)</f>
        <v>L</v>
      </c>
      <c r="O9" s="3" t="str">
        <f>VLOOKUP(M9,GACETA!$A$1:$C$186,2,0)</f>
        <v xml:space="preserve">Mediación, conciliación y función calificadora municipal </v>
      </c>
      <c r="P9" s="300" t="s">
        <v>968</v>
      </c>
      <c r="Q9" s="300" t="s">
        <v>113</v>
      </c>
      <c r="R9" s="147" t="s">
        <v>114</v>
      </c>
      <c r="S9" s="7" t="s">
        <v>86</v>
      </c>
      <c r="T9" s="7" t="s">
        <v>115</v>
      </c>
    </row>
    <row r="10" spans="1:20" ht="45" x14ac:dyDescent="0.3">
      <c r="A10" s="305"/>
      <c r="B10" s="265"/>
      <c r="C10" s="33" t="s">
        <v>829</v>
      </c>
      <c r="D10" s="33" t="s">
        <v>830</v>
      </c>
      <c r="E10" s="33" t="s">
        <v>831</v>
      </c>
      <c r="F10" s="33" t="s">
        <v>830</v>
      </c>
      <c r="G10" s="33" t="s">
        <v>829</v>
      </c>
      <c r="H10" s="61"/>
      <c r="I10" s="3" t="s">
        <v>45</v>
      </c>
      <c r="J10" s="3"/>
      <c r="K10" s="3">
        <v>108</v>
      </c>
      <c r="L10" s="3" t="str">
        <f>VLOOKUP(K10,'GACETA 3'!$E$9:$F$75,2,0)</f>
        <v>Juzgados Cívicos</v>
      </c>
      <c r="M10" s="3" t="str">
        <f t="shared" si="0"/>
        <v>0103090301</v>
      </c>
      <c r="N10" s="3" t="str">
        <f>VLOOKUP(M10,GACETA!$A$1:$C$186,3,0)</f>
        <v>L</v>
      </c>
      <c r="O10" s="3" t="str">
        <f>VLOOKUP(M10,GACETA!$A$1:$C$186,2,0)</f>
        <v xml:space="preserve">Mediación, conciliación y función calificadora municipal </v>
      </c>
      <c r="P10" s="300"/>
      <c r="Q10" s="300"/>
      <c r="R10" s="147" t="s">
        <v>116</v>
      </c>
      <c r="S10" s="7" t="s">
        <v>86</v>
      </c>
      <c r="T10" s="7" t="s">
        <v>117</v>
      </c>
    </row>
    <row r="11" spans="1:20" ht="45" x14ac:dyDescent="0.3">
      <c r="A11" s="305"/>
      <c r="B11" s="265"/>
      <c r="C11" s="33" t="s">
        <v>829</v>
      </c>
      <c r="D11" s="33" t="s">
        <v>830</v>
      </c>
      <c r="E11" s="33" t="s">
        <v>831</v>
      </c>
      <c r="F11" s="33" t="s">
        <v>830</v>
      </c>
      <c r="G11" s="33" t="s">
        <v>829</v>
      </c>
      <c r="H11" s="61"/>
      <c r="I11" s="3" t="s">
        <v>45</v>
      </c>
      <c r="J11" s="3"/>
      <c r="K11" s="3">
        <v>108</v>
      </c>
      <c r="L11" s="3" t="str">
        <f>VLOOKUP(K11,'GACETA 3'!$E$9:$F$75,2,0)</f>
        <v>Juzgados Cívicos</v>
      </c>
      <c r="M11" s="3" t="str">
        <f t="shared" si="0"/>
        <v>0103090301</v>
      </c>
      <c r="N11" s="3" t="str">
        <f>VLOOKUP(M11,GACETA!$A$1:$C$186,3,0)</f>
        <v>L</v>
      </c>
      <c r="O11" s="3" t="str">
        <f>VLOOKUP(M11,GACETA!$A$1:$C$186,2,0)</f>
        <v xml:space="preserve">Mediación, conciliación y función calificadora municipal </v>
      </c>
      <c r="P11" s="300"/>
      <c r="Q11" s="300"/>
      <c r="R11" s="147" t="s">
        <v>118</v>
      </c>
      <c r="S11" s="7" t="s">
        <v>86</v>
      </c>
      <c r="T11" s="7" t="s">
        <v>119</v>
      </c>
    </row>
    <row r="12" spans="1:20" ht="45" x14ac:dyDescent="0.3">
      <c r="A12" s="305"/>
      <c r="B12" s="265"/>
      <c r="C12" s="33" t="s">
        <v>829</v>
      </c>
      <c r="D12" s="33" t="s">
        <v>830</v>
      </c>
      <c r="E12" s="33" t="s">
        <v>831</v>
      </c>
      <c r="F12" s="33" t="s">
        <v>830</v>
      </c>
      <c r="G12" s="33" t="s">
        <v>829</v>
      </c>
      <c r="H12" s="61"/>
      <c r="I12" s="3" t="s">
        <v>45</v>
      </c>
      <c r="J12" s="3"/>
      <c r="K12" s="3">
        <v>108</v>
      </c>
      <c r="L12" s="3" t="str">
        <f>VLOOKUP(K12,'GACETA 3'!$E$9:$F$75,2,0)</f>
        <v>Juzgados Cívicos</v>
      </c>
      <c r="M12" s="3" t="str">
        <f t="shared" si="0"/>
        <v>0103090301</v>
      </c>
      <c r="N12" s="3" t="str">
        <f>VLOOKUP(M12,GACETA!$A$1:$C$186,3,0)</f>
        <v>L</v>
      </c>
      <c r="O12" s="3" t="str">
        <f>VLOOKUP(M12,GACETA!$A$1:$C$186,2,0)</f>
        <v xml:space="preserve">Mediación, conciliación y función calificadora municipal </v>
      </c>
      <c r="P12" s="300"/>
      <c r="Q12" s="300"/>
      <c r="R12" s="147" t="s">
        <v>120</v>
      </c>
      <c r="S12" s="7" t="s">
        <v>86</v>
      </c>
      <c r="T12" s="7" t="s">
        <v>100</v>
      </c>
    </row>
    <row r="13" spans="1:20" ht="45" x14ac:dyDescent="0.3">
      <c r="A13" s="305"/>
      <c r="B13" s="265"/>
      <c r="C13" s="33" t="s">
        <v>829</v>
      </c>
      <c r="D13" s="33" t="s">
        <v>830</v>
      </c>
      <c r="E13" s="33" t="s">
        <v>831</v>
      </c>
      <c r="F13" s="33" t="s">
        <v>830</v>
      </c>
      <c r="G13" s="33" t="s">
        <v>829</v>
      </c>
      <c r="H13" s="61"/>
      <c r="I13" s="3" t="s">
        <v>45</v>
      </c>
      <c r="J13" s="3"/>
      <c r="K13" s="3">
        <v>108</v>
      </c>
      <c r="L13" s="3" t="str">
        <f>VLOOKUP(K13,'GACETA 3'!$E$9:$F$75,2,0)</f>
        <v>Juzgados Cívicos</v>
      </c>
      <c r="M13" s="3" t="str">
        <f t="shared" si="0"/>
        <v>0103090301</v>
      </c>
      <c r="N13" s="3" t="str">
        <f>VLOOKUP(M13,GACETA!$A$1:$C$186,3,0)</f>
        <v>L</v>
      </c>
      <c r="O13" s="3" t="str">
        <f>VLOOKUP(M13,GACETA!$A$1:$C$186,2,0)</f>
        <v xml:space="preserve">Mediación, conciliación y función calificadora municipal </v>
      </c>
      <c r="P13" s="300"/>
      <c r="Q13" s="300"/>
      <c r="R13" s="147" t="s">
        <v>121</v>
      </c>
      <c r="S13" s="7" t="s">
        <v>86</v>
      </c>
      <c r="T13" s="7" t="s">
        <v>122</v>
      </c>
    </row>
    <row r="14" spans="1:20" ht="45" x14ac:dyDescent="0.3">
      <c r="A14" s="305"/>
      <c r="B14" s="265"/>
      <c r="C14" s="33" t="s">
        <v>829</v>
      </c>
      <c r="D14" s="33" t="s">
        <v>830</v>
      </c>
      <c r="E14" s="33" t="s">
        <v>831</v>
      </c>
      <c r="F14" s="33" t="s">
        <v>830</v>
      </c>
      <c r="G14" s="33" t="s">
        <v>829</v>
      </c>
      <c r="H14" s="61"/>
      <c r="I14" s="3" t="s">
        <v>45</v>
      </c>
      <c r="J14" s="3"/>
      <c r="K14" s="3">
        <v>108</v>
      </c>
      <c r="L14" s="3" t="str">
        <f>VLOOKUP(K14,'GACETA 3'!$E$9:$F$75,2,0)</f>
        <v>Juzgados Cívicos</v>
      </c>
      <c r="M14" s="3" t="str">
        <f t="shared" si="0"/>
        <v>0103090301</v>
      </c>
      <c r="N14" s="3" t="str">
        <f>VLOOKUP(M14,GACETA!$A$1:$C$186,3,0)</f>
        <v>L</v>
      </c>
      <c r="O14" s="3" t="str">
        <f>VLOOKUP(M14,GACETA!$A$1:$C$186,2,0)</f>
        <v xml:space="preserve">Mediación, conciliación y función calificadora municipal </v>
      </c>
      <c r="P14" s="300"/>
      <c r="Q14" s="300"/>
      <c r="R14" s="147" t="s">
        <v>123</v>
      </c>
      <c r="S14" s="7" t="s">
        <v>86</v>
      </c>
      <c r="T14" s="7" t="s">
        <v>124</v>
      </c>
    </row>
    <row r="15" spans="1:20" ht="24.75" customHeight="1" x14ac:dyDescent="0.3">
      <c r="A15" s="305"/>
      <c r="B15" s="265"/>
      <c r="C15" s="33" t="s">
        <v>829</v>
      </c>
      <c r="D15" s="33" t="s">
        <v>830</v>
      </c>
      <c r="E15" s="33" t="s">
        <v>831</v>
      </c>
      <c r="F15" s="33" t="s">
        <v>830</v>
      </c>
      <c r="G15" s="33" t="s">
        <v>829</v>
      </c>
      <c r="H15" s="61"/>
      <c r="I15" s="3" t="s">
        <v>45</v>
      </c>
      <c r="J15" s="3"/>
      <c r="K15" s="3">
        <v>108</v>
      </c>
      <c r="L15" s="3" t="str">
        <f>VLOOKUP(K15,'GACETA 3'!$E$9:$F$75,2,0)</f>
        <v>Juzgados Cívicos</v>
      </c>
      <c r="M15" s="3" t="str">
        <f t="shared" si="0"/>
        <v>0103090301</v>
      </c>
      <c r="N15" s="3" t="str">
        <f>VLOOKUP(M15,GACETA!$A$1:$C$186,3,0)</f>
        <v>L</v>
      </c>
      <c r="O15" s="3" t="str">
        <f>VLOOKUP(M15,GACETA!$A$1:$C$186,2,0)</f>
        <v xml:space="preserve">Mediación, conciliación y función calificadora municipal </v>
      </c>
      <c r="P15" s="300"/>
      <c r="Q15" s="300"/>
      <c r="R15" s="147" t="s">
        <v>125</v>
      </c>
      <c r="S15" s="7" t="s">
        <v>86</v>
      </c>
      <c r="T15" s="7" t="s">
        <v>126</v>
      </c>
    </row>
    <row r="16" spans="1:20" ht="45" x14ac:dyDescent="0.3">
      <c r="A16" s="305"/>
      <c r="B16" s="265"/>
      <c r="C16" s="33" t="s">
        <v>829</v>
      </c>
      <c r="D16" s="33" t="s">
        <v>830</v>
      </c>
      <c r="E16" s="33" t="s">
        <v>831</v>
      </c>
      <c r="F16" s="33" t="s">
        <v>830</v>
      </c>
      <c r="G16" s="33" t="s">
        <v>829</v>
      </c>
      <c r="H16" s="61"/>
      <c r="I16" s="3" t="s">
        <v>45</v>
      </c>
      <c r="J16" s="3"/>
      <c r="K16" s="3">
        <v>108</v>
      </c>
      <c r="L16" s="3" t="str">
        <f>VLOOKUP(K16,'GACETA 3'!$E$9:$F$75,2,0)</f>
        <v>Juzgados Cívicos</v>
      </c>
      <c r="M16" s="3" t="str">
        <f t="shared" si="0"/>
        <v>0103090301</v>
      </c>
      <c r="N16" s="3" t="str">
        <f>VLOOKUP(M16,GACETA!$A$1:$C$186,3,0)</f>
        <v>L</v>
      </c>
      <c r="O16" s="3" t="str">
        <f>VLOOKUP(M16,GACETA!$A$1:$C$186,2,0)</f>
        <v xml:space="preserve">Mediación, conciliación y función calificadora municipal </v>
      </c>
      <c r="P16" s="300"/>
      <c r="Q16" s="300"/>
      <c r="R16" s="62" t="s">
        <v>972</v>
      </c>
      <c r="S16" s="62" t="s">
        <v>86</v>
      </c>
      <c r="T16" s="62" t="s">
        <v>340</v>
      </c>
    </row>
    <row r="17" spans="1:20" ht="45" x14ac:dyDescent="0.3">
      <c r="A17" s="305"/>
      <c r="B17" s="265"/>
      <c r="C17" s="33" t="s">
        <v>829</v>
      </c>
      <c r="D17" s="33" t="s">
        <v>830</v>
      </c>
      <c r="E17" s="33" t="s">
        <v>831</v>
      </c>
      <c r="F17" s="33" t="s">
        <v>830</v>
      </c>
      <c r="G17" s="33" t="s">
        <v>829</v>
      </c>
      <c r="H17" s="61"/>
      <c r="I17" s="3" t="s">
        <v>45</v>
      </c>
      <c r="J17" s="3"/>
      <c r="K17" s="3">
        <v>108</v>
      </c>
      <c r="L17" s="3" t="str">
        <f>VLOOKUP(K17,'GACETA 3'!$E$9:$F$75,2,0)</f>
        <v>Juzgados Cívicos</v>
      </c>
      <c r="M17" s="3" t="str">
        <f t="shared" si="0"/>
        <v>0103090301</v>
      </c>
      <c r="N17" s="3" t="str">
        <f>VLOOKUP(M17,GACETA!$A$1:$C$186,3,0)</f>
        <v>L</v>
      </c>
      <c r="O17" s="3" t="str">
        <f>VLOOKUP(M17,GACETA!$A$1:$C$186,2,0)</f>
        <v xml:space="preserve">Mediación, conciliación y función calificadora municipal </v>
      </c>
      <c r="P17" s="300"/>
      <c r="Q17" s="300"/>
      <c r="R17" s="62" t="s">
        <v>973</v>
      </c>
      <c r="S17" s="62" t="s">
        <v>86</v>
      </c>
      <c r="T17" s="62" t="s">
        <v>181</v>
      </c>
    </row>
    <row r="18" spans="1:20" ht="30" x14ac:dyDescent="0.3">
      <c r="A18" s="89"/>
      <c r="B18" s="78"/>
      <c r="C18" s="33" t="s">
        <v>829</v>
      </c>
      <c r="D18" s="33" t="s">
        <v>834</v>
      </c>
      <c r="E18" s="33" t="s">
        <v>829</v>
      </c>
      <c r="F18" s="33" t="s">
        <v>829</v>
      </c>
      <c r="G18" s="33" t="s">
        <v>832</v>
      </c>
      <c r="H18" s="61"/>
      <c r="I18" s="3" t="s">
        <v>45</v>
      </c>
      <c r="J18" s="3"/>
      <c r="K18" s="3">
        <v>109</v>
      </c>
      <c r="L18" s="3" t="str">
        <f>VLOOKUP(K18,'GACETA 3'!$E$9:$F$75,2,0)</f>
        <v>Registro Civil</v>
      </c>
      <c r="M18" s="3" t="str">
        <f t="shared" si="0"/>
        <v>0108010102</v>
      </c>
      <c r="N18" s="3" t="str">
        <f>VLOOKUP(M18,GACETA!$A$1:$C$186,3,0)</f>
        <v>E</v>
      </c>
      <c r="O18" s="3" t="str">
        <f>VLOOKUP(M18,GACETA!$A$1:$C$186,2,0)</f>
        <v>Actualización y operación del registro civil</v>
      </c>
      <c r="P18" s="236" t="s">
        <v>1221</v>
      </c>
      <c r="Q18" s="236" t="s">
        <v>1222</v>
      </c>
      <c r="R18" s="119" t="s">
        <v>1224</v>
      </c>
      <c r="S18" s="119" t="s">
        <v>86</v>
      </c>
      <c r="T18" s="119" t="s">
        <v>1223</v>
      </c>
    </row>
    <row r="19" spans="1:20" ht="30" x14ac:dyDescent="0.3">
      <c r="A19" s="89"/>
      <c r="B19" s="78"/>
      <c r="C19" s="33" t="s">
        <v>829</v>
      </c>
      <c r="D19" s="33" t="s">
        <v>834</v>
      </c>
      <c r="E19" s="33" t="s">
        <v>829</v>
      </c>
      <c r="F19" s="33" t="s">
        <v>829</v>
      </c>
      <c r="G19" s="33" t="s">
        <v>832</v>
      </c>
      <c r="H19" s="61"/>
      <c r="I19" s="3" t="s">
        <v>45</v>
      </c>
      <c r="J19" s="3"/>
      <c r="K19" s="3">
        <v>109</v>
      </c>
      <c r="L19" s="3" t="str">
        <f>VLOOKUP(K19,'GACETA 3'!$E$9:$F$75,2,0)</f>
        <v>Registro Civil</v>
      </c>
      <c r="M19" s="3" t="str">
        <f t="shared" si="0"/>
        <v>0108010102</v>
      </c>
      <c r="N19" s="3" t="str">
        <f>VLOOKUP(M19,GACETA!$A$1:$C$186,3,0)</f>
        <v>E</v>
      </c>
      <c r="O19" s="3" t="str">
        <f>VLOOKUP(M19,GACETA!$A$1:$C$186,2,0)</f>
        <v>Actualización y operación del registro civil</v>
      </c>
      <c r="P19" s="237"/>
      <c r="Q19" s="237"/>
      <c r="R19" s="119" t="s">
        <v>678</v>
      </c>
      <c r="S19" s="119" t="s">
        <v>86</v>
      </c>
      <c r="T19" s="119" t="s">
        <v>250</v>
      </c>
    </row>
    <row r="20" spans="1:20" ht="30" x14ac:dyDescent="0.3">
      <c r="A20" s="89"/>
      <c r="B20" s="78"/>
      <c r="C20" s="33" t="s">
        <v>829</v>
      </c>
      <c r="D20" s="33" t="s">
        <v>834</v>
      </c>
      <c r="E20" s="33" t="s">
        <v>829</v>
      </c>
      <c r="F20" s="33" t="s">
        <v>829</v>
      </c>
      <c r="G20" s="33" t="s">
        <v>832</v>
      </c>
      <c r="H20" s="61"/>
      <c r="I20" s="3" t="s">
        <v>45</v>
      </c>
      <c r="J20" s="3"/>
      <c r="K20" s="3">
        <v>109</v>
      </c>
      <c r="L20" s="3" t="str">
        <f>VLOOKUP(K20,'GACETA 3'!$E$9:$F$75,2,0)</f>
        <v>Registro Civil</v>
      </c>
      <c r="M20" s="3" t="str">
        <f t="shared" si="0"/>
        <v>0108010102</v>
      </c>
      <c r="N20" s="3" t="str">
        <f>VLOOKUP(M20,GACETA!$A$1:$C$186,3,0)</f>
        <v>E</v>
      </c>
      <c r="O20" s="3" t="str">
        <f>VLOOKUP(M20,GACETA!$A$1:$C$186,2,0)</f>
        <v>Actualización y operación del registro civil</v>
      </c>
      <c r="P20" s="237"/>
      <c r="Q20" s="237"/>
      <c r="R20" s="119" t="s">
        <v>1225</v>
      </c>
      <c r="S20" s="119" t="s">
        <v>86</v>
      </c>
      <c r="T20" s="119" t="s">
        <v>309</v>
      </c>
    </row>
    <row r="21" spans="1:20" ht="30" x14ac:dyDescent="0.3">
      <c r="A21" s="89"/>
      <c r="B21" s="78"/>
      <c r="C21" s="33" t="s">
        <v>829</v>
      </c>
      <c r="D21" s="33" t="s">
        <v>834</v>
      </c>
      <c r="E21" s="33" t="s">
        <v>829</v>
      </c>
      <c r="F21" s="33" t="s">
        <v>829</v>
      </c>
      <c r="G21" s="33" t="s">
        <v>832</v>
      </c>
      <c r="H21" s="61"/>
      <c r="I21" s="3" t="s">
        <v>45</v>
      </c>
      <c r="J21" s="3"/>
      <c r="K21" s="3">
        <v>109</v>
      </c>
      <c r="L21" s="3" t="str">
        <f>VLOOKUP(K21,'GACETA 3'!$E$9:$F$75,2,0)</f>
        <v>Registro Civil</v>
      </c>
      <c r="M21" s="3" t="str">
        <f t="shared" si="0"/>
        <v>0108010102</v>
      </c>
      <c r="N21" s="3" t="str">
        <f>VLOOKUP(M21,GACETA!$A$1:$C$186,3,0)</f>
        <v>E</v>
      </c>
      <c r="O21" s="3" t="str">
        <f>VLOOKUP(M21,GACETA!$A$1:$C$186,2,0)</f>
        <v>Actualización y operación del registro civil</v>
      </c>
      <c r="P21" s="237"/>
      <c r="Q21" s="237"/>
      <c r="R21" s="119" t="s">
        <v>1226</v>
      </c>
      <c r="S21" s="119" t="s">
        <v>86</v>
      </c>
      <c r="T21" s="119" t="s">
        <v>130</v>
      </c>
    </row>
    <row r="22" spans="1:20" ht="45" x14ac:dyDescent="0.3">
      <c r="A22" s="89"/>
      <c r="B22" s="78"/>
      <c r="C22" s="33" t="s">
        <v>829</v>
      </c>
      <c r="D22" s="33" t="s">
        <v>834</v>
      </c>
      <c r="E22" s="33" t="s">
        <v>829</v>
      </c>
      <c r="F22" s="33" t="s">
        <v>829</v>
      </c>
      <c r="G22" s="33" t="s">
        <v>832</v>
      </c>
      <c r="H22" s="61"/>
      <c r="I22" s="3" t="s">
        <v>45</v>
      </c>
      <c r="J22" s="3"/>
      <c r="K22" s="3">
        <v>109</v>
      </c>
      <c r="L22" s="3" t="str">
        <f>VLOOKUP(K22,'GACETA 3'!$E$9:$F$75,2,0)</f>
        <v>Registro Civil</v>
      </c>
      <c r="M22" s="3" t="str">
        <f t="shared" si="0"/>
        <v>0108010102</v>
      </c>
      <c r="N22" s="3" t="str">
        <f>VLOOKUP(M22,GACETA!$A$1:$C$186,3,0)</f>
        <v>E</v>
      </c>
      <c r="O22" s="3" t="str">
        <f>VLOOKUP(M22,GACETA!$A$1:$C$186,2,0)</f>
        <v>Actualización y operación del registro civil</v>
      </c>
      <c r="P22" s="237"/>
      <c r="Q22" s="237"/>
      <c r="R22" s="119" t="s">
        <v>1227</v>
      </c>
      <c r="S22" s="119" t="s">
        <v>86</v>
      </c>
      <c r="T22" s="119" t="s">
        <v>253</v>
      </c>
    </row>
    <row r="23" spans="1:20" ht="30" x14ac:dyDescent="0.3">
      <c r="A23" s="89"/>
      <c r="B23" s="78"/>
      <c r="C23" s="33" t="s">
        <v>829</v>
      </c>
      <c r="D23" s="33" t="s">
        <v>834</v>
      </c>
      <c r="E23" s="33" t="s">
        <v>829</v>
      </c>
      <c r="F23" s="33" t="s">
        <v>829</v>
      </c>
      <c r="G23" s="33" t="s">
        <v>832</v>
      </c>
      <c r="H23" s="61"/>
      <c r="I23" s="3" t="s">
        <v>45</v>
      </c>
      <c r="J23" s="3"/>
      <c r="K23" s="3">
        <v>109</v>
      </c>
      <c r="L23" s="3" t="str">
        <f>VLOOKUP(K23,'GACETA 3'!$E$9:$F$75,2,0)</f>
        <v>Registro Civil</v>
      </c>
      <c r="M23" s="3" t="str">
        <f t="shared" si="0"/>
        <v>0108010102</v>
      </c>
      <c r="N23" s="3" t="str">
        <f>VLOOKUP(M23,GACETA!$A$1:$C$186,3,0)</f>
        <v>E</v>
      </c>
      <c r="O23" s="3" t="str">
        <f>VLOOKUP(M23,GACETA!$A$1:$C$186,2,0)</f>
        <v>Actualización y operación del registro civil</v>
      </c>
      <c r="P23" s="238"/>
      <c r="Q23" s="238"/>
      <c r="R23" s="119" t="s">
        <v>1228</v>
      </c>
      <c r="S23" s="119" t="s">
        <v>86</v>
      </c>
      <c r="T23" s="119" t="s">
        <v>126</v>
      </c>
    </row>
    <row r="24" spans="1:20" ht="39" customHeight="1" x14ac:dyDescent="0.3">
      <c r="A24" s="282" t="s">
        <v>25</v>
      </c>
      <c r="B24" s="282" t="s">
        <v>26</v>
      </c>
      <c r="C24" s="64" t="s">
        <v>832</v>
      </c>
      <c r="D24" s="65" t="s">
        <v>832</v>
      </c>
      <c r="E24" s="65" t="s">
        <v>832</v>
      </c>
      <c r="F24" s="65" t="s">
        <v>829</v>
      </c>
      <c r="G24" s="65" t="s">
        <v>832</v>
      </c>
      <c r="H24" s="65"/>
      <c r="I24" s="63" t="s">
        <v>25</v>
      </c>
      <c r="J24" s="63"/>
      <c r="K24" s="63">
        <v>110</v>
      </c>
      <c r="L24" s="3" t="str">
        <f>VLOOKUP(K24,'GACETA 3'!$E$9:$F$75,2,0)</f>
        <v>Acción Cívica</v>
      </c>
      <c r="M24" s="3" t="str">
        <f t="shared" si="0"/>
        <v>0202020102</v>
      </c>
      <c r="N24" s="3" t="str">
        <f>VLOOKUP(M24,GACETA!$A$1:$C$186,3,0)</f>
        <v>M</v>
      </c>
      <c r="O24" s="3" t="str">
        <f>VLOOKUP(M24,GACETA!$A$1:$C$186,2,0)</f>
        <v>Apoyo Solidario</v>
      </c>
      <c r="P24" s="250" t="s">
        <v>335</v>
      </c>
      <c r="Q24" s="250" t="s">
        <v>338</v>
      </c>
      <c r="R24" s="67" t="s">
        <v>976</v>
      </c>
      <c r="S24" s="67" t="s">
        <v>86</v>
      </c>
      <c r="T24" s="67" t="s">
        <v>266</v>
      </c>
    </row>
    <row r="25" spans="1:20" ht="39" customHeight="1" x14ac:dyDescent="0.3">
      <c r="A25" s="282"/>
      <c r="B25" s="282"/>
      <c r="C25" s="64" t="s">
        <v>832</v>
      </c>
      <c r="D25" s="65" t="s">
        <v>832</v>
      </c>
      <c r="E25" s="65" t="s">
        <v>832</v>
      </c>
      <c r="F25" s="65" t="s">
        <v>829</v>
      </c>
      <c r="G25" s="65" t="s">
        <v>832</v>
      </c>
      <c r="H25" s="65"/>
      <c r="I25" s="63" t="s">
        <v>28</v>
      </c>
      <c r="J25" s="63"/>
      <c r="K25" s="63">
        <v>110</v>
      </c>
      <c r="L25" s="3" t="str">
        <f>VLOOKUP(K25,'GACETA 3'!$E$9:$F$75,2,0)</f>
        <v>Acción Cívica</v>
      </c>
      <c r="M25" s="3" t="str">
        <f t="shared" si="0"/>
        <v>0202020102</v>
      </c>
      <c r="N25" s="3" t="str">
        <f>VLOOKUP(M25,GACETA!$A$1:$C$186,3,0)</f>
        <v>M</v>
      </c>
      <c r="O25" s="3" t="str">
        <f>VLOOKUP(M25,GACETA!$A$1:$C$186,2,0)</f>
        <v>Apoyo Solidario</v>
      </c>
      <c r="P25" s="250"/>
      <c r="Q25" s="250"/>
      <c r="R25" s="67" t="s">
        <v>977</v>
      </c>
      <c r="S25" s="67" t="s">
        <v>86</v>
      </c>
      <c r="T25" s="67" t="s">
        <v>979</v>
      </c>
    </row>
    <row r="26" spans="1:20" ht="44.25" customHeight="1" x14ac:dyDescent="0.3">
      <c r="A26" s="282"/>
      <c r="B26" s="282"/>
      <c r="C26" s="64" t="s">
        <v>832</v>
      </c>
      <c r="D26" s="65" t="s">
        <v>832</v>
      </c>
      <c r="E26" s="65" t="s">
        <v>832</v>
      </c>
      <c r="F26" s="65" t="s">
        <v>829</v>
      </c>
      <c r="G26" s="65" t="s">
        <v>832</v>
      </c>
      <c r="H26" s="65"/>
      <c r="I26" s="63" t="s">
        <v>25</v>
      </c>
      <c r="J26" s="63"/>
      <c r="K26" s="63">
        <v>110</v>
      </c>
      <c r="L26" s="3" t="str">
        <f>VLOOKUP(K26,'GACETA 3'!$E$9:$F$75,2,0)</f>
        <v>Acción Cívica</v>
      </c>
      <c r="M26" s="3" t="str">
        <f t="shared" si="0"/>
        <v>0202020102</v>
      </c>
      <c r="N26" s="3" t="str">
        <f>VLOOKUP(M26,GACETA!$A$1:$C$186,3,0)</f>
        <v>M</v>
      </c>
      <c r="O26" s="3" t="str">
        <f>VLOOKUP(M26,GACETA!$A$1:$C$186,2,0)</f>
        <v>Apoyo Solidario</v>
      </c>
      <c r="P26" s="250"/>
      <c r="Q26" s="250"/>
      <c r="R26" s="67" t="s">
        <v>978</v>
      </c>
      <c r="S26" s="67" t="s">
        <v>86</v>
      </c>
      <c r="T26" s="67" t="s">
        <v>980</v>
      </c>
    </row>
    <row r="27" spans="1:20" ht="37.5" customHeight="1" x14ac:dyDescent="0.3">
      <c r="A27" s="283" t="s">
        <v>28</v>
      </c>
      <c r="B27" s="283" t="s">
        <v>27</v>
      </c>
      <c r="C27" s="64" t="s">
        <v>832</v>
      </c>
      <c r="D27" s="65" t="s">
        <v>832</v>
      </c>
      <c r="E27" s="65" t="s">
        <v>832</v>
      </c>
      <c r="F27" s="65" t="s">
        <v>829</v>
      </c>
      <c r="G27" s="65" t="s">
        <v>832</v>
      </c>
      <c r="H27" s="65"/>
      <c r="I27" s="63" t="s">
        <v>28</v>
      </c>
      <c r="J27" s="63"/>
      <c r="K27" s="63">
        <v>110</v>
      </c>
      <c r="L27" s="3" t="str">
        <f>VLOOKUP(K27,'GACETA 3'!$E$9:$F$75,2,0)</f>
        <v>Acción Cívica</v>
      </c>
      <c r="M27" s="3" t="str">
        <f t="shared" si="0"/>
        <v>0202020102</v>
      </c>
      <c r="N27" s="3" t="str">
        <f>VLOOKUP(M27,GACETA!$A$1:$C$186,3,0)</f>
        <v>M</v>
      </c>
      <c r="O27" s="3" t="str">
        <f>VLOOKUP(M27,GACETA!$A$1:$C$186,2,0)</f>
        <v>Apoyo Solidario</v>
      </c>
      <c r="P27" s="286" t="s">
        <v>335</v>
      </c>
      <c r="Q27" s="286" t="s">
        <v>338</v>
      </c>
      <c r="R27" s="67" t="s">
        <v>976</v>
      </c>
      <c r="S27" s="67" t="s">
        <v>86</v>
      </c>
      <c r="T27" s="67" t="s">
        <v>266</v>
      </c>
    </row>
    <row r="28" spans="1:20" ht="36.75" customHeight="1" x14ac:dyDescent="0.3">
      <c r="A28" s="284"/>
      <c r="B28" s="284"/>
      <c r="C28" s="64" t="s">
        <v>832</v>
      </c>
      <c r="D28" s="65" t="s">
        <v>832</v>
      </c>
      <c r="E28" s="65" t="s">
        <v>832</v>
      </c>
      <c r="F28" s="65" t="s">
        <v>829</v>
      </c>
      <c r="G28" s="65" t="s">
        <v>832</v>
      </c>
      <c r="H28" s="65"/>
      <c r="I28" s="63" t="s">
        <v>28</v>
      </c>
      <c r="J28" s="63"/>
      <c r="K28" s="63">
        <v>110</v>
      </c>
      <c r="L28" s="3" t="str">
        <f>VLOOKUP(K28,'GACETA 3'!$E$9:$F$75,2,0)</f>
        <v>Acción Cívica</v>
      </c>
      <c r="M28" s="3" t="str">
        <f t="shared" si="0"/>
        <v>0202020102</v>
      </c>
      <c r="N28" s="3" t="str">
        <f>VLOOKUP(M28,GACETA!$A$1:$C$186,3,0)</f>
        <v>M</v>
      </c>
      <c r="O28" s="3" t="str">
        <f>VLOOKUP(M28,GACETA!$A$1:$C$186,2,0)</f>
        <v>Apoyo Solidario</v>
      </c>
      <c r="P28" s="287"/>
      <c r="Q28" s="287"/>
      <c r="R28" s="67" t="s">
        <v>977</v>
      </c>
      <c r="S28" s="67" t="s">
        <v>86</v>
      </c>
      <c r="T28" s="67" t="s">
        <v>979</v>
      </c>
    </row>
    <row r="29" spans="1:20" ht="45" x14ac:dyDescent="0.3">
      <c r="A29" s="285"/>
      <c r="B29" s="285"/>
      <c r="C29" s="64" t="s">
        <v>832</v>
      </c>
      <c r="D29" s="65" t="s">
        <v>832</v>
      </c>
      <c r="E29" s="65" t="s">
        <v>832</v>
      </c>
      <c r="F29" s="65" t="s">
        <v>829</v>
      </c>
      <c r="G29" s="65" t="s">
        <v>832</v>
      </c>
      <c r="H29" s="65"/>
      <c r="I29" s="63" t="s">
        <v>28</v>
      </c>
      <c r="J29" s="63"/>
      <c r="K29" s="63">
        <v>110</v>
      </c>
      <c r="L29" s="3" t="str">
        <f>VLOOKUP(K29,'GACETA 3'!$E$9:$F$75,2,0)</f>
        <v>Acción Cívica</v>
      </c>
      <c r="M29" s="3" t="str">
        <f t="shared" si="0"/>
        <v>0202020102</v>
      </c>
      <c r="N29" s="3" t="str">
        <f>VLOOKUP(M29,GACETA!$A$1:$C$186,3,0)</f>
        <v>M</v>
      </c>
      <c r="O29" s="3" t="str">
        <f>VLOOKUP(M29,GACETA!$A$1:$C$186,2,0)</f>
        <v>Apoyo Solidario</v>
      </c>
      <c r="P29" s="288"/>
      <c r="Q29" s="288"/>
      <c r="R29" s="67" t="s">
        <v>978</v>
      </c>
      <c r="S29" s="67" t="s">
        <v>86</v>
      </c>
      <c r="T29" s="67" t="s">
        <v>980</v>
      </c>
    </row>
    <row r="30" spans="1:20" ht="30" x14ac:dyDescent="0.3">
      <c r="A30" s="283" t="s">
        <v>29</v>
      </c>
      <c r="B30" s="283" t="s">
        <v>21</v>
      </c>
      <c r="C30" s="64" t="s">
        <v>832</v>
      </c>
      <c r="D30" s="64" t="s">
        <v>832</v>
      </c>
      <c r="E30" s="64" t="s">
        <v>832</v>
      </c>
      <c r="F30" s="64" t="s">
        <v>829</v>
      </c>
      <c r="G30" s="64" t="s">
        <v>832</v>
      </c>
      <c r="H30" s="64"/>
      <c r="I30" s="68" t="s">
        <v>29</v>
      </c>
      <c r="J30" s="68"/>
      <c r="K30" s="68">
        <v>110</v>
      </c>
      <c r="L30" s="3" t="str">
        <f>VLOOKUP(K30,'GACETA 3'!$E$9:$F$75,2,0)</f>
        <v>Acción Cívica</v>
      </c>
      <c r="M30" s="3" t="str">
        <f t="shared" si="0"/>
        <v>0202020102</v>
      </c>
      <c r="N30" s="3" t="str">
        <f>VLOOKUP(M30,GACETA!$A$1:$C$186,3,0)</f>
        <v>M</v>
      </c>
      <c r="O30" s="3" t="str">
        <f>VLOOKUP(M30,GACETA!$A$1:$C$186,2,0)</f>
        <v>Apoyo Solidario</v>
      </c>
      <c r="P30" s="286" t="s">
        <v>335</v>
      </c>
      <c r="Q30" s="286" t="s">
        <v>338</v>
      </c>
      <c r="R30" s="67" t="s">
        <v>976</v>
      </c>
      <c r="S30" s="67" t="s">
        <v>86</v>
      </c>
      <c r="T30" s="67" t="s">
        <v>266</v>
      </c>
    </row>
    <row r="31" spans="1:20" ht="30" x14ac:dyDescent="0.3">
      <c r="A31" s="284"/>
      <c r="B31" s="284"/>
      <c r="C31" s="64" t="s">
        <v>832</v>
      </c>
      <c r="D31" s="65" t="s">
        <v>832</v>
      </c>
      <c r="E31" s="65" t="s">
        <v>832</v>
      </c>
      <c r="F31" s="65" t="s">
        <v>829</v>
      </c>
      <c r="G31" s="65" t="s">
        <v>832</v>
      </c>
      <c r="H31" s="65"/>
      <c r="I31" s="63" t="s">
        <v>28</v>
      </c>
      <c r="J31" s="63"/>
      <c r="K31" s="63">
        <v>110</v>
      </c>
      <c r="L31" s="3" t="str">
        <f>VLOOKUP(K31,'GACETA 3'!$E$9:$F$75,2,0)</f>
        <v>Acción Cívica</v>
      </c>
      <c r="M31" s="3" t="str">
        <f t="shared" si="0"/>
        <v>0202020102</v>
      </c>
      <c r="N31" s="3" t="str">
        <f>VLOOKUP(M31,GACETA!$A$1:$C$186,3,0)</f>
        <v>M</v>
      </c>
      <c r="O31" s="3" t="str">
        <f>VLOOKUP(M31,GACETA!$A$1:$C$186,2,0)</f>
        <v>Apoyo Solidario</v>
      </c>
      <c r="P31" s="287"/>
      <c r="Q31" s="287"/>
      <c r="R31" s="67" t="s">
        <v>977</v>
      </c>
      <c r="S31" s="67" t="s">
        <v>86</v>
      </c>
      <c r="T31" s="67" t="s">
        <v>979</v>
      </c>
    </row>
    <row r="32" spans="1:20" ht="45" x14ac:dyDescent="0.3">
      <c r="A32" s="285"/>
      <c r="B32" s="285"/>
      <c r="C32" s="64" t="s">
        <v>832</v>
      </c>
      <c r="D32" s="64" t="s">
        <v>832</v>
      </c>
      <c r="E32" s="64" t="s">
        <v>832</v>
      </c>
      <c r="F32" s="64" t="s">
        <v>829</v>
      </c>
      <c r="G32" s="64" t="s">
        <v>832</v>
      </c>
      <c r="H32" s="64"/>
      <c r="I32" s="68" t="s">
        <v>29</v>
      </c>
      <c r="J32" s="68"/>
      <c r="K32" s="68">
        <v>110</v>
      </c>
      <c r="L32" s="3" t="str">
        <f>VLOOKUP(K32,'GACETA 3'!$E$9:$F$75,2,0)</f>
        <v>Acción Cívica</v>
      </c>
      <c r="M32" s="3" t="str">
        <f t="shared" si="0"/>
        <v>0202020102</v>
      </c>
      <c r="N32" s="3" t="str">
        <f>VLOOKUP(M32,GACETA!$A$1:$C$186,3,0)</f>
        <v>M</v>
      </c>
      <c r="O32" s="3" t="str">
        <f>VLOOKUP(M32,GACETA!$A$1:$C$186,2,0)</f>
        <v>Apoyo Solidario</v>
      </c>
      <c r="P32" s="288"/>
      <c r="Q32" s="288"/>
      <c r="R32" s="67" t="s">
        <v>978</v>
      </c>
      <c r="S32" s="67" t="s">
        <v>86</v>
      </c>
      <c r="T32" s="67" t="s">
        <v>980</v>
      </c>
    </row>
    <row r="33" spans="1:20" ht="34.5" customHeight="1" x14ac:dyDescent="0.3">
      <c r="A33" s="283" t="s">
        <v>30</v>
      </c>
      <c r="B33" s="283" t="s">
        <v>20</v>
      </c>
      <c r="C33" s="64" t="s">
        <v>832</v>
      </c>
      <c r="D33" s="64" t="s">
        <v>832</v>
      </c>
      <c r="E33" s="64" t="s">
        <v>832</v>
      </c>
      <c r="F33" s="64" t="s">
        <v>829</v>
      </c>
      <c r="G33" s="64" t="s">
        <v>832</v>
      </c>
      <c r="H33" s="64"/>
      <c r="I33" s="68" t="s">
        <v>30</v>
      </c>
      <c r="J33" s="68"/>
      <c r="K33" s="68">
        <v>110</v>
      </c>
      <c r="L33" s="3" t="str">
        <f>VLOOKUP(K33,'GACETA 3'!$E$9:$F$75,2,0)</f>
        <v>Acción Cívica</v>
      </c>
      <c r="M33" s="3" t="str">
        <f t="shared" si="0"/>
        <v>0202020102</v>
      </c>
      <c r="N33" s="3" t="str">
        <f>VLOOKUP(M33,GACETA!$A$1:$C$186,3,0)</f>
        <v>M</v>
      </c>
      <c r="O33" s="3" t="str">
        <f>VLOOKUP(M33,GACETA!$A$1:$C$186,2,0)</f>
        <v>Apoyo Solidario</v>
      </c>
      <c r="P33" s="286" t="s">
        <v>335</v>
      </c>
      <c r="Q33" s="286" t="s">
        <v>338</v>
      </c>
      <c r="R33" s="67" t="s">
        <v>976</v>
      </c>
      <c r="S33" s="67" t="s">
        <v>86</v>
      </c>
      <c r="T33" s="67" t="s">
        <v>266</v>
      </c>
    </row>
    <row r="34" spans="1:20" ht="33.75" customHeight="1" x14ac:dyDescent="0.3">
      <c r="A34" s="284"/>
      <c r="B34" s="284"/>
      <c r="C34" s="64" t="s">
        <v>832</v>
      </c>
      <c r="D34" s="65" t="s">
        <v>832</v>
      </c>
      <c r="E34" s="65" t="s">
        <v>832</v>
      </c>
      <c r="F34" s="65" t="s">
        <v>829</v>
      </c>
      <c r="G34" s="65" t="s">
        <v>832</v>
      </c>
      <c r="H34" s="65"/>
      <c r="I34" s="63" t="s">
        <v>28</v>
      </c>
      <c r="J34" s="63"/>
      <c r="K34" s="63">
        <v>110</v>
      </c>
      <c r="L34" s="3" t="str">
        <f>VLOOKUP(K34,'GACETA 3'!$E$9:$F$75,2,0)</f>
        <v>Acción Cívica</v>
      </c>
      <c r="M34" s="3" t="str">
        <f t="shared" si="0"/>
        <v>0202020102</v>
      </c>
      <c r="N34" s="3" t="str">
        <f>VLOOKUP(M34,GACETA!$A$1:$C$186,3,0)</f>
        <v>M</v>
      </c>
      <c r="O34" s="3" t="str">
        <f>VLOOKUP(M34,GACETA!$A$1:$C$186,2,0)</f>
        <v>Apoyo Solidario</v>
      </c>
      <c r="P34" s="287"/>
      <c r="Q34" s="287"/>
      <c r="R34" s="67" t="s">
        <v>977</v>
      </c>
      <c r="S34" s="67" t="s">
        <v>86</v>
      </c>
      <c r="T34" s="67" t="s">
        <v>979</v>
      </c>
    </row>
    <row r="35" spans="1:20" ht="45" x14ac:dyDescent="0.3">
      <c r="A35" s="285"/>
      <c r="B35" s="285"/>
      <c r="C35" s="64" t="s">
        <v>832</v>
      </c>
      <c r="D35" s="64" t="s">
        <v>832</v>
      </c>
      <c r="E35" s="64" t="s">
        <v>832</v>
      </c>
      <c r="F35" s="64" t="s">
        <v>829</v>
      </c>
      <c r="G35" s="64" t="s">
        <v>832</v>
      </c>
      <c r="H35" s="64"/>
      <c r="I35" s="68" t="s">
        <v>30</v>
      </c>
      <c r="J35" s="68"/>
      <c r="K35" s="68">
        <v>110</v>
      </c>
      <c r="L35" s="3" t="str">
        <f>VLOOKUP(K35,'GACETA 3'!$E$9:$F$75,2,0)</f>
        <v>Acción Cívica</v>
      </c>
      <c r="M35" s="3" t="str">
        <f t="shared" si="0"/>
        <v>0202020102</v>
      </c>
      <c r="N35" s="3" t="str">
        <f>VLOOKUP(M35,GACETA!$A$1:$C$186,3,0)</f>
        <v>M</v>
      </c>
      <c r="O35" s="3" t="str">
        <f>VLOOKUP(M35,GACETA!$A$1:$C$186,2,0)</f>
        <v>Apoyo Solidario</v>
      </c>
      <c r="P35" s="288"/>
      <c r="Q35" s="288"/>
      <c r="R35" s="67" t="s">
        <v>978</v>
      </c>
      <c r="S35" s="67" t="s">
        <v>86</v>
      </c>
      <c r="T35" s="67" t="s">
        <v>980</v>
      </c>
    </row>
    <row r="36" spans="1:20" ht="17.25" customHeight="1" x14ac:dyDescent="0.3">
      <c r="A36" s="283" t="s">
        <v>31</v>
      </c>
      <c r="B36" s="283" t="s">
        <v>19</v>
      </c>
      <c r="C36" s="64" t="s">
        <v>832</v>
      </c>
      <c r="D36" s="64" t="s">
        <v>832</v>
      </c>
      <c r="E36" s="64" t="s">
        <v>832</v>
      </c>
      <c r="F36" s="64" t="s">
        <v>829</v>
      </c>
      <c r="G36" s="64" t="s">
        <v>832</v>
      </c>
      <c r="H36" s="64"/>
      <c r="I36" s="68" t="s">
        <v>31</v>
      </c>
      <c r="J36" s="68"/>
      <c r="K36" s="68">
        <v>110</v>
      </c>
      <c r="L36" s="3" t="str">
        <f>VLOOKUP(K36,'GACETA 3'!$E$9:$F$75,2,0)</f>
        <v>Acción Cívica</v>
      </c>
      <c r="M36" s="3" t="str">
        <f t="shared" si="0"/>
        <v>0202020102</v>
      </c>
      <c r="N36" s="3" t="str">
        <f>VLOOKUP(M36,GACETA!$A$1:$C$186,3,0)</f>
        <v>M</v>
      </c>
      <c r="O36" s="3" t="str">
        <f>VLOOKUP(M36,GACETA!$A$1:$C$186,2,0)</f>
        <v>Apoyo Solidario</v>
      </c>
      <c r="P36" s="286" t="s">
        <v>335</v>
      </c>
      <c r="Q36" s="286" t="s">
        <v>338</v>
      </c>
      <c r="R36" s="67" t="s">
        <v>976</v>
      </c>
      <c r="S36" s="67" t="s">
        <v>86</v>
      </c>
      <c r="T36" s="67" t="s">
        <v>266</v>
      </c>
    </row>
    <row r="37" spans="1:20" ht="17.25" customHeight="1" x14ac:dyDescent="0.3">
      <c r="A37" s="284"/>
      <c r="B37" s="284"/>
      <c r="C37" s="64" t="s">
        <v>832</v>
      </c>
      <c r="D37" s="65" t="s">
        <v>832</v>
      </c>
      <c r="E37" s="65" t="s">
        <v>832</v>
      </c>
      <c r="F37" s="65" t="s">
        <v>829</v>
      </c>
      <c r="G37" s="65" t="s">
        <v>832</v>
      </c>
      <c r="H37" s="65"/>
      <c r="I37" s="63" t="s">
        <v>28</v>
      </c>
      <c r="J37" s="63"/>
      <c r="K37" s="63">
        <v>110</v>
      </c>
      <c r="L37" s="3" t="str">
        <f>VLOOKUP(K37,'GACETA 3'!$E$9:$F$75,2,0)</f>
        <v>Acción Cívica</v>
      </c>
      <c r="M37" s="3" t="str">
        <f t="shared" si="0"/>
        <v>0202020102</v>
      </c>
      <c r="N37" s="3" t="str">
        <f>VLOOKUP(M37,GACETA!$A$1:$C$186,3,0)</f>
        <v>M</v>
      </c>
      <c r="O37" s="3" t="str">
        <f>VLOOKUP(M37,GACETA!$A$1:$C$186,2,0)</f>
        <v>Apoyo Solidario</v>
      </c>
      <c r="P37" s="287"/>
      <c r="Q37" s="287"/>
      <c r="R37" s="67" t="s">
        <v>977</v>
      </c>
      <c r="S37" s="67" t="s">
        <v>86</v>
      </c>
      <c r="T37" s="67" t="s">
        <v>979</v>
      </c>
    </row>
    <row r="38" spans="1:20" ht="45" x14ac:dyDescent="0.3">
      <c r="A38" s="285"/>
      <c r="B38" s="285"/>
      <c r="C38" s="64" t="s">
        <v>832</v>
      </c>
      <c r="D38" s="64" t="s">
        <v>832</v>
      </c>
      <c r="E38" s="64" t="s">
        <v>832</v>
      </c>
      <c r="F38" s="64" t="s">
        <v>829</v>
      </c>
      <c r="G38" s="64" t="s">
        <v>832</v>
      </c>
      <c r="H38" s="64"/>
      <c r="I38" s="68" t="s">
        <v>31</v>
      </c>
      <c r="J38" s="68"/>
      <c r="K38" s="68">
        <v>110</v>
      </c>
      <c r="L38" s="3" t="str">
        <f>VLOOKUP(K38,'GACETA 3'!$E$9:$F$75,2,0)</f>
        <v>Acción Cívica</v>
      </c>
      <c r="M38" s="3" t="str">
        <f t="shared" si="0"/>
        <v>0202020102</v>
      </c>
      <c r="N38" s="3" t="str">
        <f>VLOOKUP(M38,GACETA!$A$1:$C$186,3,0)</f>
        <v>M</v>
      </c>
      <c r="O38" s="3" t="str">
        <f>VLOOKUP(M38,GACETA!$A$1:$C$186,2,0)</f>
        <v>Apoyo Solidario</v>
      </c>
      <c r="P38" s="288"/>
      <c r="Q38" s="288"/>
      <c r="R38" s="67" t="s">
        <v>978</v>
      </c>
      <c r="S38" s="67" t="s">
        <v>86</v>
      </c>
      <c r="T38" s="67" t="s">
        <v>980</v>
      </c>
    </row>
    <row r="39" spans="1:20" ht="17.25" customHeight="1" x14ac:dyDescent="0.3">
      <c r="A39" s="283" t="s">
        <v>32</v>
      </c>
      <c r="B39" s="283" t="s">
        <v>18</v>
      </c>
      <c r="C39" s="64" t="s">
        <v>832</v>
      </c>
      <c r="D39" s="64" t="s">
        <v>832</v>
      </c>
      <c r="E39" s="64" t="s">
        <v>832</v>
      </c>
      <c r="F39" s="64" t="s">
        <v>829</v>
      </c>
      <c r="G39" s="64" t="s">
        <v>832</v>
      </c>
      <c r="H39" s="64"/>
      <c r="I39" s="68" t="s">
        <v>32</v>
      </c>
      <c r="J39" s="68"/>
      <c r="K39" s="68">
        <v>110</v>
      </c>
      <c r="L39" s="3" t="str">
        <f>VLOOKUP(K39,'GACETA 3'!$E$9:$F$75,2,0)</f>
        <v>Acción Cívica</v>
      </c>
      <c r="M39" s="3" t="str">
        <f t="shared" si="0"/>
        <v>0202020102</v>
      </c>
      <c r="N39" s="3" t="str">
        <f>VLOOKUP(M39,GACETA!$A$1:$C$186,3,0)</f>
        <v>M</v>
      </c>
      <c r="O39" s="3" t="str">
        <f>VLOOKUP(M39,GACETA!$A$1:$C$186,2,0)</f>
        <v>Apoyo Solidario</v>
      </c>
      <c r="P39" s="286" t="s">
        <v>335</v>
      </c>
      <c r="Q39" s="286" t="s">
        <v>338</v>
      </c>
      <c r="R39" s="67" t="s">
        <v>976</v>
      </c>
      <c r="S39" s="67" t="s">
        <v>86</v>
      </c>
      <c r="T39" s="67" t="s">
        <v>266</v>
      </c>
    </row>
    <row r="40" spans="1:20" ht="17.25" customHeight="1" x14ac:dyDescent="0.3">
      <c r="A40" s="284"/>
      <c r="B40" s="284"/>
      <c r="C40" s="64" t="s">
        <v>832</v>
      </c>
      <c r="D40" s="65" t="s">
        <v>832</v>
      </c>
      <c r="E40" s="65" t="s">
        <v>832</v>
      </c>
      <c r="F40" s="65" t="s">
        <v>829</v>
      </c>
      <c r="G40" s="65" t="s">
        <v>832</v>
      </c>
      <c r="H40" s="65"/>
      <c r="I40" s="63" t="s">
        <v>28</v>
      </c>
      <c r="J40" s="63"/>
      <c r="K40" s="63">
        <v>110</v>
      </c>
      <c r="L40" s="3" t="str">
        <f>VLOOKUP(K40,'GACETA 3'!$E$9:$F$75,2,0)</f>
        <v>Acción Cívica</v>
      </c>
      <c r="M40" s="3" t="str">
        <f t="shared" si="0"/>
        <v>0202020102</v>
      </c>
      <c r="N40" s="3" t="str">
        <f>VLOOKUP(M40,GACETA!$A$1:$C$186,3,0)</f>
        <v>M</v>
      </c>
      <c r="O40" s="3" t="str">
        <f>VLOOKUP(M40,GACETA!$A$1:$C$186,2,0)</f>
        <v>Apoyo Solidario</v>
      </c>
      <c r="P40" s="287"/>
      <c r="Q40" s="287"/>
      <c r="R40" s="67" t="s">
        <v>977</v>
      </c>
      <c r="S40" s="67" t="s">
        <v>86</v>
      </c>
      <c r="T40" s="67" t="s">
        <v>979</v>
      </c>
    </row>
    <row r="41" spans="1:20" ht="45" x14ac:dyDescent="0.3">
      <c r="A41" s="285"/>
      <c r="B41" s="285"/>
      <c r="C41" s="64" t="s">
        <v>832</v>
      </c>
      <c r="D41" s="64" t="s">
        <v>832</v>
      </c>
      <c r="E41" s="64" t="s">
        <v>832</v>
      </c>
      <c r="F41" s="64" t="s">
        <v>829</v>
      </c>
      <c r="G41" s="64" t="s">
        <v>832</v>
      </c>
      <c r="H41" s="64"/>
      <c r="I41" s="68" t="s">
        <v>32</v>
      </c>
      <c r="J41" s="68"/>
      <c r="K41" s="68">
        <v>110</v>
      </c>
      <c r="L41" s="3" t="str">
        <f>VLOOKUP(K41,'GACETA 3'!$E$9:$F$75,2,0)</f>
        <v>Acción Cívica</v>
      </c>
      <c r="M41" s="3" t="str">
        <f t="shared" si="0"/>
        <v>0202020102</v>
      </c>
      <c r="N41" s="3" t="str">
        <f>VLOOKUP(M41,GACETA!$A$1:$C$186,3,0)</f>
        <v>M</v>
      </c>
      <c r="O41" s="3" t="str">
        <f>VLOOKUP(M41,GACETA!$A$1:$C$186,2,0)</f>
        <v>Apoyo Solidario</v>
      </c>
      <c r="P41" s="288"/>
      <c r="Q41" s="288"/>
      <c r="R41" s="67" t="s">
        <v>978</v>
      </c>
      <c r="S41" s="67" t="s">
        <v>86</v>
      </c>
      <c r="T41" s="67" t="s">
        <v>980</v>
      </c>
    </row>
    <row r="42" spans="1:20" ht="17.25" customHeight="1" x14ac:dyDescent="0.3">
      <c r="A42" s="282" t="s">
        <v>33</v>
      </c>
      <c r="B42" s="282" t="s">
        <v>17</v>
      </c>
      <c r="C42" s="64" t="s">
        <v>832</v>
      </c>
      <c r="D42" s="64" t="s">
        <v>832</v>
      </c>
      <c r="E42" s="64" t="s">
        <v>832</v>
      </c>
      <c r="F42" s="64" t="s">
        <v>829</v>
      </c>
      <c r="G42" s="64" t="s">
        <v>832</v>
      </c>
      <c r="H42" s="64"/>
      <c r="I42" s="68" t="s">
        <v>33</v>
      </c>
      <c r="J42" s="68"/>
      <c r="K42" s="68">
        <v>110</v>
      </c>
      <c r="L42" s="3" t="str">
        <f>VLOOKUP(K42,'GACETA 3'!$E$9:$F$75,2,0)</f>
        <v>Acción Cívica</v>
      </c>
      <c r="M42" s="3" t="str">
        <f t="shared" si="0"/>
        <v>0202020102</v>
      </c>
      <c r="N42" s="3" t="str">
        <f>VLOOKUP(M42,GACETA!$A$1:$C$186,3,0)</f>
        <v>M</v>
      </c>
      <c r="O42" s="3" t="str">
        <f>VLOOKUP(M42,GACETA!$A$1:$C$186,2,0)</f>
        <v>Apoyo Solidario</v>
      </c>
      <c r="P42" s="250" t="s">
        <v>335</v>
      </c>
      <c r="Q42" s="250" t="s">
        <v>338</v>
      </c>
      <c r="R42" s="67" t="s">
        <v>976</v>
      </c>
      <c r="S42" s="67" t="s">
        <v>86</v>
      </c>
      <c r="T42" s="67" t="s">
        <v>266</v>
      </c>
    </row>
    <row r="43" spans="1:20" ht="17.25" customHeight="1" x14ac:dyDescent="0.3">
      <c r="A43" s="282"/>
      <c r="B43" s="282"/>
      <c r="C43" s="64" t="s">
        <v>832</v>
      </c>
      <c r="D43" s="65" t="s">
        <v>832</v>
      </c>
      <c r="E43" s="65" t="s">
        <v>832</v>
      </c>
      <c r="F43" s="65" t="s">
        <v>829</v>
      </c>
      <c r="G43" s="65" t="s">
        <v>832</v>
      </c>
      <c r="H43" s="65"/>
      <c r="I43" s="63" t="s">
        <v>28</v>
      </c>
      <c r="J43" s="63"/>
      <c r="K43" s="63">
        <v>110</v>
      </c>
      <c r="L43" s="3" t="str">
        <f>VLOOKUP(K43,'GACETA 3'!$E$9:$F$75,2,0)</f>
        <v>Acción Cívica</v>
      </c>
      <c r="M43" s="3" t="str">
        <f t="shared" si="0"/>
        <v>0202020102</v>
      </c>
      <c r="N43" s="3" t="str">
        <f>VLOOKUP(M43,GACETA!$A$1:$C$186,3,0)</f>
        <v>M</v>
      </c>
      <c r="O43" s="3" t="str">
        <f>VLOOKUP(M43,GACETA!$A$1:$C$186,2,0)</f>
        <v>Apoyo Solidario</v>
      </c>
      <c r="P43" s="250"/>
      <c r="Q43" s="250"/>
      <c r="R43" s="67" t="s">
        <v>977</v>
      </c>
      <c r="S43" s="67" t="s">
        <v>86</v>
      </c>
      <c r="T43" s="67" t="s">
        <v>979</v>
      </c>
    </row>
    <row r="44" spans="1:20" ht="45" x14ac:dyDescent="0.3">
      <c r="A44" s="282"/>
      <c r="B44" s="282"/>
      <c r="C44" s="64" t="s">
        <v>832</v>
      </c>
      <c r="D44" s="64" t="s">
        <v>832</v>
      </c>
      <c r="E44" s="64" t="s">
        <v>832</v>
      </c>
      <c r="F44" s="64" t="s">
        <v>829</v>
      </c>
      <c r="G44" s="64" t="s">
        <v>832</v>
      </c>
      <c r="H44" s="64"/>
      <c r="I44" s="68" t="s">
        <v>33</v>
      </c>
      <c r="J44" s="68"/>
      <c r="K44" s="68">
        <v>110</v>
      </c>
      <c r="L44" s="3" t="str">
        <f>VLOOKUP(K44,'GACETA 3'!$E$9:$F$75,2,0)</f>
        <v>Acción Cívica</v>
      </c>
      <c r="M44" s="3" t="str">
        <f t="shared" si="0"/>
        <v>0202020102</v>
      </c>
      <c r="N44" s="3" t="str">
        <f>VLOOKUP(M44,GACETA!$A$1:$C$186,3,0)</f>
        <v>M</v>
      </c>
      <c r="O44" s="3" t="str">
        <f>VLOOKUP(M44,GACETA!$A$1:$C$186,2,0)</f>
        <v>Apoyo Solidario</v>
      </c>
      <c r="P44" s="250"/>
      <c r="Q44" s="250"/>
      <c r="R44" s="67" t="s">
        <v>978</v>
      </c>
      <c r="S44" s="67" t="s">
        <v>86</v>
      </c>
      <c r="T44" s="67" t="s">
        <v>980</v>
      </c>
    </row>
    <row r="45" spans="1:20" ht="31.5" customHeight="1" x14ac:dyDescent="0.3">
      <c r="A45" s="282" t="s">
        <v>34</v>
      </c>
      <c r="B45" s="282" t="s">
        <v>16</v>
      </c>
      <c r="C45" s="64" t="s">
        <v>832</v>
      </c>
      <c r="D45" s="64" t="s">
        <v>832</v>
      </c>
      <c r="E45" s="64" t="s">
        <v>832</v>
      </c>
      <c r="F45" s="64" t="s">
        <v>829</v>
      </c>
      <c r="G45" s="64" t="s">
        <v>832</v>
      </c>
      <c r="H45" s="64"/>
      <c r="I45" s="68" t="s">
        <v>34</v>
      </c>
      <c r="J45" s="68"/>
      <c r="K45" s="68">
        <v>110</v>
      </c>
      <c r="L45" s="3" t="str">
        <f>VLOOKUP(K45,'GACETA 3'!$E$9:$F$75,2,0)</f>
        <v>Acción Cívica</v>
      </c>
      <c r="M45" s="3" t="str">
        <f t="shared" si="0"/>
        <v>0202020102</v>
      </c>
      <c r="N45" s="3" t="str">
        <f>VLOOKUP(M45,GACETA!$A$1:$C$186,3,0)</f>
        <v>M</v>
      </c>
      <c r="O45" s="3" t="str">
        <f>VLOOKUP(M45,GACETA!$A$1:$C$186,2,0)</f>
        <v>Apoyo Solidario</v>
      </c>
      <c r="P45" s="250" t="s">
        <v>335</v>
      </c>
      <c r="Q45" s="250" t="s">
        <v>338</v>
      </c>
      <c r="R45" s="67" t="s">
        <v>976</v>
      </c>
      <c r="S45" s="67" t="s">
        <v>86</v>
      </c>
      <c r="T45" s="67" t="s">
        <v>266</v>
      </c>
    </row>
    <row r="46" spans="1:20" ht="35.25" customHeight="1" x14ac:dyDescent="0.3">
      <c r="A46" s="282"/>
      <c r="B46" s="282"/>
      <c r="C46" s="64" t="s">
        <v>832</v>
      </c>
      <c r="D46" s="65" t="s">
        <v>832</v>
      </c>
      <c r="E46" s="65" t="s">
        <v>832</v>
      </c>
      <c r="F46" s="65" t="s">
        <v>829</v>
      </c>
      <c r="G46" s="65" t="s">
        <v>832</v>
      </c>
      <c r="H46" s="65"/>
      <c r="I46" s="63" t="s">
        <v>28</v>
      </c>
      <c r="J46" s="63"/>
      <c r="K46" s="63">
        <v>110</v>
      </c>
      <c r="L46" s="3" t="str">
        <f>VLOOKUP(K46,'GACETA 3'!$E$9:$F$75,2,0)</f>
        <v>Acción Cívica</v>
      </c>
      <c r="M46" s="3" t="str">
        <f t="shared" si="0"/>
        <v>0202020102</v>
      </c>
      <c r="N46" s="3" t="str">
        <f>VLOOKUP(M46,GACETA!$A$1:$C$186,3,0)</f>
        <v>M</v>
      </c>
      <c r="O46" s="3" t="str">
        <f>VLOOKUP(M46,GACETA!$A$1:$C$186,2,0)</f>
        <v>Apoyo Solidario</v>
      </c>
      <c r="P46" s="250"/>
      <c r="Q46" s="250"/>
      <c r="R46" s="67" t="s">
        <v>977</v>
      </c>
      <c r="S46" s="67" t="s">
        <v>86</v>
      </c>
      <c r="T46" s="67" t="s">
        <v>979</v>
      </c>
    </row>
    <row r="47" spans="1:20" ht="45" x14ac:dyDescent="0.3">
      <c r="A47" s="282"/>
      <c r="B47" s="282"/>
      <c r="C47" s="64" t="s">
        <v>832</v>
      </c>
      <c r="D47" s="64" t="s">
        <v>832</v>
      </c>
      <c r="E47" s="64" t="s">
        <v>832</v>
      </c>
      <c r="F47" s="64" t="s">
        <v>829</v>
      </c>
      <c r="G47" s="64" t="s">
        <v>832</v>
      </c>
      <c r="H47" s="64"/>
      <c r="I47" s="68" t="s">
        <v>34</v>
      </c>
      <c r="J47" s="68"/>
      <c r="K47" s="68">
        <v>110</v>
      </c>
      <c r="L47" s="3" t="str">
        <f>VLOOKUP(K47,'GACETA 3'!$E$9:$F$75,2,0)</f>
        <v>Acción Cívica</v>
      </c>
      <c r="M47" s="3" t="str">
        <f t="shared" si="0"/>
        <v>0202020102</v>
      </c>
      <c r="N47" s="3" t="str">
        <f>VLOOKUP(M47,GACETA!$A$1:$C$186,3,0)</f>
        <v>M</v>
      </c>
      <c r="O47" s="3" t="str">
        <f>VLOOKUP(M47,GACETA!$A$1:$C$186,2,0)</f>
        <v>Apoyo Solidario</v>
      </c>
      <c r="P47" s="250"/>
      <c r="Q47" s="250"/>
      <c r="R47" s="67" t="s">
        <v>978</v>
      </c>
      <c r="S47" s="67" t="s">
        <v>86</v>
      </c>
      <c r="T47" s="67" t="s">
        <v>980</v>
      </c>
    </row>
    <row r="48" spans="1:20" ht="31.5" customHeight="1" x14ac:dyDescent="0.3">
      <c r="A48" s="282" t="s">
        <v>35</v>
      </c>
      <c r="B48" s="282" t="s">
        <v>15</v>
      </c>
      <c r="C48" s="64" t="s">
        <v>832</v>
      </c>
      <c r="D48" s="64" t="s">
        <v>832</v>
      </c>
      <c r="E48" s="64" t="s">
        <v>832</v>
      </c>
      <c r="F48" s="64" t="s">
        <v>829</v>
      </c>
      <c r="G48" s="64" t="s">
        <v>832</v>
      </c>
      <c r="H48" s="64"/>
      <c r="I48" s="66" t="s">
        <v>35</v>
      </c>
      <c r="J48" s="66"/>
      <c r="K48" s="68">
        <v>110</v>
      </c>
      <c r="L48" s="3" t="str">
        <f>VLOOKUP(K48,'GACETA 3'!$E$9:$F$75,2,0)</f>
        <v>Acción Cívica</v>
      </c>
      <c r="M48" s="3" t="str">
        <f t="shared" si="0"/>
        <v>0202020102</v>
      </c>
      <c r="N48" s="3" t="str">
        <f>VLOOKUP(M48,GACETA!$A$1:$C$186,3,0)</f>
        <v>M</v>
      </c>
      <c r="O48" s="3" t="str">
        <f>VLOOKUP(M48,GACETA!$A$1:$C$186,2,0)</f>
        <v>Apoyo Solidario</v>
      </c>
      <c r="P48" s="250" t="s">
        <v>335</v>
      </c>
      <c r="Q48" s="250" t="s">
        <v>338</v>
      </c>
      <c r="R48" s="67" t="s">
        <v>976</v>
      </c>
      <c r="S48" s="67" t="s">
        <v>86</v>
      </c>
      <c r="T48" s="67" t="s">
        <v>266</v>
      </c>
    </row>
    <row r="49" spans="1:20" ht="36.75" customHeight="1" x14ac:dyDescent="0.3">
      <c r="A49" s="282"/>
      <c r="B49" s="282"/>
      <c r="C49" s="64" t="s">
        <v>832</v>
      </c>
      <c r="D49" s="65" t="s">
        <v>832</v>
      </c>
      <c r="E49" s="65" t="s">
        <v>832</v>
      </c>
      <c r="F49" s="65" t="s">
        <v>829</v>
      </c>
      <c r="G49" s="65" t="s">
        <v>832</v>
      </c>
      <c r="H49" s="65"/>
      <c r="I49" s="63" t="s">
        <v>28</v>
      </c>
      <c r="J49" s="63"/>
      <c r="K49" s="63">
        <v>110</v>
      </c>
      <c r="L49" s="3" t="str">
        <f>VLOOKUP(K49,'GACETA 3'!$E$9:$F$75,2,0)</f>
        <v>Acción Cívica</v>
      </c>
      <c r="M49" s="3" t="str">
        <f t="shared" si="0"/>
        <v>0202020102</v>
      </c>
      <c r="N49" s="3" t="str">
        <f>VLOOKUP(M49,GACETA!$A$1:$C$186,3,0)</f>
        <v>M</v>
      </c>
      <c r="O49" s="3" t="str">
        <f>VLOOKUP(M49,GACETA!$A$1:$C$186,2,0)</f>
        <v>Apoyo Solidario</v>
      </c>
      <c r="P49" s="250"/>
      <c r="Q49" s="250"/>
      <c r="R49" s="67" t="s">
        <v>977</v>
      </c>
      <c r="S49" s="67" t="s">
        <v>86</v>
      </c>
      <c r="T49" s="67" t="s">
        <v>979</v>
      </c>
    </row>
    <row r="50" spans="1:20" ht="45" x14ac:dyDescent="0.3">
      <c r="A50" s="282"/>
      <c r="B50" s="282"/>
      <c r="C50" s="64" t="s">
        <v>832</v>
      </c>
      <c r="D50" s="64" t="s">
        <v>832</v>
      </c>
      <c r="E50" s="64" t="s">
        <v>832</v>
      </c>
      <c r="F50" s="64" t="s">
        <v>829</v>
      </c>
      <c r="G50" s="64" t="s">
        <v>832</v>
      </c>
      <c r="H50" s="64"/>
      <c r="I50" s="66" t="s">
        <v>35</v>
      </c>
      <c r="J50" s="66"/>
      <c r="K50" s="68">
        <v>110</v>
      </c>
      <c r="L50" s="3" t="str">
        <f>VLOOKUP(K50,'GACETA 3'!$E$9:$F$75,2,0)</f>
        <v>Acción Cívica</v>
      </c>
      <c r="M50" s="3" t="str">
        <f t="shared" si="0"/>
        <v>0202020102</v>
      </c>
      <c r="N50" s="3" t="str">
        <f>VLOOKUP(M50,GACETA!$A$1:$C$186,3,0)</f>
        <v>M</v>
      </c>
      <c r="O50" s="3" t="str">
        <f>VLOOKUP(M50,GACETA!$A$1:$C$186,2,0)</f>
        <v>Apoyo Solidario</v>
      </c>
      <c r="P50" s="250"/>
      <c r="Q50" s="250"/>
      <c r="R50" s="67" t="s">
        <v>978</v>
      </c>
      <c r="S50" s="67" t="s">
        <v>86</v>
      </c>
      <c r="T50" s="67" t="s">
        <v>980</v>
      </c>
    </row>
    <row r="51" spans="1:20" ht="39" customHeight="1" x14ac:dyDescent="0.3">
      <c r="A51" s="282" t="s">
        <v>36</v>
      </c>
      <c r="B51" s="282" t="s">
        <v>14</v>
      </c>
      <c r="C51" s="64" t="s">
        <v>832</v>
      </c>
      <c r="D51" s="64" t="s">
        <v>832</v>
      </c>
      <c r="E51" s="64" t="s">
        <v>832</v>
      </c>
      <c r="F51" s="64" t="s">
        <v>829</v>
      </c>
      <c r="G51" s="64" t="s">
        <v>832</v>
      </c>
      <c r="H51" s="64"/>
      <c r="I51" s="66" t="s">
        <v>36</v>
      </c>
      <c r="J51" s="66"/>
      <c r="K51" s="68">
        <v>110</v>
      </c>
      <c r="L51" s="3" t="str">
        <f>VLOOKUP(K51,'GACETA 3'!$E$9:$F$75,2,0)</f>
        <v>Acción Cívica</v>
      </c>
      <c r="M51" s="3" t="str">
        <f t="shared" si="0"/>
        <v>0202020102</v>
      </c>
      <c r="N51" s="3" t="str">
        <f>VLOOKUP(M51,GACETA!$A$1:$C$186,3,0)</f>
        <v>M</v>
      </c>
      <c r="O51" s="3" t="str">
        <f>VLOOKUP(M51,GACETA!$A$1:$C$186,2,0)</f>
        <v>Apoyo Solidario</v>
      </c>
      <c r="P51" s="250" t="s">
        <v>335</v>
      </c>
      <c r="Q51" s="250" t="s">
        <v>338</v>
      </c>
      <c r="R51" s="67" t="s">
        <v>976</v>
      </c>
      <c r="S51" s="67" t="s">
        <v>86</v>
      </c>
      <c r="T51" s="67" t="s">
        <v>266</v>
      </c>
    </row>
    <row r="52" spans="1:20" ht="38.25" customHeight="1" x14ac:dyDescent="0.3">
      <c r="A52" s="282"/>
      <c r="B52" s="282"/>
      <c r="C52" s="64" t="s">
        <v>832</v>
      </c>
      <c r="D52" s="65" t="s">
        <v>832</v>
      </c>
      <c r="E52" s="65" t="s">
        <v>832</v>
      </c>
      <c r="F52" s="65" t="s">
        <v>829</v>
      </c>
      <c r="G52" s="65" t="s">
        <v>832</v>
      </c>
      <c r="H52" s="65"/>
      <c r="I52" s="63" t="s">
        <v>28</v>
      </c>
      <c r="J52" s="63"/>
      <c r="K52" s="63">
        <v>110</v>
      </c>
      <c r="L52" s="3" t="str">
        <f>VLOOKUP(K52,'GACETA 3'!$E$9:$F$75,2,0)</f>
        <v>Acción Cívica</v>
      </c>
      <c r="M52" s="3" t="str">
        <f t="shared" si="0"/>
        <v>0202020102</v>
      </c>
      <c r="N52" s="3" t="str">
        <f>VLOOKUP(M52,GACETA!$A$1:$C$186,3,0)</f>
        <v>M</v>
      </c>
      <c r="O52" s="3" t="str">
        <f>VLOOKUP(M52,GACETA!$A$1:$C$186,2,0)</f>
        <v>Apoyo Solidario</v>
      </c>
      <c r="P52" s="250"/>
      <c r="Q52" s="250"/>
      <c r="R52" s="67" t="s">
        <v>977</v>
      </c>
      <c r="S52" s="67" t="s">
        <v>86</v>
      </c>
      <c r="T52" s="67" t="s">
        <v>979</v>
      </c>
    </row>
    <row r="53" spans="1:20" ht="45" x14ac:dyDescent="0.3">
      <c r="A53" s="282"/>
      <c r="B53" s="282"/>
      <c r="C53" s="64" t="s">
        <v>832</v>
      </c>
      <c r="D53" s="64" t="s">
        <v>832</v>
      </c>
      <c r="E53" s="64" t="s">
        <v>832</v>
      </c>
      <c r="F53" s="64" t="s">
        <v>829</v>
      </c>
      <c r="G53" s="64" t="s">
        <v>832</v>
      </c>
      <c r="H53" s="64"/>
      <c r="I53" s="66" t="s">
        <v>36</v>
      </c>
      <c r="J53" s="66"/>
      <c r="K53" s="68">
        <v>110</v>
      </c>
      <c r="L53" s="3" t="str">
        <f>VLOOKUP(K53,'GACETA 3'!$E$9:$F$75,2,0)</f>
        <v>Acción Cívica</v>
      </c>
      <c r="M53" s="3" t="str">
        <f t="shared" si="0"/>
        <v>0202020102</v>
      </c>
      <c r="N53" s="3" t="str">
        <f>VLOOKUP(M53,GACETA!$A$1:$C$186,3,0)</f>
        <v>M</v>
      </c>
      <c r="O53" s="3" t="str">
        <f>VLOOKUP(M53,GACETA!$A$1:$C$186,2,0)</f>
        <v>Apoyo Solidario</v>
      </c>
      <c r="P53" s="250"/>
      <c r="Q53" s="250"/>
      <c r="R53" s="67" t="s">
        <v>978</v>
      </c>
      <c r="S53" s="67" t="s">
        <v>86</v>
      </c>
      <c r="T53" s="67" t="s">
        <v>980</v>
      </c>
    </row>
    <row r="54" spans="1:20" ht="31.5" customHeight="1" x14ac:dyDescent="0.3">
      <c r="A54" s="282" t="s">
        <v>37</v>
      </c>
      <c r="B54" s="282" t="s">
        <v>13</v>
      </c>
      <c r="C54" s="64" t="s">
        <v>832</v>
      </c>
      <c r="D54" s="64" t="s">
        <v>832</v>
      </c>
      <c r="E54" s="64" t="s">
        <v>832</v>
      </c>
      <c r="F54" s="64" t="s">
        <v>829</v>
      </c>
      <c r="G54" s="64" t="s">
        <v>832</v>
      </c>
      <c r="H54" s="64"/>
      <c r="I54" s="66" t="s">
        <v>37</v>
      </c>
      <c r="J54" s="66"/>
      <c r="K54" s="68">
        <v>110</v>
      </c>
      <c r="L54" s="3" t="str">
        <f>VLOOKUP(K54,'GACETA 3'!$E$9:$F$75,2,0)</f>
        <v>Acción Cívica</v>
      </c>
      <c r="M54" s="3" t="str">
        <f t="shared" si="0"/>
        <v>0202020102</v>
      </c>
      <c r="N54" s="3" t="str">
        <f>VLOOKUP(M54,GACETA!$A$1:$C$186,3,0)</f>
        <v>M</v>
      </c>
      <c r="O54" s="3" t="str">
        <f>VLOOKUP(M54,GACETA!$A$1:$C$186,2,0)</f>
        <v>Apoyo Solidario</v>
      </c>
      <c r="P54" s="250" t="s">
        <v>335</v>
      </c>
      <c r="Q54" s="250" t="s">
        <v>338</v>
      </c>
      <c r="R54" s="67" t="s">
        <v>976</v>
      </c>
      <c r="S54" s="67" t="s">
        <v>86</v>
      </c>
      <c r="T54" s="67" t="s">
        <v>266</v>
      </c>
    </row>
    <row r="55" spans="1:20" ht="35.25" customHeight="1" x14ac:dyDescent="0.3">
      <c r="A55" s="282"/>
      <c r="B55" s="282"/>
      <c r="C55" s="64" t="s">
        <v>832</v>
      </c>
      <c r="D55" s="64" t="s">
        <v>832</v>
      </c>
      <c r="E55" s="64" t="s">
        <v>832</v>
      </c>
      <c r="F55" s="64" t="s">
        <v>829</v>
      </c>
      <c r="G55" s="64" t="s">
        <v>832</v>
      </c>
      <c r="H55" s="64"/>
      <c r="I55" s="66" t="s">
        <v>37</v>
      </c>
      <c r="J55" s="66"/>
      <c r="K55" s="68">
        <v>110</v>
      </c>
      <c r="L55" s="3" t="str">
        <f>VLOOKUP(K55,'GACETA 3'!$E$9:$F$75,2,0)</f>
        <v>Acción Cívica</v>
      </c>
      <c r="M55" s="3" t="str">
        <f t="shared" si="0"/>
        <v>0202020102</v>
      </c>
      <c r="N55" s="3" t="str">
        <f>VLOOKUP(M55,GACETA!$A$1:$C$186,3,0)</f>
        <v>M</v>
      </c>
      <c r="O55" s="3" t="str">
        <f>VLOOKUP(M55,GACETA!$A$1:$C$186,2,0)</f>
        <v>Apoyo Solidario</v>
      </c>
      <c r="P55" s="250"/>
      <c r="Q55" s="250"/>
      <c r="R55" s="67" t="s">
        <v>977</v>
      </c>
      <c r="S55" s="67" t="s">
        <v>86</v>
      </c>
      <c r="T55" s="67" t="s">
        <v>979</v>
      </c>
    </row>
    <row r="56" spans="1:20" ht="45" x14ac:dyDescent="0.3">
      <c r="A56" s="282"/>
      <c r="B56" s="282"/>
      <c r="C56" s="64" t="s">
        <v>832</v>
      </c>
      <c r="D56" s="64" t="s">
        <v>832</v>
      </c>
      <c r="E56" s="64" t="s">
        <v>832</v>
      </c>
      <c r="F56" s="64" t="s">
        <v>829</v>
      </c>
      <c r="G56" s="64" t="s">
        <v>832</v>
      </c>
      <c r="H56" s="64"/>
      <c r="I56" s="66" t="s">
        <v>37</v>
      </c>
      <c r="J56" s="66"/>
      <c r="K56" s="68">
        <v>110</v>
      </c>
      <c r="L56" s="3" t="str">
        <f>VLOOKUP(K56,'GACETA 3'!$E$9:$F$75,2,0)</f>
        <v>Acción Cívica</v>
      </c>
      <c r="M56" s="3" t="str">
        <f t="shared" si="0"/>
        <v>0202020102</v>
      </c>
      <c r="N56" s="3" t="str">
        <f>VLOOKUP(M56,GACETA!$A$1:$C$186,3,0)</f>
        <v>M</v>
      </c>
      <c r="O56" s="3" t="str">
        <f>VLOOKUP(M56,GACETA!$A$1:$C$186,2,0)</f>
        <v>Apoyo Solidario</v>
      </c>
      <c r="P56" s="250"/>
      <c r="Q56" s="250"/>
      <c r="R56" s="67" t="s">
        <v>978</v>
      </c>
      <c r="S56" s="67" t="s">
        <v>86</v>
      </c>
      <c r="T56" s="67" t="s">
        <v>980</v>
      </c>
    </row>
    <row r="57" spans="1:20" ht="42.75" customHeight="1" x14ac:dyDescent="0.3">
      <c r="A57" s="282" t="s">
        <v>38</v>
      </c>
      <c r="B57" s="282" t="s">
        <v>12</v>
      </c>
      <c r="C57" s="64" t="s">
        <v>832</v>
      </c>
      <c r="D57" s="64" t="s">
        <v>832</v>
      </c>
      <c r="E57" s="64" t="s">
        <v>832</v>
      </c>
      <c r="F57" s="64" t="s">
        <v>829</v>
      </c>
      <c r="G57" s="64" t="s">
        <v>832</v>
      </c>
      <c r="H57" s="64"/>
      <c r="I57" s="66" t="s">
        <v>38</v>
      </c>
      <c r="J57" s="66"/>
      <c r="K57" s="68">
        <v>110</v>
      </c>
      <c r="L57" s="3" t="str">
        <f>VLOOKUP(K57,'GACETA 3'!$E$9:$F$75,2,0)</f>
        <v>Acción Cívica</v>
      </c>
      <c r="M57" s="3" t="str">
        <f t="shared" si="0"/>
        <v>0202020102</v>
      </c>
      <c r="N57" s="3" t="str">
        <f>VLOOKUP(M57,GACETA!$A$1:$C$186,3,0)</f>
        <v>M</v>
      </c>
      <c r="O57" s="3" t="str">
        <f>VLOOKUP(M57,GACETA!$A$1:$C$186,2,0)</f>
        <v>Apoyo Solidario</v>
      </c>
      <c r="P57" s="250" t="s">
        <v>335</v>
      </c>
      <c r="Q57" s="250" t="s">
        <v>338</v>
      </c>
      <c r="R57" s="67" t="s">
        <v>976</v>
      </c>
      <c r="S57" s="67" t="s">
        <v>86</v>
      </c>
      <c r="T57" s="67" t="s">
        <v>266</v>
      </c>
    </row>
    <row r="58" spans="1:20" ht="36" customHeight="1" x14ac:dyDescent="0.3">
      <c r="A58" s="282"/>
      <c r="B58" s="282"/>
      <c r="C58" s="64" t="s">
        <v>832</v>
      </c>
      <c r="D58" s="64" t="s">
        <v>832</v>
      </c>
      <c r="E58" s="64" t="s">
        <v>832</v>
      </c>
      <c r="F58" s="64" t="s">
        <v>829</v>
      </c>
      <c r="G58" s="64" t="s">
        <v>832</v>
      </c>
      <c r="H58" s="64"/>
      <c r="I58" s="66" t="s">
        <v>37</v>
      </c>
      <c r="J58" s="66"/>
      <c r="K58" s="68">
        <v>110</v>
      </c>
      <c r="L58" s="3" t="str">
        <f>VLOOKUP(K58,'GACETA 3'!$E$9:$F$75,2,0)</f>
        <v>Acción Cívica</v>
      </c>
      <c r="M58" s="3" t="str">
        <f t="shared" si="0"/>
        <v>0202020102</v>
      </c>
      <c r="N58" s="3" t="str">
        <f>VLOOKUP(M58,GACETA!$A$1:$C$186,3,0)</f>
        <v>M</v>
      </c>
      <c r="O58" s="3" t="str">
        <f>VLOOKUP(M58,GACETA!$A$1:$C$186,2,0)</f>
        <v>Apoyo Solidario</v>
      </c>
      <c r="P58" s="250"/>
      <c r="Q58" s="250"/>
      <c r="R58" s="67" t="s">
        <v>977</v>
      </c>
      <c r="S58" s="67" t="s">
        <v>86</v>
      </c>
      <c r="T58" s="67" t="s">
        <v>979</v>
      </c>
    </row>
    <row r="59" spans="1:20" ht="45" x14ac:dyDescent="0.3">
      <c r="A59" s="282"/>
      <c r="B59" s="282"/>
      <c r="C59" s="64" t="s">
        <v>832</v>
      </c>
      <c r="D59" s="64" t="s">
        <v>832</v>
      </c>
      <c r="E59" s="64" t="s">
        <v>832</v>
      </c>
      <c r="F59" s="64" t="s">
        <v>829</v>
      </c>
      <c r="G59" s="64" t="s">
        <v>832</v>
      </c>
      <c r="H59" s="64"/>
      <c r="I59" s="66" t="s">
        <v>38</v>
      </c>
      <c r="J59" s="66"/>
      <c r="K59" s="68">
        <v>110</v>
      </c>
      <c r="L59" s="3" t="str">
        <f>VLOOKUP(K59,'GACETA 3'!$E$9:$F$75,2,0)</f>
        <v>Acción Cívica</v>
      </c>
      <c r="M59" s="3" t="str">
        <f t="shared" si="0"/>
        <v>0202020102</v>
      </c>
      <c r="N59" s="3" t="str">
        <f>VLOOKUP(M59,GACETA!$A$1:$C$186,3,0)</f>
        <v>M</v>
      </c>
      <c r="O59" s="3" t="str">
        <f>VLOOKUP(M59,GACETA!$A$1:$C$186,2,0)</f>
        <v>Apoyo Solidario</v>
      </c>
      <c r="P59" s="250"/>
      <c r="Q59" s="250"/>
      <c r="R59" s="67" t="s">
        <v>978</v>
      </c>
      <c r="S59" s="67" t="s">
        <v>86</v>
      </c>
      <c r="T59" s="67" t="s">
        <v>980</v>
      </c>
    </row>
    <row r="60" spans="1:20" ht="41.25" customHeight="1" x14ac:dyDescent="0.3">
      <c r="A60" s="282" t="s">
        <v>39</v>
      </c>
      <c r="B60" s="282" t="s">
        <v>11</v>
      </c>
      <c r="C60" s="64" t="s">
        <v>832</v>
      </c>
      <c r="D60" s="64" t="s">
        <v>832</v>
      </c>
      <c r="E60" s="64" t="s">
        <v>832</v>
      </c>
      <c r="F60" s="64" t="s">
        <v>829</v>
      </c>
      <c r="G60" s="64" t="s">
        <v>832</v>
      </c>
      <c r="H60" s="64"/>
      <c r="I60" s="66" t="s">
        <v>39</v>
      </c>
      <c r="J60" s="66"/>
      <c r="K60" s="68">
        <v>110</v>
      </c>
      <c r="L60" s="3" t="str">
        <f>VLOOKUP(K60,'GACETA 3'!$E$9:$F$75,2,0)</f>
        <v>Acción Cívica</v>
      </c>
      <c r="M60" s="3" t="str">
        <f t="shared" si="0"/>
        <v>0202020102</v>
      </c>
      <c r="N60" s="3" t="str">
        <f>VLOOKUP(M60,GACETA!$A$1:$C$186,3,0)</f>
        <v>M</v>
      </c>
      <c r="O60" s="3" t="str">
        <f>VLOOKUP(M60,GACETA!$A$1:$C$186,2,0)</f>
        <v>Apoyo Solidario</v>
      </c>
      <c r="P60" s="250" t="s">
        <v>335</v>
      </c>
      <c r="Q60" s="250" t="s">
        <v>338</v>
      </c>
      <c r="R60" s="67" t="s">
        <v>976</v>
      </c>
      <c r="S60" s="67" t="s">
        <v>86</v>
      </c>
      <c r="T60" s="67" t="s">
        <v>266</v>
      </c>
    </row>
    <row r="61" spans="1:20" ht="36.75" customHeight="1" x14ac:dyDescent="0.3">
      <c r="A61" s="282"/>
      <c r="B61" s="282"/>
      <c r="C61" s="64" t="s">
        <v>832</v>
      </c>
      <c r="D61" s="64" t="s">
        <v>832</v>
      </c>
      <c r="E61" s="64" t="s">
        <v>832</v>
      </c>
      <c r="F61" s="64" t="s">
        <v>829</v>
      </c>
      <c r="G61" s="64" t="s">
        <v>832</v>
      </c>
      <c r="H61" s="64"/>
      <c r="I61" s="66" t="s">
        <v>37</v>
      </c>
      <c r="J61" s="66"/>
      <c r="K61" s="68">
        <v>110</v>
      </c>
      <c r="L61" s="3" t="str">
        <f>VLOOKUP(K61,'GACETA 3'!$E$9:$F$75,2,0)</f>
        <v>Acción Cívica</v>
      </c>
      <c r="M61" s="3" t="str">
        <f t="shared" si="0"/>
        <v>0202020102</v>
      </c>
      <c r="N61" s="3" t="str">
        <f>VLOOKUP(M61,GACETA!$A$1:$C$186,3,0)</f>
        <v>M</v>
      </c>
      <c r="O61" s="3" t="str">
        <f>VLOOKUP(M61,GACETA!$A$1:$C$186,2,0)</f>
        <v>Apoyo Solidario</v>
      </c>
      <c r="P61" s="250"/>
      <c r="Q61" s="250"/>
      <c r="R61" s="67" t="s">
        <v>977</v>
      </c>
      <c r="S61" s="67" t="s">
        <v>86</v>
      </c>
      <c r="T61" s="67" t="s">
        <v>979</v>
      </c>
    </row>
    <row r="62" spans="1:20" ht="45" x14ac:dyDescent="0.3">
      <c r="A62" s="282"/>
      <c r="B62" s="282"/>
      <c r="C62" s="64" t="s">
        <v>832</v>
      </c>
      <c r="D62" s="64" t="s">
        <v>832</v>
      </c>
      <c r="E62" s="64" t="s">
        <v>832</v>
      </c>
      <c r="F62" s="64" t="s">
        <v>829</v>
      </c>
      <c r="G62" s="64" t="s">
        <v>832</v>
      </c>
      <c r="H62" s="64"/>
      <c r="I62" s="66" t="s">
        <v>39</v>
      </c>
      <c r="J62" s="66"/>
      <c r="K62" s="68">
        <v>110</v>
      </c>
      <c r="L62" s="3" t="str">
        <f>VLOOKUP(K62,'GACETA 3'!$E$9:$F$75,2,0)</f>
        <v>Acción Cívica</v>
      </c>
      <c r="M62" s="3" t="str">
        <f t="shared" si="0"/>
        <v>0202020102</v>
      </c>
      <c r="N62" s="3" t="str">
        <f>VLOOKUP(M62,GACETA!$A$1:$C$186,3,0)</f>
        <v>M</v>
      </c>
      <c r="O62" s="3" t="str">
        <f>VLOOKUP(M62,GACETA!$A$1:$C$186,2,0)</f>
        <v>Apoyo Solidario</v>
      </c>
      <c r="P62" s="250"/>
      <c r="Q62" s="250"/>
      <c r="R62" s="67" t="s">
        <v>978</v>
      </c>
      <c r="S62" s="67" t="s">
        <v>86</v>
      </c>
      <c r="T62" s="67" t="s">
        <v>980</v>
      </c>
    </row>
    <row r="63" spans="1:20" ht="33.75" customHeight="1" x14ac:dyDescent="0.3">
      <c r="A63" s="282" t="s">
        <v>40</v>
      </c>
      <c r="B63" s="282" t="s">
        <v>10</v>
      </c>
      <c r="C63" s="64" t="s">
        <v>832</v>
      </c>
      <c r="D63" s="64" t="s">
        <v>832</v>
      </c>
      <c r="E63" s="64" t="s">
        <v>832</v>
      </c>
      <c r="F63" s="64" t="s">
        <v>829</v>
      </c>
      <c r="G63" s="64" t="s">
        <v>832</v>
      </c>
      <c r="H63" s="64"/>
      <c r="I63" s="66" t="s">
        <v>40</v>
      </c>
      <c r="J63" s="66"/>
      <c r="K63" s="68">
        <v>110</v>
      </c>
      <c r="L63" s="3" t="str">
        <f>VLOOKUP(K63,'GACETA 3'!$E$9:$F$75,2,0)</f>
        <v>Acción Cívica</v>
      </c>
      <c r="M63" s="3" t="str">
        <f t="shared" si="0"/>
        <v>0202020102</v>
      </c>
      <c r="N63" s="3" t="str">
        <f>VLOOKUP(M63,GACETA!$A$1:$C$186,3,0)</f>
        <v>M</v>
      </c>
      <c r="O63" s="3" t="str">
        <f>VLOOKUP(M63,GACETA!$A$1:$C$186,2,0)</f>
        <v>Apoyo Solidario</v>
      </c>
      <c r="P63" s="250" t="s">
        <v>335</v>
      </c>
      <c r="Q63" s="250" t="s">
        <v>338</v>
      </c>
      <c r="R63" s="67" t="s">
        <v>976</v>
      </c>
      <c r="S63" s="67" t="s">
        <v>86</v>
      </c>
      <c r="T63" s="67" t="s">
        <v>266</v>
      </c>
    </row>
    <row r="64" spans="1:20" ht="37.5" customHeight="1" x14ac:dyDescent="0.3">
      <c r="A64" s="282"/>
      <c r="B64" s="282"/>
      <c r="C64" s="64" t="s">
        <v>832</v>
      </c>
      <c r="D64" s="64" t="s">
        <v>832</v>
      </c>
      <c r="E64" s="64" t="s">
        <v>832</v>
      </c>
      <c r="F64" s="64" t="s">
        <v>829</v>
      </c>
      <c r="G64" s="64" t="s">
        <v>832</v>
      </c>
      <c r="H64" s="64"/>
      <c r="I64" s="66" t="s">
        <v>37</v>
      </c>
      <c r="J64" s="66"/>
      <c r="K64" s="68">
        <v>110</v>
      </c>
      <c r="L64" s="3" t="str">
        <f>VLOOKUP(K64,'GACETA 3'!$E$9:$F$75,2,0)</f>
        <v>Acción Cívica</v>
      </c>
      <c r="M64" s="3" t="str">
        <f t="shared" si="0"/>
        <v>0202020102</v>
      </c>
      <c r="N64" s="3" t="str">
        <f>VLOOKUP(M64,GACETA!$A$1:$C$186,3,0)</f>
        <v>M</v>
      </c>
      <c r="O64" s="3" t="str">
        <f>VLOOKUP(M64,GACETA!$A$1:$C$186,2,0)</f>
        <v>Apoyo Solidario</v>
      </c>
      <c r="P64" s="250"/>
      <c r="Q64" s="250"/>
      <c r="R64" s="67" t="s">
        <v>977</v>
      </c>
      <c r="S64" s="67" t="s">
        <v>86</v>
      </c>
      <c r="T64" s="67" t="s">
        <v>979</v>
      </c>
    </row>
    <row r="65" spans="1:20" ht="45" x14ac:dyDescent="0.3">
      <c r="A65" s="282"/>
      <c r="B65" s="282"/>
      <c r="C65" s="64" t="s">
        <v>832</v>
      </c>
      <c r="D65" s="64" t="s">
        <v>832</v>
      </c>
      <c r="E65" s="64" t="s">
        <v>832</v>
      </c>
      <c r="F65" s="64" t="s">
        <v>829</v>
      </c>
      <c r="G65" s="64" t="s">
        <v>832</v>
      </c>
      <c r="H65" s="64"/>
      <c r="I65" s="66" t="s">
        <v>40</v>
      </c>
      <c r="J65" s="66"/>
      <c r="K65" s="68">
        <v>110</v>
      </c>
      <c r="L65" s="3" t="str">
        <f>VLOOKUP(K65,'GACETA 3'!$E$9:$F$75,2,0)</f>
        <v>Acción Cívica</v>
      </c>
      <c r="M65" s="3" t="str">
        <f t="shared" si="0"/>
        <v>0202020102</v>
      </c>
      <c r="N65" s="3" t="str">
        <f>VLOOKUP(M65,GACETA!$A$1:$C$186,3,0)</f>
        <v>M</v>
      </c>
      <c r="O65" s="3" t="str">
        <f>VLOOKUP(M65,GACETA!$A$1:$C$186,2,0)</f>
        <v>Apoyo Solidario</v>
      </c>
      <c r="P65" s="250"/>
      <c r="Q65" s="250"/>
      <c r="R65" s="67" t="s">
        <v>978</v>
      </c>
      <c r="S65" s="67" t="s">
        <v>86</v>
      </c>
      <c r="T65" s="67" t="s">
        <v>980</v>
      </c>
    </row>
    <row r="66" spans="1:20" s="188" customFormat="1" ht="30" x14ac:dyDescent="0.3">
      <c r="A66" s="276" t="s">
        <v>46</v>
      </c>
      <c r="B66" s="276" t="s">
        <v>8</v>
      </c>
      <c r="C66" s="69" t="s">
        <v>829</v>
      </c>
      <c r="D66" s="70" t="s">
        <v>833</v>
      </c>
      <c r="E66" s="70" t="s">
        <v>832</v>
      </c>
      <c r="F66" s="70" t="s">
        <v>832</v>
      </c>
      <c r="G66" s="74" t="s">
        <v>829</v>
      </c>
      <c r="H66" s="70"/>
      <c r="I66" s="71" t="s">
        <v>46</v>
      </c>
      <c r="J66" s="71"/>
      <c r="K66" s="72">
        <v>115</v>
      </c>
      <c r="L66" s="3" t="str">
        <f>VLOOKUP(K66,'GACETA 3'!$E$9:$F$75,2,0)</f>
        <v>Ingresos</v>
      </c>
      <c r="M66" s="3" t="str">
        <f t="shared" si="0"/>
        <v>0105020201</v>
      </c>
      <c r="N66" s="3" t="str">
        <f>VLOOKUP(M66,GACETA!$A$1:$C$186,3,0)</f>
        <v>E</v>
      </c>
      <c r="O66" s="3" t="str">
        <f>VLOOKUP(M66,GACETA!$A$1:$C$186,2,0)</f>
        <v>Captación y recaudación de ingresos</v>
      </c>
      <c r="P66" s="253" t="s">
        <v>374</v>
      </c>
      <c r="Q66" s="253" t="s">
        <v>375</v>
      </c>
      <c r="R66" s="187" t="s">
        <v>1038</v>
      </c>
      <c r="S66" s="71" t="s">
        <v>86</v>
      </c>
      <c r="T66" s="71" t="s">
        <v>130</v>
      </c>
    </row>
    <row r="67" spans="1:20" s="188" customFormat="1" ht="30" x14ac:dyDescent="0.3">
      <c r="A67" s="277"/>
      <c r="B67" s="277"/>
      <c r="C67" s="69" t="s">
        <v>829</v>
      </c>
      <c r="D67" s="70" t="s">
        <v>833</v>
      </c>
      <c r="E67" s="70" t="s">
        <v>832</v>
      </c>
      <c r="F67" s="70" t="s">
        <v>832</v>
      </c>
      <c r="G67" s="74" t="s">
        <v>829</v>
      </c>
      <c r="H67" s="70"/>
      <c r="I67" s="71" t="s">
        <v>46</v>
      </c>
      <c r="J67" s="71"/>
      <c r="K67" s="72">
        <v>115</v>
      </c>
      <c r="L67" s="3" t="str">
        <f>VLOOKUP(K67,'GACETA 3'!$E$9:$F$75,2,0)</f>
        <v>Ingresos</v>
      </c>
      <c r="M67" s="3" t="str">
        <f t="shared" ref="M67:M130" si="1">CONCATENATE(C67,D67,E67,F67,G67)</f>
        <v>0105020201</v>
      </c>
      <c r="N67" s="3" t="str">
        <f>VLOOKUP(M67,GACETA!$A$1:$C$186,3,0)</f>
        <v>E</v>
      </c>
      <c r="O67" s="3" t="str">
        <f>VLOOKUP(M67,GACETA!$A$1:$C$186,2,0)</f>
        <v>Captación y recaudación de ingresos</v>
      </c>
      <c r="P67" s="253"/>
      <c r="Q67" s="253"/>
      <c r="R67" s="187" t="s">
        <v>1039</v>
      </c>
      <c r="S67" s="71" t="s">
        <v>86</v>
      </c>
      <c r="T67" s="71" t="s">
        <v>378</v>
      </c>
    </row>
    <row r="68" spans="1:20" s="188" customFormat="1" ht="30" x14ac:dyDescent="0.3">
      <c r="A68" s="277"/>
      <c r="B68" s="277"/>
      <c r="C68" s="69" t="s">
        <v>829</v>
      </c>
      <c r="D68" s="70" t="s">
        <v>833</v>
      </c>
      <c r="E68" s="70" t="s">
        <v>832</v>
      </c>
      <c r="F68" s="70" t="s">
        <v>832</v>
      </c>
      <c r="G68" s="74" t="s">
        <v>829</v>
      </c>
      <c r="H68" s="70"/>
      <c r="I68" s="71" t="s">
        <v>46</v>
      </c>
      <c r="J68" s="71"/>
      <c r="K68" s="72">
        <v>115</v>
      </c>
      <c r="L68" s="3" t="str">
        <f>VLOOKUP(K68,'GACETA 3'!$E$9:$F$75,2,0)</f>
        <v>Ingresos</v>
      </c>
      <c r="M68" s="3" t="str">
        <f t="shared" si="1"/>
        <v>0105020201</v>
      </c>
      <c r="N68" s="3" t="str">
        <f>VLOOKUP(M68,GACETA!$A$1:$C$186,3,0)</f>
        <v>E</v>
      </c>
      <c r="O68" s="3" t="str">
        <f>VLOOKUP(M68,GACETA!$A$1:$C$186,2,0)</f>
        <v>Captación y recaudación de ingresos</v>
      </c>
      <c r="P68" s="253"/>
      <c r="Q68" s="253"/>
      <c r="R68" s="187" t="s">
        <v>1040</v>
      </c>
      <c r="S68" s="71" t="s">
        <v>86</v>
      </c>
      <c r="T68" s="71" t="s">
        <v>169</v>
      </c>
    </row>
    <row r="69" spans="1:20" s="188" customFormat="1" ht="30" x14ac:dyDescent="0.3">
      <c r="A69" s="277"/>
      <c r="B69" s="277"/>
      <c r="C69" s="69" t="s">
        <v>829</v>
      </c>
      <c r="D69" s="70" t="s">
        <v>833</v>
      </c>
      <c r="E69" s="70" t="s">
        <v>832</v>
      </c>
      <c r="F69" s="70" t="s">
        <v>832</v>
      </c>
      <c r="G69" s="74" t="s">
        <v>829</v>
      </c>
      <c r="H69" s="70"/>
      <c r="I69" s="71" t="s">
        <v>46</v>
      </c>
      <c r="J69" s="71"/>
      <c r="K69" s="72">
        <v>115</v>
      </c>
      <c r="L69" s="3" t="str">
        <f>VLOOKUP(K69,'GACETA 3'!$E$9:$F$75,2,0)</f>
        <v>Ingresos</v>
      </c>
      <c r="M69" s="3" t="str">
        <f t="shared" si="1"/>
        <v>0105020201</v>
      </c>
      <c r="N69" s="3" t="str">
        <f>VLOOKUP(M69,GACETA!$A$1:$C$186,3,0)</f>
        <v>E</v>
      </c>
      <c r="O69" s="3" t="str">
        <f>VLOOKUP(M69,GACETA!$A$1:$C$186,2,0)</f>
        <v>Captación y recaudación de ingresos</v>
      </c>
      <c r="P69" s="253"/>
      <c r="Q69" s="253"/>
      <c r="R69" s="187" t="s">
        <v>1041</v>
      </c>
      <c r="S69" s="71" t="s">
        <v>86</v>
      </c>
      <c r="T69" s="71" t="s">
        <v>169</v>
      </c>
    </row>
    <row r="70" spans="1:20" s="188" customFormat="1" ht="30" x14ac:dyDescent="0.3">
      <c r="A70" s="277"/>
      <c r="B70" s="277"/>
      <c r="C70" s="69" t="s">
        <v>829</v>
      </c>
      <c r="D70" s="70" t="s">
        <v>833</v>
      </c>
      <c r="E70" s="70" t="s">
        <v>832</v>
      </c>
      <c r="F70" s="70" t="s">
        <v>832</v>
      </c>
      <c r="G70" s="74" t="s">
        <v>829</v>
      </c>
      <c r="H70" s="70"/>
      <c r="I70" s="71" t="s">
        <v>46</v>
      </c>
      <c r="J70" s="71"/>
      <c r="K70" s="72">
        <v>115</v>
      </c>
      <c r="L70" s="3" t="str">
        <f>VLOOKUP(K70,'GACETA 3'!$E$9:$F$75,2,0)</f>
        <v>Ingresos</v>
      </c>
      <c r="M70" s="3" t="str">
        <f t="shared" si="1"/>
        <v>0105020201</v>
      </c>
      <c r="N70" s="3" t="str">
        <f>VLOOKUP(M70,GACETA!$A$1:$C$186,3,0)</f>
        <v>E</v>
      </c>
      <c r="O70" s="3" t="str">
        <f>VLOOKUP(M70,GACETA!$A$1:$C$186,2,0)</f>
        <v>Captación y recaudación de ingresos</v>
      </c>
      <c r="P70" s="253"/>
      <c r="Q70" s="253"/>
      <c r="R70" s="187" t="s">
        <v>1042</v>
      </c>
      <c r="S70" s="71" t="s">
        <v>86</v>
      </c>
      <c r="T70" s="71" t="s">
        <v>378</v>
      </c>
    </row>
    <row r="71" spans="1:20" s="188" customFormat="1" ht="30" x14ac:dyDescent="0.3">
      <c r="A71" s="277"/>
      <c r="B71" s="277"/>
      <c r="C71" s="69" t="s">
        <v>829</v>
      </c>
      <c r="D71" s="70" t="s">
        <v>833</v>
      </c>
      <c r="E71" s="70" t="s">
        <v>832</v>
      </c>
      <c r="F71" s="70" t="s">
        <v>832</v>
      </c>
      <c r="G71" s="74" t="s">
        <v>829</v>
      </c>
      <c r="H71" s="70"/>
      <c r="I71" s="71" t="s">
        <v>46</v>
      </c>
      <c r="J71" s="71"/>
      <c r="K71" s="72">
        <v>115</v>
      </c>
      <c r="L71" s="3" t="str">
        <f>VLOOKUP(K71,'GACETA 3'!$E$9:$F$75,2,0)</f>
        <v>Ingresos</v>
      </c>
      <c r="M71" s="3" t="str">
        <f t="shared" si="1"/>
        <v>0105020201</v>
      </c>
      <c r="N71" s="3" t="str">
        <f>VLOOKUP(M71,GACETA!$A$1:$C$186,3,0)</f>
        <v>E</v>
      </c>
      <c r="O71" s="3" t="str">
        <f>VLOOKUP(M71,GACETA!$A$1:$C$186,2,0)</f>
        <v>Captación y recaudación de ingresos</v>
      </c>
      <c r="P71" s="253"/>
      <c r="Q71" s="253"/>
      <c r="R71" s="187" t="s">
        <v>1043</v>
      </c>
      <c r="S71" s="71" t="s">
        <v>86</v>
      </c>
      <c r="T71" s="71" t="s">
        <v>378</v>
      </c>
    </row>
    <row r="72" spans="1:20" s="188" customFormat="1" ht="45" x14ac:dyDescent="0.3">
      <c r="A72" s="277"/>
      <c r="B72" s="277"/>
      <c r="C72" s="69" t="s">
        <v>829</v>
      </c>
      <c r="D72" s="70" t="s">
        <v>833</v>
      </c>
      <c r="E72" s="70" t="s">
        <v>832</v>
      </c>
      <c r="F72" s="70" t="s">
        <v>832</v>
      </c>
      <c r="G72" s="74" t="s">
        <v>829</v>
      </c>
      <c r="H72" s="70"/>
      <c r="I72" s="71" t="s">
        <v>46</v>
      </c>
      <c r="J72" s="71"/>
      <c r="K72" s="72">
        <v>115</v>
      </c>
      <c r="L72" s="3" t="str">
        <f>VLOOKUP(K72,'GACETA 3'!$E$9:$F$75,2,0)</f>
        <v>Ingresos</v>
      </c>
      <c r="M72" s="3" t="str">
        <f t="shared" si="1"/>
        <v>0105020201</v>
      </c>
      <c r="N72" s="3" t="str">
        <f>VLOOKUP(M72,GACETA!$A$1:$C$186,3,0)</f>
        <v>E</v>
      </c>
      <c r="O72" s="3" t="str">
        <f>VLOOKUP(M72,GACETA!$A$1:$C$186,2,0)</f>
        <v>Captación y recaudación de ingresos</v>
      </c>
      <c r="P72" s="253"/>
      <c r="Q72" s="253"/>
      <c r="R72" s="187" t="s">
        <v>1044</v>
      </c>
      <c r="S72" s="71" t="s">
        <v>86</v>
      </c>
      <c r="T72" s="71" t="s">
        <v>378</v>
      </c>
    </row>
    <row r="73" spans="1:20" s="188" customFormat="1" ht="30" x14ac:dyDescent="0.3">
      <c r="A73" s="277"/>
      <c r="B73" s="277"/>
      <c r="C73" s="69" t="s">
        <v>829</v>
      </c>
      <c r="D73" s="70" t="s">
        <v>833</v>
      </c>
      <c r="E73" s="70" t="s">
        <v>832</v>
      </c>
      <c r="F73" s="70" t="s">
        <v>832</v>
      </c>
      <c r="G73" s="74" t="s">
        <v>829</v>
      </c>
      <c r="H73" s="70"/>
      <c r="I73" s="71" t="s">
        <v>46</v>
      </c>
      <c r="J73" s="71"/>
      <c r="K73" s="72">
        <v>115</v>
      </c>
      <c r="L73" s="3" t="str">
        <f>VLOOKUP(K73,'GACETA 3'!$E$9:$F$75,2,0)</f>
        <v>Ingresos</v>
      </c>
      <c r="M73" s="3" t="str">
        <f t="shared" si="1"/>
        <v>0105020201</v>
      </c>
      <c r="N73" s="3" t="str">
        <f>VLOOKUP(M73,GACETA!$A$1:$C$186,3,0)</f>
        <v>E</v>
      </c>
      <c r="O73" s="3" t="str">
        <f>VLOOKUP(M73,GACETA!$A$1:$C$186,2,0)</f>
        <v>Captación y recaudación de ingresos</v>
      </c>
      <c r="P73" s="253"/>
      <c r="Q73" s="253"/>
      <c r="R73" s="187" t="s">
        <v>1045</v>
      </c>
      <c r="S73" s="71" t="s">
        <v>86</v>
      </c>
      <c r="T73" s="71" t="s">
        <v>378</v>
      </c>
    </row>
    <row r="74" spans="1:20" s="188" customFormat="1" ht="30" x14ac:dyDescent="0.3">
      <c r="A74" s="277"/>
      <c r="B74" s="277"/>
      <c r="C74" s="69" t="s">
        <v>829</v>
      </c>
      <c r="D74" s="70" t="s">
        <v>833</v>
      </c>
      <c r="E74" s="70" t="s">
        <v>832</v>
      </c>
      <c r="F74" s="70" t="s">
        <v>832</v>
      </c>
      <c r="G74" s="74" t="s">
        <v>829</v>
      </c>
      <c r="H74" s="70"/>
      <c r="I74" s="71" t="s">
        <v>46</v>
      </c>
      <c r="J74" s="71"/>
      <c r="K74" s="72">
        <v>115</v>
      </c>
      <c r="L74" s="3" t="str">
        <f>VLOOKUP(K74,'GACETA 3'!$E$9:$F$75,2,0)</f>
        <v>Ingresos</v>
      </c>
      <c r="M74" s="3" t="str">
        <f t="shared" si="1"/>
        <v>0105020201</v>
      </c>
      <c r="N74" s="3" t="str">
        <f>VLOOKUP(M74,GACETA!$A$1:$C$186,3,0)</f>
        <v>E</v>
      </c>
      <c r="O74" s="3" t="str">
        <f>VLOOKUP(M74,GACETA!$A$1:$C$186,2,0)</f>
        <v>Captación y recaudación de ingresos</v>
      </c>
      <c r="P74" s="253"/>
      <c r="Q74" s="253"/>
      <c r="R74" s="187" t="s">
        <v>1046</v>
      </c>
      <c r="S74" s="71" t="s">
        <v>86</v>
      </c>
      <c r="T74" s="71" t="s">
        <v>378</v>
      </c>
    </row>
    <row r="75" spans="1:20" s="188" customFormat="1" ht="30" x14ac:dyDescent="0.3">
      <c r="A75" s="277"/>
      <c r="B75" s="277"/>
      <c r="C75" s="69" t="s">
        <v>829</v>
      </c>
      <c r="D75" s="70" t="s">
        <v>833</v>
      </c>
      <c r="E75" s="70" t="s">
        <v>832</v>
      </c>
      <c r="F75" s="70" t="s">
        <v>832</v>
      </c>
      <c r="G75" s="74" t="s">
        <v>829</v>
      </c>
      <c r="H75" s="70"/>
      <c r="I75" s="71" t="s">
        <v>46</v>
      </c>
      <c r="J75" s="71"/>
      <c r="K75" s="72">
        <v>115</v>
      </c>
      <c r="L75" s="3" t="str">
        <f>VLOOKUP(K75,'GACETA 3'!$E$9:$F$75,2,0)</f>
        <v>Ingresos</v>
      </c>
      <c r="M75" s="3" t="str">
        <f t="shared" si="1"/>
        <v>0105020201</v>
      </c>
      <c r="N75" s="3" t="str">
        <f>VLOOKUP(M75,GACETA!$A$1:$C$186,3,0)</f>
        <v>E</v>
      </c>
      <c r="O75" s="3" t="str">
        <f>VLOOKUP(M75,GACETA!$A$1:$C$186,2,0)</f>
        <v>Captación y recaudación de ingresos</v>
      </c>
      <c r="P75" s="253"/>
      <c r="Q75" s="253"/>
      <c r="R75" s="187" t="s">
        <v>1047</v>
      </c>
      <c r="S75" s="71" t="s">
        <v>86</v>
      </c>
      <c r="T75" s="71" t="s">
        <v>387</v>
      </c>
    </row>
    <row r="76" spans="1:20" s="188" customFormat="1" ht="30" x14ac:dyDescent="0.3">
      <c r="A76" s="277"/>
      <c r="B76" s="277"/>
      <c r="C76" s="69" t="s">
        <v>829</v>
      </c>
      <c r="D76" s="70" t="s">
        <v>833</v>
      </c>
      <c r="E76" s="70" t="s">
        <v>832</v>
      </c>
      <c r="F76" s="70" t="s">
        <v>832</v>
      </c>
      <c r="G76" s="74" t="s">
        <v>829</v>
      </c>
      <c r="H76" s="70"/>
      <c r="I76" s="71" t="s">
        <v>46</v>
      </c>
      <c r="J76" s="71"/>
      <c r="K76" s="72">
        <v>115</v>
      </c>
      <c r="L76" s="3" t="str">
        <f>VLOOKUP(K76,'GACETA 3'!$E$9:$F$75,2,0)</f>
        <v>Ingresos</v>
      </c>
      <c r="M76" s="3" t="str">
        <f t="shared" si="1"/>
        <v>0105020201</v>
      </c>
      <c r="N76" s="3" t="str">
        <f>VLOOKUP(M76,GACETA!$A$1:$C$186,3,0)</f>
        <v>E</v>
      </c>
      <c r="O76" s="3" t="str">
        <f>VLOOKUP(M76,GACETA!$A$1:$C$186,2,0)</f>
        <v>Captación y recaudación de ingresos</v>
      </c>
      <c r="P76" s="253"/>
      <c r="Q76" s="253"/>
      <c r="R76" s="187" t="s">
        <v>1048</v>
      </c>
      <c r="S76" s="71" t="s">
        <v>86</v>
      </c>
      <c r="T76" s="71" t="s">
        <v>378</v>
      </c>
    </row>
    <row r="77" spans="1:20" s="188" customFormat="1" ht="30" x14ac:dyDescent="0.3">
      <c r="A77" s="277"/>
      <c r="B77" s="277"/>
      <c r="C77" s="69" t="s">
        <v>829</v>
      </c>
      <c r="D77" s="70" t="s">
        <v>833</v>
      </c>
      <c r="E77" s="70" t="s">
        <v>832</v>
      </c>
      <c r="F77" s="70" t="s">
        <v>832</v>
      </c>
      <c r="G77" s="74" t="s">
        <v>829</v>
      </c>
      <c r="H77" s="70"/>
      <c r="I77" s="71" t="s">
        <v>46</v>
      </c>
      <c r="J77" s="71"/>
      <c r="K77" s="72">
        <v>115</v>
      </c>
      <c r="L77" s="3" t="str">
        <f>VLOOKUP(K77,'GACETA 3'!$E$9:$F$75,2,0)</f>
        <v>Ingresos</v>
      </c>
      <c r="M77" s="3" t="str">
        <f t="shared" si="1"/>
        <v>0105020201</v>
      </c>
      <c r="N77" s="3" t="str">
        <f>VLOOKUP(M77,GACETA!$A$1:$C$186,3,0)</f>
        <v>E</v>
      </c>
      <c r="O77" s="3" t="str">
        <f>VLOOKUP(M77,GACETA!$A$1:$C$186,2,0)</f>
        <v>Captación y recaudación de ingresos</v>
      </c>
      <c r="P77" s="253"/>
      <c r="Q77" s="253"/>
      <c r="R77" s="187" t="s">
        <v>1049</v>
      </c>
      <c r="S77" s="71" t="s">
        <v>86</v>
      </c>
      <c r="T77" s="71" t="s">
        <v>390</v>
      </c>
    </row>
    <row r="78" spans="1:20" s="188" customFormat="1" ht="30" x14ac:dyDescent="0.3">
      <c r="A78" s="277"/>
      <c r="B78" s="277"/>
      <c r="C78" s="69" t="s">
        <v>829</v>
      </c>
      <c r="D78" s="70" t="s">
        <v>833</v>
      </c>
      <c r="E78" s="70" t="s">
        <v>832</v>
      </c>
      <c r="F78" s="70" t="s">
        <v>832</v>
      </c>
      <c r="G78" s="74" t="s">
        <v>829</v>
      </c>
      <c r="H78" s="70"/>
      <c r="I78" s="71" t="s">
        <v>46</v>
      </c>
      <c r="J78" s="71"/>
      <c r="K78" s="72">
        <v>115</v>
      </c>
      <c r="L78" s="3" t="str">
        <f>VLOOKUP(K78,'GACETA 3'!$E$9:$F$75,2,0)</f>
        <v>Ingresos</v>
      </c>
      <c r="M78" s="3" t="str">
        <f t="shared" si="1"/>
        <v>0105020201</v>
      </c>
      <c r="N78" s="3" t="str">
        <f>VLOOKUP(M78,GACETA!$A$1:$C$186,3,0)</f>
        <v>E</v>
      </c>
      <c r="O78" s="3" t="str">
        <f>VLOOKUP(M78,GACETA!$A$1:$C$186,2,0)</f>
        <v>Captación y recaudación de ingresos</v>
      </c>
      <c r="P78" s="253"/>
      <c r="Q78" s="253"/>
      <c r="R78" s="187" t="s">
        <v>1050</v>
      </c>
      <c r="S78" s="71" t="s">
        <v>86</v>
      </c>
      <c r="T78" s="71" t="s">
        <v>392</v>
      </c>
    </row>
    <row r="79" spans="1:20" s="188" customFormat="1" ht="45" x14ac:dyDescent="0.3">
      <c r="A79" s="277"/>
      <c r="B79" s="277"/>
      <c r="C79" s="69" t="s">
        <v>829</v>
      </c>
      <c r="D79" s="70" t="s">
        <v>833</v>
      </c>
      <c r="E79" s="70" t="s">
        <v>832</v>
      </c>
      <c r="F79" s="70" t="s">
        <v>832</v>
      </c>
      <c r="G79" s="74" t="s">
        <v>831</v>
      </c>
      <c r="H79" s="70"/>
      <c r="I79" s="71" t="s">
        <v>46</v>
      </c>
      <c r="J79" s="71"/>
      <c r="K79" s="72">
        <v>115</v>
      </c>
      <c r="L79" s="3" t="str">
        <f>VLOOKUP(K79,'GACETA 3'!$E$9:$F$75,2,0)</f>
        <v>Ingresos</v>
      </c>
      <c r="M79" s="3" t="str">
        <f t="shared" si="1"/>
        <v>0105020209</v>
      </c>
      <c r="N79" s="3" t="str">
        <f>VLOOKUP(M79,GACETA!$A$1:$C$186,3,0)</f>
        <v>E</v>
      </c>
      <c r="O79" s="3" t="str">
        <f>VLOOKUP(M79,GACETA!$A$1:$C$186,2,0)</f>
        <v>Registro y control de caja y tesorería</v>
      </c>
      <c r="P79" s="253"/>
      <c r="Q79" s="71" t="s">
        <v>394</v>
      </c>
      <c r="R79" s="189" t="s">
        <v>1051</v>
      </c>
      <c r="S79" s="71" t="s">
        <v>86</v>
      </c>
      <c r="T79" s="71" t="s">
        <v>396</v>
      </c>
    </row>
    <row r="80" spans="1:20" s="188" customFormat="1" ht="45" x14ac:dyDescent="0.3">
      <c r="A80" s="277"/>
      <c r="B80" s="277"/>
      <c r="C80" s="69" t="s">
        <v>829</v>
      </c>
      <c r="D80" s="70" t="s">
        <v>833</v>
      </c>
      <c r="E80" s="70" t="s">
        <v>832</v>
      </c>
      <c r="F80" s="70" t="s">
        <v>830</v>
      </c>
      <c r="G80" s="74" t="s">
        <v>836</v>
      </c>
      <c r="H80" s="70"/>
      <c r="I80" s="71" t="s">
        <v>46</v>
      </c>
      <c r="J80" s="71"/>
      <c r="K80" s="72">
        <v>119</v>
      </c>
      <c r="L80" s="3" t="str">
        <f>VLOOKUP(K80,'GACETA 3'!$E$9:$F$75,2,0)</f>
        <v>Contabilidad</v>
      </c>
      <c r="M80" s="3" t="str">
        <f t="shared" si="1"/>
        <v>0105020304</v>
      </c>
      <c r="N80" s="3" t="str">
        <f>VLOOKUP(M80,GACETA!$A$1:$C$186,3,0)</f>
        <v>K</v>
      </c>
      <c r="O80" s="3" t="str">
        <f>VLOOKUP(M80,GACETA!$A$1:$C$186,2,0)</f>
        <v>Asignación, registro, seguimiento y control de la inversión pública municipal</v>
      </c>
      <c r="P80" s="253" t="s">
        <v>971</v>
      </c>
      <c r="Q80" s="253" t="s">
        <v>398</v>
      </c>
      <c r="R80" s="189" t="s">
        <v>399</v>
      </c>
      <c r="S80" s="71" t="s">
        <v>86</v>
      </c>
      <c r="T80" s="71" t="s">
        <v>400</v>
      </c>
    </row>
    <row r="81" spans="1:20" s="188" customFormat="1" ht="45" x14ac:dyDescent="0.3">
      <c r="A81" s="277"/>
      <c r="B81" s="277"/>
      <c r="C81" s="69" t="s">
        <v>829</v>
      </c>
      <c r="D81" s="70" t="s">
        <v>833</v>
      </c>
      <c r="E81" s="70" t="s">
        <v>832</v>
      </c>
      <c r="F81" s="70" t="s">
        <v>830</v>
      </c>
      <c r="G81" s="74" t="s">
        <v>836</v>
      </c>
      <c r="H81" s="70"/>
      <c r="I81" s="71" t="s">
        <v>46</v>
      </c>
      <c r="J81" s="71"/>
      <c r="K81" s="72">
        <v>119</v>
      </c>
      <c r="L81" s="3" t="str">
        <f>VLOOKUP(K81,'GACETA 3'!$E$9:$F$75,2,0)</f>
        <v>Contabilidad</v>
      </c>
      <c r="M81" s="3" t="str">
        <f t="shared" si="1"/>
        <v>0105020304</v>
      </c>
      <c r="N81" s="3" t="str">
        <f>VLOOKUP(M81,GACETA!$A$1:$C$186,3,0)</f>
        <v>K</v>
      </c>
      <c r="O81" s="3" t="str">
        <f>VLOOKUP(M81,GACETA!$A$1:$C$186,2,0)</f>
        <v>Asignación, registro, seguimiento y control de la inversión pública municipal</v>
      </c>
      <c r="P81" s="253"/>
      <c r="Q81" s="253"/>
      <c r="R81" s="189" t="s">
        <v>401</v>
      </c>
      <c r="S81" s="71" t="s">
        <v>86</v>
      </c>
      <c r="T81" s="71" t="s">
        <v>402</v>
      </c>
    </row>
    <row r="82" spans="1:20" s="188" customFormat="1" ht="45" x14ac:dyDescent="0.3">
      <c r="A82" s="277"/>
      <c r="B82" s="277"/>
      <c r="C82" s="69" t="s">
        <v>829</v>
      </c>
      <c r="D82" s="70" t="s">
        <v>833</v>
      </c>
      <c r="E82" s="70" t="s">
        <v>832</v>
      </c>
      <c r="F82" s="70" t="s">
        <v>830</v>
      </c>
      <c r="G82" s="74" t="s">
        <v>836</v>
      </c>
      <c r="H82" s="70"/>
      <c r="I82" s="71" t="s">
        <v>46</v>
      </c>
      <c r="J82" s="71"/>
      <c r="K82" s="72">
        <v>119</v>
      </c>
      <c r="L82" s="3" t="str">
        <f>VLOOKUP(K82,'GACETA 3'!$E$9:$F$75,2,0)</f>
        <v>Contabilidad</v>
      </c>
      <c r="M82" s="3" t="str">
        <f t="shared" si="1"/>
        <v>0105020304</v>
      </c>
      <c r="N82" s="3" t="str">
        <f>VLOOKUP(M82,GACETA!$A$1:$C$186,3,0)</f>
        <v>K</v>
      </c>
      <c r="O82" s="3" t="str">
        <f>VLOOKUP(M82,GACETA!$A$1:$C$186,2,0)</f>
        <v>Asignación, registro, seguimiento y control de la inversión pública municipal</v>
      </c>
      <c r="P82" s="253"/>
      <c r="Q82" s="253"/>
      <c r="R82" s="189" t="s">
        <v>1052</v>
      </c>
      <c r="S82" s="71" t="s">
        <v>86</v>
      </c>
      <c r="T82" s="71" t="s">
        <v>404</v>
      </c>
    </row>
    <row r="83" spans="1:20" s="188" customFormat="1" ht="45" x14ac:dyDescent="0.3">
      <c r="A83" s="277"/>
      <c r="B83" s="277"/>
      <c r="C83" s="69" t="s">
        <v>829</v>
      </c>
      <c r="D83" s="70" t="s">
        <v>833</v>
      </c>
      <c r="E83" s="70" t="s">
        <v>832</v>
      </c>
      <c r="F83" s="70" t="s">
        <v>830</v>
      </c>
      <c r="G83" s="74" t="s">
        <v>836</v>
      </c>
      <c r="H83" s="70"/>
      <c r="I83" s="71" t="s">
        <v>46</v>
      </c>
      <c r="J83" s="71"/>
      <c r="K83" s="72">
        <v>119</v>
      </c>
      <c r="L83" s="3" t="str">
        <f>VLOOKUP(K83,'GACETA 3'!$E$9:$F$75,2,0)</f>
        <v>Contabilidad</v>
      </c>
      <c r="M83" s="3" t="str">
        <f t="shared" si="1"/>
        <v>0105020304</v>
      </c>
      <c r="N83" s="3" t="str">
        <f>VLOOKUP(M83,GACETA!$A$1:$C$186,3,0)</f>
        <v>K</v>
      </c>
      <c r="O83" s="3" t="str">
        <f>VLOOKUP(M83,GACETA!$A$1:$C$186,2,0)</f>
        <v>Asignación, registro, seguimiento y control de la inversión pública municipal</v>
      </c>
      <c r="P83" s="253"/>
      <c r="Q83" s="253"/>
      <c r="R83" s="189" t="s">
        <v>405</v>
      </c>
      <c r="S83" s="71" t="s">
        <v>86</v>
      </c>
      <c r="T83" s="71" t="s">
        <v>406</v>
      </c>
    </row>
    <row r="84" spans="1:20" s="188" customFormat="1" ht="45" x14ac:dyDescent="0.3">
      <c r="A84" s="277"/>
      <c r="B84" s="277"/>
      <c r="C84" s="69" t="s">
        <v>829</v>
      </c>
      <c r="D84" s="70" t="s">
        <v>833</v>
      </c>
      <c r="E84" s="70" t="s">
        <v>832</v>
      </c>
      <c r="F84" s="70" t="s">
        <v>833</v>
      </c>
      <c r="G84" s="74" t="s">
        <v>834</v>
      </c>
      <c r="H84" s="70"/>
      <c r="I84" s="71" t="s">
        <v>46</v>
      </c>
      <c r="J84" s="71"/>
      <c r="K84" s="72">
        <v>119</v>
      </c>
      <c r="L84" s="3" t="str">
        <f>VLOOKUP(K84,'GACETA 3'!$E$9:$F$75,2,0)</f>
        <v>Contabilidad</v>
      </c>
      <c r="M84" s="3" t="str">
        <f t="shared" si="1"/>
        <v>0105020508</v>
      </c>
      <c r="N84" s="3" t="str">
        <f>VLOOKUP(M84,GACETA!$A$1:$C$186,3,0)</f>
        <v>P</v>
      </c>
      <c r="O84" s="3" t="str">
        <f>VLOOKUP(M84,GACETA!$A$1:$C$186,2,0)</f>
        <v>Planeación y evaluación para el desarrollo municipal</v>
      </c>
      <c r="P84" s="253" t="s">
        <v>407</v>
      </c>
      <c r="Q84" s="71" t="s">
        <v>408</v>
      </c>
      <c r="R84" s="189" t="s">
        <v>409</v>
      </c>
      <c r="S84" s="71" t="s">
        <v>86</v>
      </c>
      <c r="T84" s="71" t="s">
        <v>410</v>
      </c>
    </row>
    <row r="85" spans="1:20" s="188" customFormat="1" ht="45" x14ac:dyDescent="0.3">
      <c r="A85" s="277"/>
      <c r="B85" s="277"/>
      <c r="C85" s="69" t="s">
        <v>829</v>
      </c>
      <c r="D85" s="70" t="s">
        <v>833</v>
      </c>
      <c r="E85" s="70" t="s">
        <v>832</v>
      </c>
      <c r="F85" s="70" t="s">
        <v>833</v>
      </c>
      <c r="G85" s="74" t="s">
        <v>969</v>
      </c>
      <c r="H85" s="70"/>
      <c r="I85" s="71" t="s">
        <v>46</v>
      </c>
      <c r="J85" s="71"/>
      <c r="K85" s="72">
        <v>117</v>
      </c>
      <c r="L85" s="3" t="str">
        <f>VLOOKUP(K85,'GACETA 3'!$E$9:$F$75,2,0)</f>
        <v>Presupuesto</v>
      </c>
      <c r="M85" s="3" t="str">
        <f t="shared" si="1"/>
        <v>0105020510</v>
      </c>
      <c r="N85" s="3" t="str">
        <f>VLOOKUP(M85,GACETA!$A$1:$C$186,3,0)</f>
        <v>O</v>
      </c>
      <c r="O85" s="3" t="str">
        <f>VLOOKUP(M85,GACETA!$A$1:$C$186,2,0)</f>
        <v>Integración, seguimiento y control presupuestal del ayuntamiento</v>
      </c>
      <c r="P85" s="253"/>
      <c r="Q85" s="253" t="s">
        <v>411</v>
      </c>
      <c r="R85" s="189" t="s">
        <v>412</v>
      </c>
      <c r="S85" s="71" t="s">
        <v>86</v>
      </c>
      <c r="T85" s="71" t="s">
        <v>402</v>
      </c>
    </row>
    <row r="86" spans="1:20" s="188" customFormat="1" ht="45" x14ac:dyDescent="0.3">
      <c r="A86" s="277"/>
      <c r="B86" s="277"/>
      <c r="C86" s="69" t="s">
        <v>829</v>
      </c>
      <c r="D86" s="70" t="s">
        <v>833</v>
      </c>
      <c r="E86" s="70" t="s">
        <v>832</v>
      </c>
      <c r="F86" s="70" t="s">
        <v>833</v>
      </c>
      <c r="G86" s="74" t="s">
        <v>969</v>
      </c>
      <c r="H86" s="70"/>
      <c r="I86" s="71" t="s">
        <v>46</v>
      </c>
      <c r="J86" s="71"/>
      <c r="K86" s="72">
        <v>117</v>
      </c>
      <c r="L86" s="3" t="str">
        <f>VLOOKUP(K86,'GACETA 3'!$E$9:$F$75,2,0)</f>
        <v>Presupuesto</v>
      </c>
      <c r="M86" s="3" t="str">
        <f t="shared" si="1"/>
        <v>0105020510</v>
      </c>
      <c r="N86" s="3" t="str">
        <f>VLOOKUP(M86,GACETA!$A$1:$C$186,3,0)</f>
        <v>O</v>
      </c>
      <c r="O86" s="3" t="str">
        <f>VLOOKUP(M86,GACETA!$A$1:$C$186,2,0)</f>
        <v>Integración, seguimiento y control presupuestal del ayuntamiento</v>
      </c>
      <c r="P86" s="253"/>
      <c r="Q86" s="253"/>
      <c r="R86" s="189" t="s">
        <v>413</v>
      </c>
      <c r="S86" s="71" t="s">
        <v>86</v>
      </c>
      <c r="T86" s="71" t="s">
        <v>414</v>
      </c>
    </row>
    <row r="87" spans="1:20" s="188" customFormat="1" ht="45" x14ac:dyDescent="0.3">
      <c r="A87" s="277"/>
      <c r="B87" s="277"/>
      <c r="C87" s="69" t="s">
        <v>829</v>
      </c>
      <c r="D87" s="70" t="s">
        <v>833</v>
      </c>
      <c r="E87" s="70" t="s">
        <v>832</v>
      </c>
      <c r="F87" s="70" t="s">
        <v>833</v>
      </c>
      <c r="G87" s="74" t="s">
        <v>969</v>
      </c>
      <c r="H87" s="70"/>
      <c r="I87" s="71" t="s">
        <v>46</v>
      </c>
      <c r="J87" s="71"/>
      <c r="K87" s="72">
        <v>117</v>
      </c>
      <c r="L87" s="3" t="str">
        <f>VLOOKUP(K87,'GACETA 3'!$E$9:$F$75,2,0)</f>
        <v>Presupuesto</v>
      </c>
      <c r="M87" s="3" t="str">
        <f t="shared" si="1"/>
        <v>0105020510</v>
      </c>
      <c r="N87" s="3" t="str">
        <f>VLOOKUP(M87,GACETA!$A$1:$C$186,3,0)</f>
        <v>O</v>
      </c>
      <c r="O87" s="3" t="str">
        <f>VLOOKUP(M87,GACETA!$A$1:$C$186,2,0)</f>
        <v>Integración, seguimiento y control presupuestal del ayuntamiento</v>
      </c>
      <c r="P87" s="253"/>
      <c r="Q87" s="253"/>
      <c r="R87" s="190" t="s">
        <v>415</v>
      </c>
      <c r="S87" s="71" t="s">
        <v>199</v>
      </c>
      <c r="T87" s="71" t="s">
        <v>416</v>
      </c>
    </row>
    <row r="88" spans="1:20" s="188" customFormat="1" ht="45" x14ac:dyDescent="0.3">
      <c r="A88" s="277"/>
      <c r="B88" s="277"/>
      <c r="C88" s="69" t="s">
        <v>829</v>
      </c>
      <c r="D88" s="70" t="s">
        <v>833</v>
      </c>
      <c r="E88" s="70" t="s">
        <v>832</v>
      </c>
      <c r="F88" s="70" t="s">
        <v>833</v>
      </c>
      <c r="G88" s="74" t="s">
        <v>969</v>
      </c>
      <c r="H88" s="70"/>
      <c r="I88" s="71" t="s">
        <v>46</v>
      </c>
      <c r="J88" s="71"/>
      <c r="K88" s="72">
        <v>117</v>
      </c>
      <c r="L88" s="3" t="str">
        <f>VLOOKUP(K88,'GACETA 3'!$E$9:$F$75,2,0)</f>
        <v>Presupuesto</v>
      </c>
      <c r="M88" s="3" t="str">
        <f t="shared" si="1"/>
        <v>0105020510</v>
      </c>
      <c r="N88" s="3" t="str">
        <f>VLOOKUP(M88,GACETA!$A$1:$C$186,3,0)</f>
        <v>O</v>
      </c>
      <c r="O88" s="3" t="str">
        <f>VLOOKUP(M88,GACETA!$A$1:$C$186,2,0)</f>
        <v>Integración, seguimiento y control presupuestal del ayuntamiento</v>
      </c>
      <c r="P88" s="253"/>
      <c r="Q88" s="253"/>
      <c r="R88" s="190" t="s">
        <v>417</v>
      </c>
      <c r="S88" s="71" t="s">
        <v>199</v>
      </c>
      <c r="T88" s="71" t="s">
        <v>416</v>
      </c>
    </row>
    <row r="89" spans="1:20" s="188" customFormat="1" ht="60" x14ac:dyDescent="0.3">
      <c r="A89" s="277"/>
      <c r="B89" s="277"/>
      <c r="C89" s="69" t="s">
        <v>829</v>
      </c>
      <c r="D89" s="70" t="s">
        <v>833</v>
      </c>
      <c r="E89" s="70" t="s">
        <v>832</v>
      </c>
      <c r="F89" s="70" t="s">
        <v>833</v>
      </c>
      <c r="G89" s="74" t="s">
        <v>970</v>
      </c>
      <c r="H89" s="70"/>
      <c r="I89" s="71" t="s">
        <v>46</v>
      </c>
      <c r="J89" s="71"/>
      <c r="K89" s="72">
        <v>116</v>
      </c>
      <c r="L89" s="3" t="str">
        <f>VLOOKUP(K89,'GACETA 3'!$E$9:$F$75,2,0)</f>
        <v>Egresos</v>
      </c>
      <c r="M89" s="3" t="str">
        <f t="shared" si="1"/>
        <v>0105020511</v>
      </c>
      <c r="N89" s="3" t="str">
        <f>VLOOKUP(M89,GACETA!$A$1:$C$186,3,0)</f>
        <v>O</v>
      </c>
      <c r="O89" s="3" t="str">
        <f>VLOOKUP(M89,GACETA!$A$1:$C$186,2,0)</f>
        <v>Registro, control contable-presupuestal y cuenta de la hacienda pública municipal</v>
      </c>
      <c r="P89" s="253"/>
      <c r="Q89" s="253" t="s">
        <v>418</v>
      </c>
      <c r="R89" s="189" t="s">
        <v>419</v>
      </c>
      <c r="S89" s="71" t="s">
        <v>199</v>
      </c>
      <c r="T89" s="71" t="s">
        <v>124</v>
      </c>
    </row>
    <row r="90" spans="1:20" s="188" customFormat="1" ht="60" x14ac:dyDescent="0.3">
      <c r="A90" s="277"/>
      <c r="B90" s="277"/>
      <c r="C90" s="69" t="s">
        <v>829</v>
      </c>
      <c r="D90" s="70" t="s">
        <v>833</v>
      </c>
      <c r="E90" s="70" t="s">
        <v>832</v>
      </c>
      <c r="F90" s="70" t="s">
        <v>833</v>
      </c>
      <c r="G90" s="74" t="s">
        <v>970</v>
      </c>
      <c r="H90" s="70"/>
      <c r="I90" s="71" t="s">
        <v>46</v>
      </c>
      <c r="J90" s="71"/>
      <c r="K90" s="72">
        <v>116</v>
      </c>
      <c r="L90" s="3" t="str">
        <f>VLOOKUP(K90,'GACETA 3'!$E$9:$F$75,2,0)</f>
        <v>Egresos</v>
      </c>
      <c r="M90" s="3" t="str">
        <f t="shared" si="1"/>
        <v>0105020511</v>
      </c>
      <c r="N90" s="3" t="str">
        <f>VLOOKUP(M90,GACETA!$A$1:$C$186,3,0)</f>
        <v>O</v>
      </c>
      <c r="O90" s="3" t="str">
        <f>VLOOKUP(M90,GACETA!$A$1:$C$186,2,0)</f>
        <v>Registro, control contable-presupuestal y cuenta de la hacienda pública municipal</v>
      </c>
      <c r="P90" s="253"/>
      <c r="Q90" s="253"/>
      <c r="R90" s="189" t="s">
        <v>420</v>
      </c>
      <c r="S90" s="71" t="s">
        <v>199</v>
      </c>
      <c r="T90" s="71" t="s">
        <v>421</v>
      </c>
    </row>
    <row r="91" spans="1:20" s="188" customFormat="1" ht="60" x14ac:dyDescent="0.3">
      <c r="A91" s="277"/>
      <c r="B91" s="277"/>
      <c r="C91" s="69" t="s">
        <v>829</v>
      </c>
      <c r="D91" s="70" t="s">
        <v>833</v>
      </c>
      <c r="E91" s="70" t="s">
        <v>832</v>
      </c>
      <c r="F91" s="70" t="s">
        <v>833</v>
      </c>
      <c r="G91" s="74" t="s">
        <v>970</v>
      </c>
      <c r="H91" s="70"/>
      <c r="I91" s="71" t="s">
        <v>46</v>
      </c>
      <c r="J91" s="71"/>
      <c r="K91" s="72">
        <v>116</v>
      </c>
      <c r="L91" s="3" t="str">
        <f>VLOOKUP(K91,'GACETA 3'!$E$9:$F$75,2,0)</f>
        <v>Egresos</v>
      </c>
      <c r="M91" s="3" t="str">
        <f t="shared" si="1"/>
        <v>0105020511</v>
      </c>
      <c r="N91" s="3" t="str">
        <f>VLOOKUP(M91,GACETA!$A$1:$C$186,3,0)</f>
        <v>O</v>
      </c>
      <c r="O91" s="3" t="str">
        <f>VLOOKUP(M91,GACETA!$A$1:$C$186,2,0)</f>
        <v>Registro, control contable-presupuestal y cuenta de la hacienda pública municipal</v>
      </c>
      <c r="P91" s="253"/>
      <c r="Q91" s="253"/>
      <c r="R91" s="189" t="s">
        <v>422</v>
      </c>
      <c r="S91" s="71" t="s">
        <v>86</v>
      </c>
      <c r="T91" s="71" t="s">
        <v>402</v>
      </c>
    </row>
    <row r="92" spans="1:20" s="188" customFormat="1" ht="60" x14ac:dyDescent="0.3">
      <c r="A92" s="277"/>
      <c r="B92" s="277"/>
      <c r="C92" s="69" t="s">
        <v>829</v>
      </c>
      <c r="D92" s="70" t="s">
        <v>833</v>
      </c>
      <c r="E92" s="70" t="s">
        <v>832</v>
      </c>
      <c r="F92" s="70" t="s">
        <v>833</v>
      </c>
      <c r="G92" s="74" t="s">
        <v>970</v>
      </c>
      <c r="H92" s="70"/>
      <c r="I92" s="71" t="s">
        <v>46</v>
      </c>
      <c r="J92" s="71"/>
      <c r="K92" s="72">
        <v>116</v>
      </c>
      <c r="L92" s="3" t="str">
        <f>VLOOKUP(K92,'GACETA 3'!$E$9:$F$75,2,0)</f>
        <v>Egresos</v>
      </c>
      <c r="M92" s="3" t="str">
        <f t="shared" si="1"/>
        <v>0105020511</v>
      </c>
      <c r="N92" s="3" t="str">
        <f>VLOOKUP(M92,GACETA!$A$1:$C$186,3,0)</f>
        <v>O</v>
      </c>
      <c r="O92" s="3" t="str">
        <f>VLOOKUP(M92,GACETA!$A$1:$C$186,2,0)</f>
        <v>Registro, control contable-presupuestal y cuenta de la hacienda pública municipal</v>
      </c>
      <c r="P92" s="253"/>
      <c r="Q92" s="253"/>
      <c r="R92" s="189" t="s">
        <v>423</v>
      </c>
      <c r="S92" s="71" t="s">
        <v>86</v>
      </c>
      <c r="T92" s="71" t="s">
        <v>402</v>
      </c>
    </row>
    <row r="93" spans="1:20" s="188" customFormat="1" ht="60" x14ac:dyDescent="0.3">
      <c r="A93" s="277"/>
      <c r="B93" s="277"/>
      <c r="C93" s="69" t="s">
        <v>829</v>
      </c>
      <c r="D93" s="70" t="s">
        <v>833</v>
      </c>
      <c r="E93" s="70" t="s">
        <v>832</v>
      </c>
      <c r="F93" s="70" t="s">
        <v>833</v>
      </c>
      <c r="G93" s="74" t="s">
        <v>970</v>
      </c>
      <c r="H93" s="70"/>
      <c r="I93" s="71" t="s">
        <v>46</v>
      </c>
      <c r="J93" s="71"/>
      <c r="K93" s="72">
        <v>116</v>
      </c>
      <c r="L93" s="3" t="str">
        <f>VLOOKUP(K93,'GACETA 3'!$E$9:$F$75,2,0)</f>
        <v>Egresos</v>
      </c>
      <c r="M93" s="3" t="str">
        <f t="shared" si="1"/>
        <v>0105020511</v>
      </c>
      <c r="N93" s="3" t="str">
        <f>VLOOKUP(M93,GACETA!$A$1:$C$186,3,0)</f>
        <v>O</v>
      </c>
      <c r="O93" s="3" t="str">
        <f>VLOOKUP(M93,GACETA!$A$1:$C$186,2,0)</f>
        <v>Registro, control contable-presupuestal y cuenta de la hacienda pública municipal</v>
      </c>
      <c r="P93" s="253"/>
      <c r="Q93" s="253"/>
      <c r="R93" s="189" t="s">
        <v>424</v>
      </c>
      <c r="S93" s="71" t="s">
        <v>86</v>
      </c>
      <c r="T93" s="71" t="s">
        <v>425</v>
      </c>
    </row>
    <row r="94" spans="1:20" s="188" customFormat="1" ht="30" x14ac:dyDescent="0.3">
      <c r="A94" s="277"/>
      <c r="B94" s="277"/>
      <c r="C94" s="69" t="s">
        <v>836</v>
      </c>
      <c r="D94" s="70" t="s">
        <v>829</v>
      </c>
      <c r="E94" s="70" t="s">
        <v>829</v>
      </c>
      <c r="F94" s="70" t="s">
        <v>829</v>
      </c>
      <c r="G94" s="74" t="s">
        <v>836</v>
      </c>
      <c r="H94" s="70"/>
      <c r="I94" s="71" t="s">
        <v>46</v>
      </c>
      <c r="J94" s="71"/>
      <c r="K94" s="72">
        <v>116</v>
      </c>
      <c r="L94" s="3" t="str">
        <f>VLOOKUP(K94,'GACETA 3'!$E$9:$F$75,2,0)</f>
        <v>Egresos</v>
      </c>
      <c r="M94" s="3" t="str">
        <f t="shared" si="1"/>
        <v>0401010104</v>
      </c>
      <c r="N94" s="3" t="str">
        <f>VLOOKUP(M94,GACETA!$A$1:$C$186,3,0)</f>
        <v>D</v>
      </c>
      <c r="O94" s="3" t="str">
        <f>VLOOKUP(M94,GACETA!$A$1:$C$186,2,0)</f>
        <v>Amortización de la deuda (capital)</v>
      </c>
      <c r="P94" s="253" t="s">
        <v>426</v>
      </c>
      <c r="Q94" s="71" t="s">
        <v>427</v>
      </c>
      <c r="R94" s="189" t="s">
        <v>428</v>
      </c>
      <c r="S94" s="71" t="s">
        <v>86</v>
      </c>
      <c r="T94" s="71" t="s">
        <v>429</v>
      </c>
    </row>
    <row r="95" spans="1:20" s="188" customFormat="1" ht="30" x14ac:dyDescent="0.3">
      <c r="A95" s="277"/>
      <c r="B95" s="277"/>
      <c r="C95" s="69" t="s">
        <v>836</v>
      </c>
      <c r="D95" s="70" t="s">
        <v>829</v>
      </c>
      <c r="E95" s="70" t="s">
        <v>829</v>
      </c>
      <c r="F95" s="70" t="s">
        <v>829</v>
      </c>
      <c r="G95" s="74" t="s">
        <v>833</v>
      </c>
      <c r="H95" s="70"/>
      <c r="I95" s="71" t="s">
        <v>46</v>
      </c>
      <c r="J95" s="71"/>
      <c r="K95" s="72">
        <v>116</v>
      </c>
      <c r="L95" s="3" t="str">
        <f>VLOOKUP(K95,'GACETA 3'!$E$9:$F$75,2,0)</f>
        <v>Egresos</v>
      </c>
      <c r="M95" s="3" t="str">
        <f t="shared" si="1"/>
        <v>0401010105</v>
      </c>
      <c r="N95" s="3" t="str">
        <f>VLOOKUP(M95,GACETA!$A$1:$C$186,3,0)</f>
        <v>D</v>
      </c>
      <c r="O95" s="3" t="str">
        <f>VLOOKUP(M95,GACETA!$A$1:$C$186,2,0)</f>
        <v>Costo financiero de la deuda (intereses)</v>
      </c>
      <c r="P95" s="253"/>
      <c r="Q95" s="71" t="s">
        <v>430</v>
      </c>
      <c r="R95" s="189" t="s">
        <v>431</v>
      </c>
      <c r="S95" s="71" t="s">
        <v>86</v>
      </c>
      <c r="T95" s="71" t="s">
        <v>429</v>
      </c>
    </row>
    <row r="96" spans="1:20" s="188" customFormat="1" ht="30" x14ac:dyDescent="0.3">
      <c r="A96" s="277"/>
      <c r="B96" s="277"/>
      <c r="C96" s="69" t="s">
        <v>836</v>
      </c>
      <c r="D96" s="70" t="s">
        <v>832</v>
      </c>
      <c r="E96" s="70" t="s">
        <v>829</v>
      </c>
      <c r="F96" s="70" t="s">
        <v>829</v>
      </c>
      <c r="G96" s="74" t="s">
        <v>830</v>
      </c>
      <c r="H96" s="70"/>
      <c r="I96" s="71" t="s">
        <v>46</v>
      </c>
      <c r="J96" s="71"/>
      <c r="K96" s="72">
        <v>115</v>
      </c>
      <c r="L96" s="3" t="str">
        <f>VLOOKUP(K96,'GACETA 3'!$E$9:$F$75,2,0)</f>
        <v>Ingresos</v>
      </c>
      <c r="M96" s="3" t="str">
        <f t="shared" si="1"/>
        <v>0402010103</v>
      </c>
      <c r="N96" s="3" t="str">
        <f>VLOOKUP(M96,GACETA!$A$1:$C$186,3,0)</f>
        <v>C</v>
      </c>
      <c r="O96" s="3" t="str">
        <f>VLOOKUP(M96,GACETA!$A$1:$C$186,2,0)</f>
        <v>Convenios de coordinación</v>
      </c>
      <c r="P96" s="253" t="s">
        <v>432</v>
      </c>
      <c r="Q96" s="97" t="s">
        <v>433</v>
      </c>
      <c r="R96" s="189" t="s">
        <v>434</v>
      </c>
      <c r="S96" s="71" t="s">
        <v>86</v>
      </c>
      <c r="T96" s="71" t="s">
        <v>435</v>
      </c>
    </row>
    <row r="97" spans="1:20" s="188" customFormat="1" ht="45" x14ac:dyDescent="0.3">
      <c r="A97" s="277"/>
      <c r="B97" s="277"/>
      <c r="C97" s="69" t="s">
        <v>836</v>
      </c>
      <c r="D97" s="70" t="s">
        <v>832</v>
      </c>
      <c r="E97" s="70" t="s">
        <v>829</v>
      </c>
      <c r="F97" s="70" t="s">
        <v>829</v>
      </c>
      <c r="G97" s="74" t="s">
        <v>836</v>
      </c>
      <c r="H97" s="70"/>
      <c r="I97" s="71" t="s">
        <v>46</v>
      </c>
      <c r="J97" s="71"/>
      <c r="K97" s="72">
        <v>116</v>
      </c>
      <c r="L97" s="3" t="str">
        <f>VLOOKUP(K97,'GACETA 3'!$E$9:$F$75,2,0)</f>
        <v>Egresos</v>
      </c>
      <c r="M97" s="3" t="str">
        <f t="shared" si="1"/>
        <v>0402010104</v>
      </c>
      <c r="N97" s="3" t="str">
        <f>VLOOKUP(M97,GACETA!$A$1:$C$186,3,0)</f>
        <v>O</v>
      </c>
      <c r="O97" s="3" t="str">
        <f>VLOOKUP(M97,GACETA!$A$1:$C$186,2,0)</f>
        <v>Transferencias del ayuntamiento a organismos municipales</v>
      </c>
      <c r="P97" s="253"/>
      <c r="Q97" s="71" t="s">
        <v>436</v>
      </c>
      <c r="R97" s="189" t="s">
        <v>1053</v>
      </c>
      <c r="S97" s="71" t="s">
        <v>86</v>
      </c>
      <c r="T97" s="71" t="s">
        <v>438</v>
      </c>
    </row>
    <row r="98" spans="1:20" s="188" customFormat="1" ht="60" x14ac:dyDescent="0.3">
      <c r="A98" s="277"/>
      <c r="B98" s="277"/>
      <c r="C98" s="69" t="s">
        <v>836</v>
      </c>
      <c r="D98" s="70" t="s">
        <v>836</v>
      </c>
      <c r="E98" s="70" t="s">
        <v>829</v>
      </c>
      <c r="F98" s="70" t="s">
        <v>829</v>
      </c>
      <c r="G98" s="74" t="s">
        <v>829</v>
      </c>
      <c r="H98" s="70"/>
      <c r="I98" s="71" t="s">
        <v>46</v>
      </c>
      <c r="J98" s="71"/>
      <c r="K98" s="72">
        <v>116</v>
      </c>
      <c r="L98" s="3" t="str">
        <f>VLOOKUP(K98,'GACETA 3'!$E$9:$F$75,2,0)</f>
        <v>Egresos</v>
      </c>
      <c r="M98" s="3" t="str">
        <f t="shared" si="1"/>
        <v>0404010101</v>
      </c>
      <c r="N98" s="3" t="e">
        <f>VLOOKUP(M98,GACETA!$A$1:$C$186,3,0)</f>
        <v>#N/A</v>
      </c>
      <c r="O98" s="3" t="e">
        <f>VLOOKUP(M98,GACETA!$A$1:$C$186,2,0)</f>
        <v>#N/A</v>
      </c>
      <c r="P98" s="71" t="s">
        <v>439</v>
      </c>
      <c r="Q98" s="71" t="s">
        <v>440</v>
      </c>
      <c r="R98" s="189" t="s">
        <v>441</v>
      </c>
      <c r="S98" s="71" t="s">
        <v>86</v>
      </c>
      <c r="T98" s="71" t="s">
        <v>429</v>
      </c>
    </row>
    <row r="99" spans="1:20" s="188" customFormat="1" ht="30" x14ac:dyDescent="0.3">
      <c r="A99" s="277"/>
      <c r="B99" s="277"/>
      <c r="C99" s="69" t="s">
        <v>829</v>
      </c>
      <c r="D99" s="70" t="s">
        <v>830</v>
      </c>
      <c r="E99" s="70" t="s">
        <v>833</v>
      </c>
      <c r="F99" s="70" t="s">
        <v>829</v>
      </c>
      <c r="G99" s="74" t="s">
        <v>836</v>
      </c>
      <c r="H99" s="70"/>
      <c r="I99" s="71" t="s">
        <v>46</v>
      </c>
      <c r="J99" s="71"/>
      <c r="K99" s="72">
        <v>155</v>
      </c>
      <c r="L99" s="3" t="str">
        <f>VLOOKUP(K99,'GACETA 3'!$E$9:$F$75,2,0)</f>
        <v>Área Jurídica</v>
      </c>
      <c r="M99" s="3" t="str">
        <f t="shared" si="1"/>
        <v>0103050104</v>
      </c>
      <c r="N99" s="3" t="str">
        <f>VLOOKUP(M99,GACETA!$A$1:$C$186,3,0)</f>
        <v>L</v>
      </c>
      <c r="O99" s="3" t="str">
        <f>VLOOKUP(M99,GACETA!$A$1:$C$186,2,0)</f>
        <v>Asesoría jurídica al ayuntamiento</v>
      </c>
      <c r="P99" s="253" t="s">
        <v>442</v>
      </c>
      <c r="Q99" s="253" t="s">
        <v>443</v>
      </c>
      <c r="R99" s="189" t="s">
        <v>444</v>
      </c>
      <c r="S99" s="71" t="s">
        <v>86</v>
      </c>
      <c r="T99" s="71" t="s">
        <v>429</v>
      </c>
    </row>
    <row r="100" spans="1:20" s="188" customFormat="1" ht="30" x14ac:dyDescent="0.3">
      <c r="A100" s="277"/>
      <c r="B100" s="277"/>
      <c r="C100" s="69" t="s">
        <v>829</v>
      </c>
      <c r="D100" s="70" t="s">
        <v>830</v>
      </c>
      <c r="E100" s="70" t="s">
        <v>833</v>
      </c>
      <c r="F100" s="70" t="s">
        <v>829</v>
      </c>
      <c r="G100" s="74" t="s">
        <v>836</v>
      </c>
      <c r="H100" s="70"/>
      <c r="I100" s="71" t="s">
        <v>46</v>
      </c>
      <c r="J100" s="71"/>
      <c r="K100" s="72">
        <v>155</v>
      </c>
      <c r="L100" s="3" t="str">
        <f>VLOOKUP(K100,'GACETA 3'!$E$9:$F$75,2,0)</f>
        <v>Área Jurídica</v>
      </c>
      <c r="M100" s="3" t="str">
        <f t="shared" si="1"/>
        <v>0103050104</v>
      </c>
      <c r="N100" s="3" t="str">
        <f>VLOOKUP(M100,GACETA!$A$1:$C$186,3,0)</f>
        <v>L</v>
      </c>
      <c r="O100" s="3" t="str">
        <f>VLOOKUP(M100,GACETA!$A$1:$C$186,2,0)</f>
        <v>Asesoría jurídica al ayuntamiento</v>
      </c>
      <c r="P100" s="253"/>
      <c r="Q100" s="253"/>
      <c r="R100" s="189" t="s">
        <v>445</v>
      </c>
      <c r="S100" s="71" t="s">
        <v>86</v>
      </c>
      <c r="T100" s="71" t="s">
        <v>446</v>
      </c>
    </row>
    <row r="101" spans="1:20" s="188" customFormat="1" ht="30" x14ac:dyDescent="0.3">
      <c r="A101" s="277"/>
      <c r="B101" s="277"/>
      <c r="C101" s="69" t="s">
        <v>829</v>
      </c>
      <c r="D101" s="70" t="s">
        <v>830</v>
      </c>
      <c r="E101" s="70" t="s">
        <v>833</v>
      </c>
      <c r="F101" s="70" t="s">
        <v>829</v>
      </c>
      <c r="G101" s="74" t="s">
        <v>836</v>
      </c>
      <c r="H101" s="70"/>
      <c r="I101" s="71" t="s">
        <v>46</v>
      </c>
      <c r="J101" s="71"/>
      <c r="K101" s="72">
        <v>155</v>
      </c>
      <c r="L101" s="3" t="str">
        <f>VLOOKUP(K101,'GACETA 3'!$E$9:$F$75,2,0)</f>
        <v>Área Jurídica</v>
      </c>
      <c r="M101" s="3" t="str">
        <f t="shared" si="1"/>
        <v>0103050104</v>
      </c>
      <c r="N101" s="3" t="str">
        <f>VLOOKUP(M101,GACETA!$A$1:$C$186,3,0)</f>
        <v>L</v>
      </c>
      <c r="O101" s="3" t="str">
        <f>VLOOKUP(M101,GACETA!$A$1:$C$186,2,0)</f>
        <v>Asesoría jurídica al ayuntamiento</v>
      </c>
      <c r="P101" s="253"/>
      <c r="Q101" s="253"/>
      <c r="R101" s="189" t="s">
        <v>447</v>
      </c>
      <c r="S101" s="71" t="s">
        <v>86</v>
      </c>
      <c r="T101" s="71" t="s">
        <v>448</v>
      </c>
    </row>
    <row r="102" spans="1:20" s="188" customFormat="1" ht="30" x14ac:dyDescent="0.3">
      <c r="A102" s="277"/>
      <c r="B102" s="277"/>
      <c r="C102" s="69" t="s">
        <v>829</v>
      </c>
      <c r="D102" s="70" t="s">
        <v>830</v>
      </c>
      <c r="E102" s="70" t="s">
        <v>833</v>
      </c>
      <c r="F102" s="70" t="s">
        <v>829</v>
      </c>
      <c r="G102" s="74" t="s">
        <v>836</v>
      </c>
      <c r="H102" s="70"/>
      <c r="I102" s="71" t="s">
        <v>46</v>
      </c>
      <c r="J102" s="71"/>
      <c r="K102" s="72">
        <v>155</v>
      </c>
      <c r="L102" s="3" t="str">
        <f>VLOOKUP(K102,'GACETA 3'!$E$9:$F$75,2,0)</f>
        <v>Área Jurídica</v>
      </c>
      <c r="M102" s="3" t="str">
        <f t="shared" si="1"/>
        <v>0103050104</v>
      </c>
      <c r="N102" s="3" t="str">
        <f>VLOOKUP(M102,GACETA!$A$1:$C$186,3,0)</f>
        <v>L</v>
      </c>
      <c r="O102" s="3" t="str">
        <f>VLOOKUP(M102,GACETA!$A$1:$C$186,2,0)</f>
        <v>Asesoría jurídica al ayuntamiento</v>
      </c>
      <c r="P102" s="253"/>
      <c r="Q102" s="253"/>
      <c r="R102" s="189" t="s">
        <v>449</v>
      </c>
      <c r="S102" s="71" t="s">
        <v>86</v>
      </c>
      <c r="T102" s="71" t="s">
        <v>124</v>
      </c>
    </row>
    <row r="103" spans="1:20" s="188" customFormat="1" ht="30" x14ac:dyDescent="0.3">
      <c r="A103" s="277"/>
      <c r="B103" s="277"/>
      <c r="C103" s="69" t="s">
        <v>829</v>
      </c>
      <c r="D103" s="70" t="s">
        <v>830</v>
      </c>
      <c r="E103" s="70" t="s">
        <v>833</v>
      </c>
      <c r="F103" s="70" t="s">
        <v>829</v>
      </c>
      <c r="G103" s="74" t="s">
        <v>836</v>
      </c>
      <c r="H103" s="70"/>
      <c r="I103" s="71" t="s">
        <v>46</v>
      </c>
      <c r="J103" s="71"/>
      <c r="K103" s="72">
        <v>155</v>
      </c>
      <c r="L103" s="3" t="str">
        <f>VLOOKUP(K103,'GACETA 3'!$E$9:$F$75,2,0)</f>
        <v>Área Jurídica</v>
      </c>
      <c r="M103" s="3" t="str">
        <f t="shared" si="1"/>
        <v>0103050104</v>
      </c>
      <c r="N103" s="3" t="str">
        <f>VLOOKUP(M103,GACETA!$A$1:$C$186,3,0)</f>
        <v>L</v>
      </c>
      <c r="O103" s="3" t="str">
        <f>VLOOKUP(M103,GACETA!$A$1:$C$186,2,0)</f>
        <v>Asesoría jurídica al ayuntamiento</v>
      </c>
      <c r="P103" s="253"/>
      <c r="Q103" s="253"/>
      <c r="R103" s="189" t="s">
        <v>450</v>
      </c>
      <c r="S103" s="71" t="s">
        <v>86</v>
      </c>
      <c r="T103" s="71" t="s">
        <v>451</v>
      </c>
    </row>
    <row r="104" spans="1:20" s="188" customFormat="1" ht="30" x14ac:dyDescent="0.3">
      <c r="A104" s="277"/>
      <c r="B104" s="277"/>
      <c r="C104" s="69" t="s">
        <v>829</v>
      </c>
      <c r="D104" s="70" t="s">
        <v>830</v>
      </c>
      <c r="E104" s="70" t="s">
        <v>833</v>
      </c>
      <c r="F104" s="70" t="s">
        <v>829</v>
      </c>
      <c r="G104" s="74" t="s">
        <v>836</v>
      </c>
      <c r="H104" s="70"/>
      <c r="I104" s="71" t="s">
        <v>46</v>
      </c>
      <c r="J104" s="71"/>
      <c r="K104" s="72">
        <v>155</v>
      </c>
      <c r="L104" s="3" t="str">
        <f>VLOOKUP(K104,'GACETA 3'!$E$9:$F$75,2,0)</f>
        <v>Área Jurídica</v>
      </c>
      <c r="M104" s="3" t="str">
        <f t="shared" si="1"/>
        <v>0103050104</v>
      </c>
      <c r="N104" s="3" t="str">
        <f>VLOOKUP(M104,GACETA!$A$1:$C$186,3,0)</f>
        <v>L</v>
      </c>
      <c r="O104" s="3" t="str">
        <f>VLOOKUP(M104,GACETA!$A$1:$C$186,2,0)</f>
        <v>Asesoría jurídica al ayuntamiento</v>
      </c>
      <c r="P104" s="253"/>
      <c r="Q104" s="253"/>
      <c r="R104" s="189" t="s">
        <v>452</v>
      </c>
      <c r="S104" s="71" t="s">
        <v>86</v>
      </c>
      <c r="T104" s="71" t="s">
        <v>453</v>
      </c>
    </row>
    <row r="105" spans="1:20" s="188" customFormat="1" ht="30" x14ac:dyDescent="0.3">
      <c r="A105" s="277"/>
      <c r="B105" s="277"/>
      <c r="C105" s="69" t="s">
        <v>829</v>
      </c>
      <c r="D105" s="70" t="s">
        <v>830</v>
      </c>
      <c r="E105" s="70" t="s">
        <v>833</v>
      </c>
      <c r="F105" s="70" t="s">
        <v>829</v>
      </c>
      <c r="G105" s="74" t="s">
        <v>836</v>
      </c>
      <c r="H105" s="70"/>
      <c r="I105" s="71" t="s">
        <v>46</v>
      </c>
      <c r="J105" s="71"/>
      <c r="K105" s="72">
        <v>155</v>
      </c>
      <c r="L105" s="3" t="str">
        <f>VLOOKUP(K105,'GACETA 3'!$E$9:$F$75,2,0)</f>
        <v>Área Jurídica</v>
      </c>
      <c r="M105" s="3" t="str">
        <f t="shared" si="1"/>
        <v>0103050104</v>
      </c>
      <c r="N105" s="3" t="str">
        <f>VLOOKUP(M105,GACETA!$A$1:$C$186,3,0)</f>
        <v>L</v>
      </c>
      <c r="O105" s="3" t="str">
        <f>VLOOKUP(M105,GACETA!$A$1:$C$186,2,0)</f>
        <v>Asesoría jurídica al ayuntamiento</v>
      </c>
      <c r="P105" s="253"/>
      <c r="Q105" s="253"/>
      <c r="R105" s="189" t="s">
        <v>454</v>
      </c>
      <c r="S105" s="71" t="s">
        <v>86</v>
      </c>
      <c r="T105" s="71" t="s">
        <v>455</v>
      </c>
    </row>
    <row r="106" spans="1:20" s="188" customFormat="1" ht="45" x14ac:dyDescent="0.3">
      <c r="A106" s="277"/>
      <c r="B106" s="277"/>
      <c r="C106" s="69" t="s">
        <v>829</v>
      </c>
      <c r="D106" s="70" t="s">
        <v>834</v>
      </c>
      <c r="E106" s="70" t="s">
        <v>829</v>
      </c>
      <c r="F106" s="70" t="s">
        <v>832</v>
      </c>
      <c r="G106" s="74" t="s">
        <v>829</v>
      </c>
      <c r="H106" s="70"/>
      <c r="I106" s="71" t="s">
        <v>46</v>
      </c>
      <c r="J106" s="71"/>
      <c r="K106" s="72">
        <v>118</v>
      </c>
      <c r="L106" s="3" t="str">
        <f>VLOOKUP(K106,'GACETA 3'!$E$9:$F$75,2,0)</f>
        <v>Catastro Municipal</v>
      </c>
      <c r="M106" s="3" t="str">
        <f t="shared" si="1"/>
        <v>0108010201</v>
      </c>
      <c r="N106" s="3" t="str">
        <f>VLOOKUP(M106,GACETA!$A$1:$C$186,3,0)</f>
        <v>E</v>
      </c>
      <c r="O106" s="3" t="str">
        <f>VLOOKUP(M106,GACETA!$A$1:$C$186,2,0)</f>
        <v>Servicios e información catastral estatal y municipal</v>
      </c>
      <c r="P106" s="253" t="s">
        <v>462</v>
      </c>
      <c r="Q106" s="253" t="s">
        <v>463</v>
      </c>
      <c r="R106" s="189" t="s">
        <v>1032</v>
      </c>
      <c r="S106" s="71" t="s">
        <v>86</v>
      </c>
      <c r="T106" s="71" t="s">
        <v>465</v>
      </c>
    </row>
    <row r="107" spans="1:20" s="188" customFormat="1" ht="45" x14ac:dyDescent="0.3">
      <c r="A107" s="277"/>
      <c r="B107" s="277"/>
      <c r="C107" s="69" t="s">
        <v>829</v>
      </c>
      <c r="D107" s="70" t="s">
        <v>834</v>
      </c>
      <c r="E107" s="70" t="s">
        <v>829</v>
      </c>
      <c r="F107" s="70" t="s">
        <v>832</v>
      </c>
      <c r="G107" s="74" t="s">
        <v>829</v>
      </c>
      <c r="H107" s="70"/>
      <c r="I107" s="71" t="s">
        <v>46</v>
      </c>
      <c r="J107" s="71"/>
      <c r="K107" s="72">
        <v>118</v>
      </c>
      <c r="L107" s="3" t="str">
        <f>VLOOKUP(K107,'GACETA 3'!$E$9:$F$75,2,0)</f>
        <v>Catastro Municipal</v>
      </c>
      <c r="M107" s="3" t="str">
        <f t="shared" si="1"/>
        <v>0108010201</v>
      </c>
      <c r="N107" s="3" t="str">
        <f>VLOOKUP(M107,GACETA!$A$1:$C$186,3,0)</f>
        <v>E</v>
      </c>
      <c r="O107" s="3" t="str">
        <f>VLOOKUP(M107,GACETA!$A$1:$C$186,2,0)</f>
        <v>Servicios e información catastral estatal y municipal</v>
      </c>
      <c r="P107" s="253"/>
      <c r="Q107" s="253"/>
      <c r="R107" s="189" t="s">
        <v>1033</v>
      </c>
      <c r="S107" s="71" t="s">
        <v>86</v>
      </c>
      <c r="T107" s="71" t="s">
        <v>465</v>
      </c>
    </row>
    <row r="108" spans="1:20" s="188" customFormat="1" ht="45" x14ac:dyDescent="0.3">
      <c r="A108" s="277"/>
      <c r="B108" s="277"/>
      <c r="C108" s="69" t="s">
        <v>829</v>
      </c>
      <c r="D108" s="70" t="s">
        <v>834</v>
      </c>
      <c r="E108" s="70" t="s">
        <v>829</v>
      </c>
      <c r="F108" s="70" t="s">
        <v>832</v>
      </c>
      <c r="G108" s="74" t="s">
        <v>829</v>
      </c>
      <c r="H108" s="70"/>
      <c r="I108" s="71" t="s">
        <v>46</v>
      </c>
      <c r="J108" s="71"/>
      <c r="K108" s="72">
        <v>118</v>
      </c>
      <c r="L108" s="3" t="str">
        <f>VLOOKUP(K108,'GACETA 3'!$E$9:$F$75,2,0)</f>
        <v>Catastro Municipal</v>
      </c>
      <c r="M108" s="3" t="str">
        <f t="shared" si="1"/>
        <v>0108010201</v>
      </c>
      <c r="N108" s="3" t="str">
        <f>VLOOKUP(M108,GACETA!$A$1:$C$186,3,0)</f>
        <v>E</v>
      </c>
      <c r="O108" s="3" t="str">
        <f>VLOOKUP(M108,GACETA!$A$1:$C$186,2,0)</f>
        <v>Servicios e información catastral estatal y municipal</v>
      </c>
      <c r="P108" s="253"/>
      <c r="Q108" s="253"/>
      <c r="R108" s="189" t="s">
        <v>1034</v>
      </c>
      <c r="S108" s="71" t="s">
        <v>86</v>
      </c>
      <c r="T108" s="71" t="s">
        <v>234</v>
      </c>
    </row>
    <row r="109" spans="1:20" s="188" customFormat="1" ht="45" x14ac:dyDescent="0.3">
      <c r="A109" s="277"/>
      <c r="B109" s="277"/>
      <c r="C109" s="69" t="s">
        <v>829</v>
      </c>
      <c r="D109" s="70" t="s">
        <v>834</v>
      </c>
      <c r="E109" s="70" t="s">
        <v>829</v>
      </c>
      <c r="F109" s="70" t="s">
        <v>832</v>
      </c>
      <c r="G109" s="74" t="s">
        <v>829</v>
      </c>
      <c r="H109" s="70"/>
      <c r="I109" s="71" t="s">
        <v>46</v>
      </c>
      <c r="J109" s="71"/>
      <c r="K109" s="72">
        <v>118</v>
      </c>
      <c r="L109" s="3" t="str">
        <f>VLOOKUP(K109,'GACETA 3'!$E$9:$F$75,2,0)</f>
        <v>Catastro Municipal</v>
      </c>
      <c r="M109" s="3" t="str">
        <f t="shared" si="1"/>
        <v>0108010201</v>
      </c>
      <c r="N109" s="3" t="str">
        <f>VLOOKUP(M109,GACETA!$A$1:$C$186,3,0)</f>
        <v>E</v>
      </c>
      <c r="O109" s="3" t="str">
        <f>VLOOKUP(M109,GACETA!$A$1:$C$186,2,0)</f>
        <v>Servicios e información catastral estatal y municipal</v>
      </c>
      <c r="P109" s="253"/>
      <c r="Q109" s="253"/>
      <c r="R109" s="189" t="s">
        <v>1035</v>
      </c>
      <c r="S109" s="71" t="s">
        <v>86</v>
      </c>
      <c r="T109" s="71" t="s">
        <v>469</v>
      </c>
    </row>
    <row r="110" spans="1:20" s="188" customFormat="1" ht="45" x14ac:dyDescent="0.3">
      <c r="A110" s="277"/>
      <c r="B110" s="277"/>
      <c r="C110" s="69" t="s">
        <v>829</v>
      </c>
      <c r="D110" s="70" t="s">
        <v>834</v>
      </c>
      <c r="E110" s="70" t="s">
        <v>829</v>
      </c>
      <c r="F110" s="70" t="s">
        <v>832</v>
      </c>
      <c r="G110" s="74" t="s">
        <v>829</v>
      </c>
      <c r="H110" s="70"/>
      <c r="I110" s="71" t="s">
        <v>46</v>
      </c>
      <c r="J110" s="71"/>
      <c r="K110" s="72">
        <v>118</v>
      </c>
      <c r="L110" s="3" t="str">
        <f>VLOOKUP(K110,'GACETA 3'!$E$9:$F$75,2,0)</f>
        <v>Catastro Municipal</v>
      </c>
      <c r="M110" s="3" t="str">
        <f t="shared" si="1"/>
        <v>0108010201</v>
      </c>
      <c r="N110" s="3" t="str">
        <f>VLOOKUP(M110,GACETA!$A$1:$C$186,3,0)</f>
        <v>E</v>
      </c>
      <c r="O110" s="3" t="str">
        <f>VLOOKUP(M110,GACETA!$A$1:$C$186,2,0)</f>
        <v>Servicios e información catastral estatal y municipal</v>
      </c>
      <c r="P110" s="253"/>
      <c r="Q110" s="253"/>
      <c r="R110" s="190" t="s">
        <v>1036</v>
      </c>
      <c r="S110" s="71" t="s">
        <v>86</v>
      </c>
      <c r="T110" s="71" t="s">
        <v>471</v>
      </c>
    </row>
    <row r="111" spans="1:20" s="188" customFormat="1" ht="34.5" customHeight="1" x14ac:dyDescent="0.3">
      <c r="A111" s="277"/>
      <c r="B111" s="277"/>
      <c r="C111" s="69" t="s">
        <v>829</v>
      </c>
      <c r="D111" s="70" t="s">
        <v>834</v>
      </c>
      <c r="E111" s="70" t="s">
        <v>829</v>
      </c>
      <c r="F111" s="70" t="s">
        <v>832</v>
      </c>
      <c r="G111" s="74" t="s">
        <v>829</v>
      </c>
      <c r="H111" s="70"/>
      <c r="I111" s="71" t="s">
        <v>46</v>
      </c>
      <c r="J111" s="71"/>
      <c r="K111" s="72">
        <v>118</v>
      </c>
      <c r="L111" s="3" t="str">
        <f>VLOOKUP(K111,'GACETA 3'!$E$9:$F$75,2,0)</f>
        <v>Catastro Municipal</v>
      </c>
      <c r="M111" s="3" t="str">
        <f t="shared" si="1"/>
        <v>0108010201</v>
      </c>
      <c r="N111" s="3" t="str">
        <f>VLOOKUP(M111,GACETA!$A$1:$C$186,3,0)</f>
        <v>E</v>
      </c>
      <c r="O111" s="3" t="str">
        <f>VLOOKUP(M111,GACETA!$A$1:$C$186,2,0)</f>
        <v>Servicios e información catastral estatal y municipal</v>
      </c>
      <c r="P111" s="253"/>
      <c r="Q111" s="253"/>
      <c r="R111" s="188" t="s">
        <v>1037</v>
      </c>
      <c r="S111" s="71" t="s">
        <v>86</v>
      </c>
      <c r="T111" s="71" t="s">
        <v>472</v>
      </c>
    </row>
    <row r="112" spans="1:20" s="188" customFormat="1" ht="17.25" customHeight="1" x14ac:dyDescent="0.3">
      <c r="A112" s="277"/>
      <c r="B112" s="277"/>
      <c r="C112" s="69" t="s">
        <v>829</v>
      </c>
      <c r="D112" s="73" t="s">
        <v>834</v>
      </c>
      <c r="E112" s="73" t="s">
        <v>833</v>
      </c>
      <c r="F112" s="73" t="s">
        <v>829</v>
      </c>
      <c r="G112" s="75" t="s">
        <v>830</v>
      </c>
      <c r="H112" s="73"/>
      <c r="I112" s="71" t="s">
        <v>46</v>
      </c>
      <c r="J112" s="71"/>
      <c r="K112" s="71">
        <v>137</v>
      </c>
      <c r="L112" s="3" t="str">
        <f>VLOOKUP(K112,'GACETA 3'!$E$9:$F$75,2,0)</f>
        <v>Simplificación Administrativa</v>
      </c>
      <c r="M112" s="3" t="str">
        <f t="shared" si="1"/>
        <v>0108050103</v>
      </c>
      <c r="N112" s="3" t="str">
        <f>VLOOKUP(M112,GACETA!$A$1:$C$186,3,0)</f>
        <v>E</v>
      </c>
      <c r="O112" s="3" t="str">
        <f>VLOOKUP(M112,GACETA!$A$1:$C$186,2,0)</f>
        <v>Innovación gubernamental con tecnologías de información</v>
      </c>
      <c r="P112" s="251" t="s">
        <v>1055</v>
      </c>
      <c r="Q112" s="251" t="s">
        <v>179</v>
      </c>
      <c r="R112" s="71" t="s">
        <v>1056</v>
      </c>
      <c r="S112" s="71" t="s">
        <v>86</v>
      </c>
      <c r="T112" s="71" t="s">
        <v>402</v>
      </c>
    </row>
    <row r="113" spans="1:20" s="188" customFormat="1" ht="17.25" customHeight="1" x14ac:dyDescent="0.3">
      <c r="A113" s="277"/>
      <c r="B113" s="277"/>
      <c r="C113" s="69" t="s">
        <v>829</v>
      </c>
      <c r="D113" s="73" t="s">
        <v>834</v>
      </c>
      <c r="E113" s="73" t="s">
        <v>833</v>
      </c>
      <c r="F113" s="73" t="s">
        <v>829</v>
      </c>
      <c r="G113" s="75" t="s">
        <v>830</v>
      </c>
      <c r="H113" s="73"/>
      <c r="I113" s="71" t="s">
        <v>46</v>
      </c>
      <c r="J113" s="71"/>
      <c r="K113" s="71">
        <v>137</v>
      </c>
      <c r="L113" s="3" t="str">
        <f>VLOOKUP(K113,'GACETA 3'!$E$9:$F$75,2,0)</f>
        <v>Simplificación Administrativa</v>
      </c>
      <c r="M113" s="3" t="str">
        <f t="shared" si="1"/>
        <v>0108050103</v>
      </c>
      <c r="N113" s="3" t="str">
        <f>VLOOKUP(M113,GACETA!$A$1:$C$186,3,0)</f>
        <v>E</v>
      </c>
      <c r="O113" s="3" t="str">
        <f>VLOOKUP(M113,GACETA!$A$1:$C$186,2,0)</f>
        <v>Innovación gubernamental con tecnologías de información</v>
      </c>
      <c r="P113" s="252"/>
      <c r="Q113" s="252"/>
      <c r="R113" s="71" t="s">
        <v>1057</v>
      </c>
      <c r="S113" s="71" t="s">
        <v>86</v>
      </c>
      <c r="T113" s="71" t="s">
        <v>180</v>
      </c>
    </row>
    <row r="114" spans="1:20" s="188" customFormat="1" ht="17.25" customHeight="1" x14ac:dyDescent="0.3">
      <c r="A114" s="277"/>
      <c r="B114" s="277"/>
      <c r="C114" s="69" t="s">
        <v>829</v>
      </c>
      <c r="D114" s="73" t="s">
        <v>834</v>
      </c>
      <c r="E114" s="73" t="s">
        <v>833</v>
      </c>
      <c r="F114" s="73" t="s">
        <v>829</v>
      </c>
      <c r="G114" s="75" t="s">
        <v>830</v>
      </c>
      <c r="H114" s="73"/>
      <c r="I114" s="71" t="s">
        <v>46</v>
      </c>
      <c r="J114" s="71"/>
      <c r="K114" s="71">
        <v>137</v>
      </c>
      <c r="L114" s="3" t="str">
        <f>VLOOKUP(K114,'GACETA 3'!$E$9:$F$75,2,0)</f>
        <v>Simplificación Administrativa</v>
      </c>
      <c r="M114" s="3" t="str">
        <f t="shared" si="1"/>
        <v>0108050103</v>
      </c>
      <c r="N114" s="3" t="str">
        <f>VLOOKUP(M114,GACETA!$A$1:$C$186,3,0)</f>
        <v>E</v>
      </c>
      <c r="O114" s="3" t="str">
        <f>VLOOKUP(M114,GACETA!$A$1:$C$186,2,0)</f>
        <v>Innovación gubernamental con tecnologías de información</v>
      </c>
      <c r="P114" s="252"/>
      <c r="Q114" s="252"/>
      <c r="R114" s="71" t="s">
        <v>1059</v>
      </c>
      <c r="S114" s="71" t="s">
        <v>86</v>
      </c>
      <c r="T114" s="71" t="s">
        <v>402</v>
      </c>
    </row>
    <row r="115" spans="1:20" s="188" customFormat="1" ht="17.25" customHeight="1" x14ac:dyDescent="0.3">
      <c r="A115" s="277"/>
      <c r="B115" s="277"/>
      <c r="C115" s="69" t="s">
        <v>829</v>
      </c>
      <c r="D115" s="73" t="s">
        <v>834</v>
      </c>
      <c r="E115" s="73" t="s">
        <v>833</v>
      </c>
      <c r="F115" s="73" t="s">
        <v>829</v>
      </c>
      <c r="G115" s="75" t="s">
        <v>830</v>
      </c>
      <c r="H115" s="73"/>
      <c r="I115" s="71" t="s">
        <v>46</v>
      </c>
      <c r="J115" s="71"/>
      <c r="K115" s="71">
        <v>137</v>
      </c>
      <c r="L115" s="3" t="str">
        <f>VLOOKUP(K115,'GACETA 3'!$E$9:$F$75,2,0)</f>
        <v>Simplificación Administrativa</v>
      </c>
      <c r="M115" s="3" t="str">
        <f t="shared" si="1"/>
        <v>0108050103</v>
      </c>
      <c r="N115" s="3" t="str">
        <f>VLOOKUP(M115,GACETA!$A$1:$C$186,3,0)</f>
        <v>E</v>
      </c>
      <c r="O115" s="3" t="str">
        <f>VLOOKUP(M115,GACETA!$A$1:$C$186,2,0)</f>
        <v>Innovación gubernamental con tecnologías de información</v>
      </c>
      <c r="P115" s="252"/>
      <c r="Q115" s="252"/>
      <c r="R115" s="71" t="s">
        <v>1058</v>
      </c>
      <c r="S115" s="71" t="s">
        <v>86</v>
      </c>
      <c r="T115" s="71" t="s">
        <v>402</v>
      </c>
    </row>
    <row r="116" spans="1:20" s="188" customFormat="1" ht="17.25" customHeight="1" x14ac:dyDescent="0.3">
      <c r="A116" s="277"/>
      <c r="B116" s="277"/>
      <c r="C116" s="69" t="s">
        <v>829</v>
      </c>
      <c r="D116" s="73" t="s">
        <v>834</v>
      </c>
      <c r="E116" s="73" t="s">
        <v>833</v>
      </c>
      <c r="F116" s="73" t="s">
        <v>829</v>
      </c>
      <c r="G116" s="75" t="s">
        <v>830</v>
      </c>
      <c r="H116" s="73"/>
      <c r="I116" s="71" t="s">
        <v>46</v>
      </c>
      <c r="J116" s="71"/>
      <c r="K116" s="71">
        <v>137</v>
      </c>
      <c r="L116" s="3" t="str">
        <f>VLOOKUP(K116,'GACETA 3'!$E$9:$F$75,2,0)</f>
        <v>Simplificación Administrativa</v>
      </c>
      <c r="M116" s="3" t="str">
        <f t="shared" si="1"/>
        <v>0108050103</v>
      </c>
      <c r="N116" s="3" t="str">
        <f>VLOOKUP(M116,GACETA!$A$1:$C$186,3,0)</f>
        <v>E</v>
      </c>
      <c r="O116" s="3" t="str">
        <f>VLOOKUP(M116,GACETA!$A$1:$C$186,2,0)</f>
        <v>Innovación gubernamental con tecnologías de información</v>
      </c>
      <c r="P116" s="252"/>
      <c r="Q116" s="252"/>
      <c r="R116" s="71" t="s">
        <v>1054</v>
      </c>
      <c r="S116" s="71" t="s">
        <v>86</v>
      </c>
      <c r="T116" s="71" t="s">
        <v>180</v>
      </c>
    </row>
    <row r="117" spans="1:20" ht="45" x14ac:dyDescent="0.3">
      <c r="A117" s="304" t="s">
        <v>47</v>
      </c>
      <c r="B117" s="272" t="s">
        <v>961</v>
      </c>
      <c r="C117" s="33" t="s">
        <v>829</v>
      </c>
      <c r="D117" s="34" t="s">
        <v>830</v>
      </c>
      <c r="E117" s="34" t="s">
        <v>836</v>
      </c>
      <c r="F117" s="34" t="s">
        <v>829</v>
      </c>
      <c r="G117" s="61" t="s">
        <v>829</v>
      </c>
      <c r="H117" s="34"/>
      <c r="I117" s="6" t="s">
        <v>47</v>
      </c>
      <c r="J117" s="6"/>
      <c r="K117" s="3">
        <v>134</v>
      </c>
      <c r="L117" s="3" t="str">
        <f>VLOOKUP(K117,'GACETA 3'!$E$9:$F$75,2,0)</f>
        <v>Auditoría Financiera</v>
      </c>
      <c r="M117" s="3" t="str">
        <f t="shared" si="1"/>
        <v>0103040101</v>
      </c>
      <c r="N117" s="3" t="str">
        <f>VLOOKUP(M117,GACETA!$A$1:$C$186,3,0)</f>
        <v>O</v>
      </c>
      <c r="O117" s="3" t="str">
        <f>VLOOKUP(M117,GACETA!$A$1:$C$186,2,0)</f>
        <v>Fiscalización, control y evaluación interna de la gestión pública</v>
      </c>
      <c r="P117" s="247" t="s">
        <v>981</v>
      </c>
      <c r="Q117" s="244" t="s">
        <v>362</v>
      </c>
      <c r="R117" s="147" t="s">
        <v>982</v>
      </c>
      <c r="S117" s="7" t="s">
        <v>86</v>
      </c>
      <c r="T117" s="7" t="s">
        <v>124</v>
      </c>
    </row>
    <row r="118" spans="1:20" ht="45" x14ac:dyDescent="0.3">
      <c r="A118" s="305"/>
      <c r="B118" s="273"/>
      <c r="C118" s="33" t="s">
        <v>829</v>
      </c>
      <c r="D118" s="34" t="s">
        <v>830</v>
      </c>
      <c r="E118" s="34" t="s">
        <v>836</v>
      </c>
      <c r="F118" s="34" t="s">
        <v>829</v>
      </c>
      <c r="G118" s="61" t="s">
        <v>829</v>
      </c>
      <c r="H118" s="34"/>
      <c r="I118" s="6" t="s">
        <v>47</v>
      </c>
      <c r="J118" s="6"/>
      <c r="K118" s="3">
        <v>134</v>
      </c>
      <c r="L118" s="3" t="str">
        <f>VLOOKUP(K118,'GACETA 3'!$E$9:$F$75,2,0)</f>
        <v>Auditoría Financiera</v>
      </c>
      <c r="M118" s="3" t="str">
        <f t="shared" si="1"/>
        <v>0103040101</v>
      </c>
      <c r="N118" s="3" t="str">
        <f>VLOOKUP(M118,GACETA!$A$1:$C$186,3,0)</f>
        <v>O</v>
      </c>
      <c r="O118" s="3" t="str">
        <f>VLOOKUP(M118,GACETA!$A$1:$C$186,2,0)</f>
        <v>Fiscalización, control y evaluación interna de la gestión pública</v>
      </c>
      <c r="P118" s="248"/>
      <c r="Q118" s="245"/>
      <c r="R118" s="147" t="s">
        <v>983</v>
      </c>
      <c r="S118" s="7" t="s">
        <v>86</v>
      </c>
      <c r="T118" s="7" t="s">
        <v>208</v>
      </c>
    </row>
    <row r="119" spans="1:20" ht="45" x14ac:dyDescent="0.3">
      <c r="A119" s="305"/>
      <c r="B119" s="273"/>
      <c r="C119" s="33" t="s">
        <v>829</v>
      </c>
      <c r="D119" s="34" t="s">
        <v>830</v>
      </c>
      <c r="E119" s="34" t="s">
        <v>836</v>
      </c>
      <c r="F119" s="34" t="s">
        <v>829</v>
      </c>
      <c r="G119" s="61" t="s">
        <v>829</v>
      </c>
      <c r="H119" s="34"/>
      <c r="I119" s="6" t="s">
        <v>47</v>
      </c>
      <c r="J119" s="6"/>
      <c r="K119" s="3">
        <v>134</v>
      </c>
      <c r="L119" s="3" t="str">
        <f>VLOOKUP(K119,'GACETA 3'!$E$9:$F$75,2,0)</f>
        <v>Auditoría Financiera</v>
      </c>
      <c r="M119" s="3" t="str">
        <f t="shared" si="1"/>
        <v>0103040101</v>
      </c>
      <c r="N119" s="3" t="str">
        <f>VLOOKUP(M119,GACETA!$A$1:$C$186,3,0)</f>
        <v>O</v>
      </c>
      <c r="O119" s="3" t="str">
        <f>VLOOKUP(M119,GACETA!$A$1:$C$186,2,0)</f>
        <v>Fiscalización, control y evaluación interna de la gestión pública</v>
      </c>
      <c r="P119" s="248"/>
      <c r="Q119" s="245"/>
      <c r="R119" s="147" t="s">
        <v>984</v>
      </c>
      <c r="S119" s="7" t="s">
        <v>86</v>
      </c>
      <c r="T119" s="7" t="s">
        <v>124</v>
      </c>
    </row>
    <row r="120" spans="1:20" ht="45" x14ac:dyDescent="0.3">
      <c r="A120" s="305"/>
      <c r="B120" s="273"/>
      <c r="C120" s="33" t="s">
        <v>829</v>
      </c>
      <c r="D120" s="34" t="s">
        <v>830</v>
      </c>
      <c r="E120" s="34" t="s">
        <v>836</v>
      </c>
      <c r="F120" s="34" t="s">
        <v>829</v>
      </c>
      <c r="G120" s="61" t="s">
        <v>829</v>
      </c>
      <c r="H120" s="34"/>
      <c r="I120" s="6" t="s">
        <v>47</v>
      </c>
      <c r="J120" s="6"/>
      <c r="K120" s="3">
        <v>134</v>
      </c>
      <c r="L120" s="3" t="str">
        <f>VLOOKUP(K120,'GACETA 3'!$E$9:$F$75,2,0)</f>
        <v>Auditoría Financiera</v>
      </c>
      <c r="M120" s="3" t="str">
        <f t="shared" si="1"/>
        <v>0103040101</v>
      </c>
      <c r="N120" s="3" t="str">
        <f>VLOOKUP(M120,GACETA!$A$1:$C$186,3,0)</f>
        <v>O</v>
      </c>
      <c r="O120" s="3" t="str">
        <f>VLOOKUP(M120,GACETA!$A$1:$C$186,2,0)</f>
        <v>Fiscalización, control y evaluación interna de la gestión pública</v>
      </c>
      <c r="P120" s="248"/>
      <c r="Q120" s="245"/>
      <c r="R120" s="62" t="s">
        <v>985</v>
      </c>
      <c r="S120" s="7" t="s">
        <v>86</v>
      </c>
      <c r="T120" s="7" t="s">
        <v>402</v>
      </c>
    </row>
    <row r="121" spans="1:20" ht="45" x14ac:dyDescent="0.3">
      <c r="A121" s="305"/>
      <c r="B121" s="273"/>
      <c r="C121" s="33" t="s">
        <v>829</v>
      </c>
      <c r="D121" s="34" t="s">
        <v>830</v>
      </c>
      <c r="E121" s="34" t="s">
        <v>836</v>
      </c>
      <c r="F121" s="34" t="s">
        <v>829</v>
      </c>
      <c r="G121" s="61" t="s">
        <v>829</v>
      </c>
      <c r="H121" s="34"/>
      <c r="I121" s="6" t="s">
        <v>47</v>
      </c>
      <c r="J121" s="6"/>
      <c r="K121" s="3">
        <v>135</v>
      </c>
      <c r="L121" s="3" t="str">
        <f>VLOOKUP(K121,'GACETA 3'!$E$9:$F$75,2,0)</f>
        <v>Auditoría de Obra</v>
      </c>
      <c r="M121" s="3" t="str">
        <f t="shared" si="1"/>
        <v>0103040101</v>
      </c>
      <c r="N121" s="3" t="str">
        <f>VLOOKUP(M121,GACETA!$A$1:$C$186,3,0)</f>
        <v>O</v>
      </c>
      <c r="O121" s="3" t="str">
        <f>VLOOKUP(M121,GACETA!$A$1:$C$186,2,0)</f>
        <v>Fiscalización, control y evaluación interna de la gestión pública</v>
      </c>
      <c r="P121" s="248"/>
      <c r="Q121" s="245"/>
      <c r="R121" s="62" t="s">
        <v>986</v>
      </c>
      <c r="S121" s="7" t="s">
        <v>86</v>
      </c>
      <c r="T121" s="7" t="s">
        <v>402</v>
      </c>
    </row>
    <row r="122" spans="1:20" ht="45" x14ac:dyDescent="0.3">
      <c r="A122" s="305"/>
      <c r="B122" s="273"/>
      <c r="C122" s="33" t="s">
        <v>829</v>
      </c>
      <c r="D122" s="34" t="s">
        <v>830</v>
      </c>
      <c r="E122" s="34" t="s">
        <v>836</v>
      </c>
      <c r="F122" s="34" t="s">
        <v>829</v>
      </c>
      <c r="G122" s="61" t="s">
        <v>829</v>
      </c>
      <c r="H122" s="34"/>
      <c r="I122" s="6" t="s">
        <v>47</v>
      </c>
      <c r="J122" s="6"/>
      <c r="K122" s="3">
        <v>135</v>
      </c>
      <c r="L122" s="3" t="str">
        <f>VLOOKUP(K122,'GACETA 3'!$E$9:$F$75,2,0)</f>
        <v>Auditoría de Obra</v>
      </c>
      <c r="M122" s="3" t="str">
        <f t="shared" si="1"/>
        <v>0103040101</v>
      </c>
      <c r="N122" s="3" t="str">
        <f>VLOOKUP(M122,GACETA!$A$1:$C$186,3,0)</f>
        <v>O</v>
      </c>
      <c r="O122" s="3" t="str">
        <f>VLOOKUP(M122,GACETA!$A$1:$C$186,2,0)</f>
        <v>Fiscalización, control y evaluación interna de la gestión pública</v>
      </c>
      <c r="P122" s="248"/>
      <c r="Q122" s="245"/>
      <c r="R122" s="147" t="s">
        <v>987</v>
      </c>
      <c r="S122" s="7" t="s">
        <v>86</v>
      </c>
      <c r="T122" s="7" t="s">
        <v>124</v>
      </c>
    </row>
    <row r="123" spans="1:20" ht="45" x14ac:dyDescent="0.3">
      <c r="A123" s="305"/>
      <c r="B123" s="273"/>
      <c r="C123" s="33" t="s">
        <v>829</v>
      </c>
      <c r="D123" s="34" t="s">
        <v>830</v>
      </c>
      <c r="E123" s="34" t="s">
        <v>836</v>
      </c>
      <c r="F123" s="34" t="s">
        <v>829</v>
      </c>
      <c r="G123" s="61" t="s">
        <v>829</v>
      </c>
      <c r="H123" s="34"/>
      <c r="I123" s="6" t="s">
        <v>47</v>
      </c>
      <c r="J123" s="6"/>
      <c r="K123" s="3">
        <v>135</v>
      </c>
      <c r="L123" s="3" t="str">
        <f>VLOOKUP(K123,'GACETA 3'!$E$9:$F$75,2,0)</f>
        <v>Auditoría de Obra</v>
      </c>
      <c r="M123" s="3" t="str">
        <f t="shared" si="1"/>
        <v>0103040101</v>
      </c>
      <c r="N123" s="3" t="str">
        <f>VLOOKUP(M123,GACETA!$A$1:$C$186,3,0)</f>
        <v>O</v>
      </c>
      <c r="O123" s="3" t="str">
        <f>VLOOKUP(M123,GACETA!$A$1:$C$186,2,0)</f>
        <v>Fiscalización, control y evaluación interna de la gestión pública</v>
      </c>
      <c r="P123" s="248"/>
      <c r="Q123" s="245"/>
      <c r="R123" s="147" t="s">
        <v>988</v>
      </c>
      <c r="S123" s="7" t="s">
        <v>86</v>
      </c>
      <c r="T123" s="7" t="s">
        <v>124</v>
      </c>
    </row>
    <row r="124" spans="1:20" ht="45" x14ac:dyDescent="0.3">
      <c r="A124" s="305"/>
      <c r="B124" s="273"/>
      <c r="C124" s="33" t="s">
        <v>829</v>
      </c>
      <c r="D124" s="34" t="s">
        <v>830</v>
      </c>
      <c r="E124" s="34" t="s">
        <v>836</v>
      </c>
      <c r="F124" s="34" t="s">
        <v>829</v>
      </c>
      <c r="G124" s="61" t="s">
        <v>832</v>
      </c>
      <c r="H124" s="34"/>
      <c r="I124" s="6" t="s">
        <v>47</v>
      </c>
      <c r="J124" s="6"/>
      <c r="K124" s="3">
        <v>139</v>
      </c>
      <c r="L124" s="3" t="str">
        <f>VLOOKUP(K124,'GACETA 3'!$E$9:$F$75,2,0)</f>
        <v>Control Social</v>
      </c>
      <c r="M124" s="3" t="str">
        <f t="shared" si="1"/>
        <v>0103040102</v>
      </c>
      <c r="N124" s="3" t="str">
        <f>VLOOKUP(M124,GACETA!$A$1:$C$186,3,0)</f>
        <v>P</v>
      </c>
      <c r="O124" s="3" t="str">
        <f>VLOOKUP(M124,GACETA!$A$1:$C$186,2,0)</f>
        <v xml:space="preserve">Participación social en la formulación, seguimiento, control y evaluación </v>
      </c>
      <c r="P124" s="248"/>
      <c r="Q124" s="279" t="s">
        <v>363</v>
      </c>
      <c r="R124" s="149" t="s">
        <v>364</v>
      </c>
      <c r="S124" s="7" t="s">
        <v>86</v>
      </c>
      <c r="T124" s="7" t="s">
        <v>124</v>
      </c>
    </row>
    <row r="125" spans="1:20" ht="30" customHeight="1" x14ac:dyDescent="0.3">
      <c r="A125" s="305"/>
      <c r="B125" s="273"/>
      <c r="C125" s="33" t="s">
        <v>829</v>
      </c>
      <c r="D125" s="34" t="s">
        <v>830</v>
      </c>
      <c r="E125" s="34" t="s">
        <v>836</v>
      </c>
      <c r="F125" s="34" t="s">
        <v>829</v>
      </c>
      <c r="G125" s="61" t="s">
        <v>832</v>
      </c>
      <c r="H125" s="34"/>
      <c r="I125" s="6" t="s">
        <v>47</v>
      </c>
      <c r="J125" s="6"/>
      <c r="K125" s="3">
        <v>139</v>
      </c>
      <c r="L125" s="3" t="str">
        <f>VLOOKUP(K125,'GACETA 3'!$E$9:$F$75,2,0)</f>
        <v>Control Social</v>
      </c>
      <c r="M125" s="3" t="str">
        <f t="shared" si="1"/>
        <v>0103040102</v>
      </c>
      <c r="N125" s="3" t="str">
        <f>VLOOKUP(M125,GACETA!$A$1:$C$186,3,0)</f>
        <v>P</v>
      </c>
      <c r="O125" s="3" t="str">
        <f>VLOOKUP(M125,GACETA!$A$1:$C$186,2,0)</f>
        <v xml:space="preserve">Participación social en la formulación, seguimiento, control y evaluación </v>
      </c>
      <c r="P125" s="248"/>
      <c r="Q125" s="279"/>
      <c r="R125" s="149" t="s">
        <v>758</v>
      </c>
      <c r="S125" s="7" t="s">
        <v>86</v>
      </c>
      <c r="T125" s="7" t="s">
        <v>124</v>
      </c>
    </row>
    <row r="126" spans="1:20" ht="29.25" customHeight="1" x14ac:dyDescent="0.3">
      <c r="A126" s="305"/>
      <c r="B126" s="273"/>
      <c r="C126" s="33" t="s">
        <v>829</v>
      </c>
      <c r="D126" s="34" t="s">
        <v>830</v>
      </c>
      <c r="E126" s="34" t="s">
        <v>836</v>
      </c>
      <c r="F126" s="34" t="s">
        <v>829</v>
      </c>
      <c r="G126" s="61" t="s">
        <v>832</v>
      </c>
      <c r="H126" s="34"/>
      <c r="I126" s="6" t="s">
        <v>47</v>
      </c>
      <c r="J126" s="6"/>
      <c r="K126" s="3">
        <v>139</v>
      </c>
      <c r="L126" s="3" t="str">
        <f>VLOOKUP(K126,'GACETA 3'!$E$9:$F$75,2,0)</f>
        <v>Control Social</v>
      </c>
      <c r="M126" s="3" t="str">
        <f t="shared" si="1"/>
        <v>0103040102</v>
      </c>
      <c r="N126" s="3" t="str">
        <f>VLOOKUP(M126,GACETA!$A$1:$C$186,3,0)</f>
        <v>P</v>
      </c>
      <c r="O126" s="3" t="str">
        <f>VLOOKUP(M126,GACETA!$A$1:$C$186,2,0)</f>
        <v xml:space="preserve">Participación social en la formulación, seguimiento, control y evaluación </v>
      </c>
      <c r="P126" s="249"/>
      <c r="Q126" s="279"/>
      <c r="R126" s="149" t="s">
        <v>759</v>
      </c>
      <c r="S126" s="7" t="s">
        <v>86</v>
      </c>
      <c r="T126" s="62" t="s">
        <v>124</v>
      </c>
    </row>
    <row r="127" spans="1:20" ht="45" x14ac:dyDescent="0.3">
      <c r="A127" s="305"/>
      <c r="B127" s="273"/>
      <c r="C127" s="33" t="s">
        <v>829</v>
      </c>
      <c r="D127" s="34" t="s">
        <v>830</v>
      </c>
      <c r="E127" s="34" t="s">
        <v>836</v>
      </c>
      <c r="F127" s="34" t="s">
        <v>832</v>
      </c>
      <c r="G127" s="61" t="s">
        <v>829</v>
      </c>
      <c r="H127" s="34"/>
      <c r="I127" s="6" t="s">
        <v>47</v>
      </c>
      <c r="J127" s="6"/>
      <c r="K127" s="100">
        <v>136</v>
      </c>
      <c r="L127" s="3" t="str">
        <f>VLOOKUP(K127,'GACETA 3'!$E$9:$F$75,2,0)</f>
        <v>Auditoría Administrativa</v>
      </c>
      <c r="M127" s="3" t="str">
        <f t="shared" si="1"/>
        <v>0103040201</v>
      </c>
      <c r="N127" s="3" t="e">
        <f>VLOOKUP(M127,GACETA!$A$1:$C$186,3,0)</f>
        <v>#N/A</v>
      </c>
      <c r="O127" s="3" t="e">
        <f>VLOOKUP(M127,GACETA!$A$1:$C$186,2,0)</f>
        <v>#N/A</v>
      </c>
      <c r="P127" s="312" t="s">
        <v>365</v>
      </c>
      <c r="Q127" s="247" t="s">
        <v>366</v>
      </c>
      <c r="R127" s="149" t="s">
        <v>746</v>
      </c>
      <c r="S127" s="6" t="s">
        <v>86</v>
      </c>
      <c r="T127" s="7" t="s">
        <v>748</v>
      </c>
    </row>
    <row r="128" spans="1:20" ht="45" x14ac:dyDescent="0.3">
      <c r="A128" s="305"/>
      <c r="B128" s="273"/>
      <c r="C128" s="33" t="s">
        <v>829</v>
      </c>
      <c r="D128" s="34" t="s">
        <v>830</v>
      </c>
      <c r="E128" s="34" t="s">
        <v>836</v>
      </c>
      <c r="F128" s="34" t="s">
        <v>832</v>
      </c>
      <c r="G128" s="61" t="s">
        <v>829</v>
      </c>
      <c r="H128" s="34"/>
      <c r="I128" s="6" t="s">
        <v>47</v>
      </c>
      <c r="J128" s="6"/>
      <c r="K128" s="100">
        <v>136</v>
      </c>
      <c r="L128" s="3" t="str">
        <f>VLOOKUP(K128,'GACETA 3'!$E$9:$F$75,2,0)</f>
        <v>Auditoría Administrativa</v>
      </c>
      <c r="M128" s="3" t="str">
        <f t="shared" si="1"/>
        <v>0103040201</v>
      </c>
      <c r="N128" s="3" t="e">
        <f>VLOOKUP(M128,GACETA!$A$1:$C$186,3,0)</f>
        <v>#N/A</v>
      </c>
      <c r="O128" s="3" t="e">
        <f>VLOOKUP(M128,GACETA!$A$1:$C$186,2,0)</f>
        <v>#N/A</v>
      </c>
      <c r="P128" s="312"/>
      <c r="Q128" s="248"/>
      <c r="R128" s="149" t="s">
        <v>747</v>
      </c>
      <c r="S128" s="6" t="s">
        <v>86</v>
      </c>
      <c r="T128" s="7" t="s">
        <v>130</v>
      </c>
    </row>
    <row r="129" spans="1:20" ht="45" x14ac:dyDescent="0.3">
      <c r="A129" s="305"/>
      <c r="B129" s="273"/>
      <c r="C129" s="33" t="s">
        <v>829</v>
      </c>
      <c r="D129" s="34" t="s">
        <v>830</v>
      </c>
      <c r="E129" s="34" t="s">
        <v>836</v>
      </c>
      <c r="F129" s="34" t="s">
        <v>832</v>
      </c>
      <c r="G129" s="61" t="s">
        <v>829</v>
      </c>
      <c r="H129" s="34"/>
      <c r="I129" s="6" t="s">
        <v>47</v>
      </c>
      <c r="J129" s="6"/>
      <c r="K129" s="100">
        <v>136</v>
      </c>
      <c r="L129" s="3" t="str">
        <f>VLOOKUP(K129,'GACETA 3'!$E$9:$F$75,2,0)</f>
        <v>Auditoría Administrativa</v>
      </c>
      <c r="M129" s="3" t="str">
        <f t="shared" si="1"/>
        <v>0103040201</v>
      </c>
      <c r="N129" s="3" t="e">
        <f>VLOOKUP(M129,GACETA!$A$1:$C$186,3,0)</f>
        <v>#N/A</v>
      </c>
      <c r="O129" s="3" t="e">
        <f>VLOOKUP(M129,GACETA!$A$1:$C$186,2,0)</f>
        <v>#N/A</v>
      </c>
      <c r="P129" s="312"/>
      <c r="Q129" s="248"/>
      <c r="R129" s="149" t="s">
        <v>368</v>
      </c>
      <c r="S129" s="6" t="s">
        <v>86</v>
      </c>
      <c r="T129" s="7" t="s">
        <v>104</v>
      </c>
    </row>
    <row r="130" spans="1:20" ht="45" x14ac:dyDescent="0.3">
      <c r="A130" s="305"/>
      <c r="B130" s="273"/>
      <c r="C130" s="33" t="s">
        <v>829</v>
      </c>
      <c r="D130" s="34" t="s">
        <v>830</v>
      </c>
      <c r="E130" s="34" t="s">
        <v>836</v>
      </c>
      <c r="F130" s="34" t="s">
        <v>832</v>
      </c>
      <c r="G130" s="61" t="s">
        <v>829</v>
      </c>
      <c r="H130" s="34"/>
      <c r="I130" s="6" t="s">
        <v>47</v>
      </c>
      <c r="J130" s="6"/>
      <c r="K130" s="100">
        <v>136</v>
      </c>
      <c r="L130" s="3" t="str">
        <f>VLOOKUP(K130,'GACETA 3'!$E$9:$F$75,2,0)</f>
        <v>Auditoría Administrativa</v>
      </c>
      <c r="M130" s="3" t="str">
        <f t="shared" si="1"/>
        <v>0103040201</v>
      </c>
      <c r="N130" s="3" t="e">
        <f>VLOOKUP(M130,GACETA!$A$1:$C$186,3,0)</f>
        <v>#N/A</v>
      </c>
      <c r="O130" s="3" t="e">
        <f>VLOOKUP(M130,GACETA!$A$1:$C$186,2,0)</f>
        <v>#N/A</v>
      </c>
      <c r="P130" s="312"/>
      <c r="Q130" s="249"/>
      <c r="R130" s="149" t="s">
        <v>367</v>
      </c>
      <c r="S130" s="6" t="s">
        <v>86</v>
      </c>
      <c r="T130" s="7" t="s">
        <v>124</v>
      </c>
    </row>
    <row r="131" spans="1:20" ht="75" x14ac:dyDescent="0.3">
      <c r="A131" s="305"/>
      <c r="B131" s="273"/>
      <c r="C131" s="33" t="s">
        <v>829</v>
      </c>
      <c r="D131" s="34" t="s">
        <v>830</v>
      </c>
      <c r="E131" s="34" t="s">
        <v>836</v>
      </c>
      <c r="F131" s="34" t="s">
        <v>832</v>
      </c>
      <c r="G131" s="61" t="s">
        <v>832</v>
      </c>
      <c r="H131" s="34"/>
      <c r="I131" s="6" t="s">
        <v>47</v>
      </c>
      <c r="J131" s="6"/>
      <c r="K131" s="3">
        <v>138</v>
      </c>
      <c r="L131" s="3" t="str">
        <f>VLOOKUP(K131,'GACETA 3'!$E$9:$F$75,2,0)</f>
        <v>Responsabilidad y Situación Patrimonial</v>
      </c>
      <c r="M131" s="3" t="str">
        <f t="shared" ref="M131:M194" si="2">CONCATENATE(C131,D131,E131,F131,G131)</f>
        <v>0103040202</v>
      </c>
      <c r="N131" s="3" t="e">
        <f>VLOOKUP(M131,GACETA!$A$1:$C$186,3,0)</f>
        <v>#N/A</v>
      </c>
      <c r="O131" s="3" t="e">
        <f>VLOOKUP(M131,GACETA!$A$1:$C$186,2,0)</f>
        <v>#N/A</v>
      </c>
      <c r="P131" s="312"/>
      <c r="Q131" s="279" t="s">
        <v>369</v>
      </c>
      <c r="R131" s="149" t="s">
        <v>370</v>
      </c>
      <c r="S131" s="7" t="s">
        <v>86</v>
      </c>
      <c r="T131" s="7" t="s">
        <v>124</v>
      </c>
    </row>
    <row r="132" spans="1:20" ht="75" x14ac:dyDescent="0.3">
      <c r="A132" s="305"/>
      <c r="B132" s="273"/>
      <c r="C132" s="33" t="s">
        <v>829</v>
      </c>
      <c r="D132" s="34" t="s">
        <v>830</v>
      </c>
      <c r="E132" s="34" t="s">
        <v>836</v>
      </c>
      <c r="F132" s="34" t="s">
        <v>832</v>
      </c>
      <c r="G132" s="61" t="s">
        <v>832</v>
      </c>
      <c r="H132" s="34"/>
      <c r="I132" s="6" t="s">
        <v>47</v>
      </c>
      <c r="J132" s="6"/>
      <c r="K132" s="3">
        <v>138</v>
      </c>
      <c r="L132" s="3" t="str">
        <f>VLOOKUP(K132,'GACETA 3'!$E$9:$F$75,2,0)</f>
        <v>Responsabilidad y Situación Patrimonial</v>
      </c>
      <c r="M132" s="3" t="str">
        <f t="shared" si="2"/>
        <v>0103040202</v>
      </c>
      <c r="N132" s="3" t="e">
        <f>VLOOKUP(M132,GACETA!$A$1:$C$186,3,0)</f>
        <v>#N/A</v>
      </c>
      <c r="O132" s="3" t="e">
        <f>VLOOKUP(M132,GACETA!$A$1:$C$186,2,0)</f>
        <v>#N/A</v>
      </c>
      <c r="P132" s="312"/>
      <c r="Q132" s="279"/>
      <c r="R132" s="149" t="s">
        <v>371</v>
      </c>
      <c r="S132" s="7" t="s">
        <v>86</v>
      </c>
      <c r="T132" s="7" t="s">
        <v>124</v>
      </c>
    </row>
    <row r="133" spans="1:20" ht="75" x14ac:dyDescent="0.3">
      <c r="A133" s="305"/>
      <c r="B133" s="273"/>
      <c r="C133" s="33" t="s">
        <v>829</v>
      </c>
      <c r="D133" s="34" t="s">
        <v>830</v>
      </c>
      <c r="E133" s="34" t="s">
        <v>836</v>
      </c>
      <c r="F133" s="34" t="s">
        <v>832</v>
      </c>
      <c r="G133" s="61" t="s">
        <v>830</v>
      </c>
      <c r="H133" s="34"/>
      <c r="I133" s="6" t="s">
        <v>47</v>
      </c>
      <c r="J133" s="6"/>
      <c r="K133" s="3">
        <v>138</v>
      </c>
      <c r="L133" s="3" t="str">
        <f>VLOOKUP(K133,'GACETA 3'!$E$9:$F$75,2,0)</f>
        <v>Responsabilidad y Situación Patrimonial</v>
      </c>
      <c r="M133" s="3" t="str">
        <f t="shared" si="2"/>
        <v>0103040203</v>
      </c>
      <c r="N133" s="3" t="str">
        <f>VLOOKUP(M133,GACETA!$A$1:$C$186,3,0)</f>
        <v>O</v>
      </c>
      <c r="O133" s="3" t="str">
        <f>VLOOKUP(M133,GACETA!$A$1:$C$186,2,0)</f>
        <v>Declaración de situación patrimonial, de interés y constancia de la declaración fiscal de los servidores públicos</v>
      </c>
      <c r="P133" s="312"/>
      <c r="Q133" s="279" t="s">
        <v>372</v>
      </c>
      <c r="R133" s="149" t="s">
        <v>749</v>
      </c>
      <c r="S133" s="7" t="s">
        <v>86</v>
      </c>
      <c r="T133" s="7" t="s">
        <v>124</v>
      </c>
    </row>
    <row r="134" spans="1:20" ht="75" x14ac:dyDescent="0.3">
      <c r="A134" s="305"/>
      <c r="B134" s="273"/>
      <c r="C134" s="33" t="s">
        <v>829</v>
      </c>
      <c r="D134" s="34" t="s">
        <v>830</v>
      </c>
      <c r="E134" s="34" t="s">
        <v>836</v>
      </c>
      <c r="F134" s="34" t="s">
        <v>832</v>
      </c>
      <c r="G134" s="61" t="s">
        <v>830</v>
      </c>
      <c r="H134" s="34"/>
      <c r="I134" s="6" t="s">
        <v>47</v>
      </c>
      <c r="J134" s="6"/>
      <c r="K134" s="3">
        <v>138</v>
      </c>
      <c r="L134" s="3" t="str">
        <f>VLOOKUP(K134,'GACETA 3'!$E$9:$F$75,2,0)</f>
        <v>Responsabilidad y Situación Patrimonial</v>
      </c>
      <c r="M134" s="3" t="str">
        <f t="shared" si="2"/>
        <v>0103040203</v>
      </c>
      <c r="N134" s="3" t="str">
        <f>VLOOKUP(M134,GACETA!$A$1:$C$186,3,0)</f>
        <v>O</v>
      </c>
      <c r="O134" s="3" t="str">
        <f>VLOOKUP(M134,GACETA!$A$1:$C$186,2,0)</f>
        <v>Declaración de situación patrimonial, de interés y constancia de la declaración fiscal de los servidores públicos</v>
      </c>
      <c r="P134" s="312"/>
      <c r="Q134" s="279"/>
      <c r="R134" s="149" t="s">
        <v>750</v>
      </c>
      <c r="S134" s="7" t="s">
        <v>86</v>
      </c>
      <c r="T134" s="7" t="s">
        <v>124</v>
      </c>
    </row>
    <row r="135" spans="1:20" ht="75" x14ac:dyDescent="0.3">
      <c r="A135" s="305"/>
      <c r="B135" s="273"/>
      <c r="C135" s="33" t="s">
        <v>829</v>
      </c>
      <c r="D135" s="34" t="s">
        <v>830</v>
      </c>
      <c r="E135" s="34" t="s">
        <v>836</v>
      </c>
      <c r="F135" s="34" t="s">
        <v>832</v>
      </c>
      <c r="G135" s="61" t="s">
        <v>830</v>
      </c>
      <c r="H135" s="34"/>
      <c r="I135" s="6" t="s">
        <v>47</v>
      </c>
      <c r="J135" s="6"/>
      <c r="K135" s="3">
        <v>138</v>
      </c>
      <c r="L135" s="3" t="str">
        <f>VLOOKUP(K135,'GACETA 3'!$E$9:$F$75,2,0)</f>
        <v>Responsabilidad y Situación Patrimonial</v>
      </c>
      <c r="M135" s="3" t="str">
        <f t="shared" si="2"/>
        <v>0103040203</v>
      </c>
      <c r="N135" s="3" t="str">
        <f>VLOOKUP(M135,GACETA!$A$1:$C$186,3,0)</f>
        <v>O</v>
      </c>
      <c r="O135" s="3" t="str">
        <f>VLOOKUP(M135,GACETA!$A$1:$C$186,2,0)</f>
        <v>Declaración de situación patrimonial, de interés y constancia de la declaración fiscal de los servidores públicos</v>
      </c>
      <c r="P135" s="312"/>
      <c r="Q135" s="279"/>
      <c r="R135" s="149" t="s">
        <v>753</v>
      </c>
      <c r="S135" s="7" t="s">
        <v>86</v>
      </c>
      <c r="T135" s="7" t="s">
        <v>124</v>
      </c>
    </row>
    <row r="136" spans="1:20" ht="75" x14ac:dyDescent="0.3">
      <c r="A136" s="305"/>
      <c r="B136" s="273"/>
      <c r="C136" s="33" t="s">
        <v>829</v>
      </c>
      <c r="D136" s="34" t="s">
        <v>830</v>
      </c>
      <c r="E136" s="34" t="s">
        <v>836</v>
      </c>
      <c r="F136" s="34" t="s">
        <v>832</v>
      </c>
      <c r="G136" s="61" t="s">
        <v>830</v>
      </c>
      <c r="H136" s="34"/>
      <c r="I136" s="6" t="s">
        <v>47</v>
      </c>
      <c r="J136" s="6"/>
      <c r="K136" s="3">
        <v>138</v>
      </c>
      <c r="L136" s="3" t="str">
        <f>VLOOKUP(K136,'GACETA 3'!$E$9:$F$75,2,0)</f>
        <v>Responsabilidad y Situación Patrimonial</v>
      </c>
      <c r="M136" s="3" t="str">
        <f t="shared" si="2"/>
        <v>0103040203</v>
      </c>
      <c r="N136" s="3" t="str">
        <f>VLOOKUP(M136,GACETA!$A$1:$C$186,3,0)</f>
        <v>O</v>
      </c>
      <c r="O136" s="3" t="str">
        <f>VLOOKUP(M136,GACETA!$A$1:$C$186,2,0)</f>
        <v>Declaración de situación patrimonial, de interés y constancia de la declaración fiscal de los servidores públicos</v>
      </c>
      <c r="P136" s="312"/>
      <c r="Q136" s="279"/>
      <c r="R136" s="149" t="s">
        <v>752</v>
      </c>
      <c r="S136" s="7" t="s">
        <v>86</v>
      </c>
      <c r="T136" s="7" t="s">
        <v>130</v>
      </c>
    </row>
    <row r="137" spans="1:20" ht="75" x14ac:dyDescent="0.3">
      <c r="A137" s="305"/>
      <c r="B137" s="273"/>
      <c r="C137" s="33" t="s">
        <v>829</v>
      </c>
      <c r="D137" s="34" t="s">
        <v>830</v>
      </c>
      <c r="E137" s="34" t="s">
        <v>836</v>
      </c>
      <c r="F137" s="34" t="s">
        <v>832</v>
      </c>
      <c r="G137" s="61" t="s">
        <v>833</v>
      </c>
      <c r="H137" s="34"/>
      <c r="I137" s="6" t="s">
        <v>47</v>
      </c>
      <c r="J137" s="6"/>
      <c r="K137" s="3">
        <v>138</v>
      </c>
      <c r="L137" s="3" t="str">
        <f>VLOOKUP(K137,'GACETA 3'!$E$9:$F$75,2,0)</f>
        <v>Responsabilidad y Situación Patrimonial</v>
      </c>
      <c r="M137" s="3" t="str">
        <f t="shared" si="2"/>
        <v>0103040205</v>
      </c>
      <c r="N137" s="3" t="str">
        <f>VLOOKUP(M137,GACETA!$A$1:$C$186,3,0)</f>
        <v>O</v>
      </c>
      <c r="O137" s="3" t="str">
        <f>VLOOKUP(M137,GACETA!$A$1:$C$186,2,0)</f>
        <v>Investigación de faltas administrativas</v>
      </c>
      <c r="P137" s="312"/>
      <c r="Q137" s="279" t="s">
        <v>373</v>
      </c>
      <c r="R137" s="149" t="s">
        <v>751</v>
      </c>
      <c r="S137" s="7" t="s">
        <v>86</v>
      </c>
      <c r="T137" s="7" t="s">
        <v>124</v>
      </c>
    </row>
    <row r="138" spans="1:20" ht="75" x14ac:dyDescent="0.3">
      <c r="A138" s="305"/>
      <c r="B138" s="273"/>
      <c r="C138" s="33" t="s">
        <v>829</v>
      </c>
      <c r="D138" s="34" t="s">
        <v>830</v>
      </c>
      <c r="E138" s="34" t="s">
        <v>836</v>
      </c>
      <c r="F138" s="34" t="s">
        <v>832</v>
      </c>
      <c r="G138" s="61" t="s">
        <v>833</v>
      </c>
      <c r="H138" s="34"/>
      <c r="I138" s="6" t="s">
        <v>47</v>
      </c>
      <c r="J138" s="6"/>
      <c r="K138" s="3">
        <v>138</v>
      </c>
      <c r="L138" s="3" t="str">
        <f>VLOOKUP(K138,'GACETA 3'!$E$9:$F$75,2,0)</f>
        <v>Responsabilidad y Situación Patrimonial</v>
      </c>
      <c r="M138" s="3" t="str">
        <f t="shared" si="2"/>
        <v>0103040205</v>
      </c>
      <c r="N138" s="3" t="str">
        <f>VLOOKUP(M138,GACETA!$A$1:$C$186,3,0)</f>
        <v>O</v>
      </c>
      <c r="O138" s="3" t="str">
        <f>VLOOKUP(M138,GACETA!$A$1:$C$186,2,0)</f>
        <v>Investigación de faltas administrativas</v>
      </c>
      <c r="P138" s="312"/>
      <c r="Q138" s="279"/>
      <c r="R138" s="149" t="s">
        <v>754</v>
      </c>
      <c r="S138" s="7" t="s">
        <v>86</v>
      </c>
      <c r="T138" s="7" t="s">
        <v>124</v>
      </c>
    </row>
    <row r="139" spans="1:20" ht="75" x14ac:dyDescent="0.3">
      <c r="A139" s="306"/>
      <c r="B139" s="274"/>
      <c r="C139" s="33" t="s">
        <v>829</v>
      </c>
      <c r="D139" s="34" t="s">
        <v>830</v>
      </c>
      <c r="E139" s="34" t="s">
        <v>836</v>
      </c>
      <c r="F139" s="34" t="s">
        <v>832</v>
      </c>
      <c r="G139" s="61" t="s">
        <v>833</v>
      </c>
      <c r="H139" s="34"/>
      <c r="I139" s="6" t="s">
        <v>47</v>
      </c>
      <c r="J139" s="6"/>
      <c r="K139" s="3">
        <v>138</v>
      </c>
      <c r="L139" s="3" t="str">
        <f>VLOOKUP(K139,'GACETA 3'!$E$9:$F$75,2,0)</f>
        <v>Responsabilidad y Situación Patrimonial</v>
      </c>
      <c r="M139" s="3" t="str">
        <f t="shared" si="2"/>
        <v>0103040205</v>
      </c>
      <c r="N139" s="3" t="str">
        <f>VLOOKUP(M139,GACETA!$A$1:$C$186,3,0)</f>
        <v>O</v>
      </c>
      <c r="O139" s="3" t="str">
        <f>VLOOKUP(M139,GACETA!$A$1:$C$186,2,0)</f>
        <v>Investigación de faltas administrativas</v>
      </c>
      <c r="P139" s="312"/>
      <c r="Q139" s="279"/>
      <c r="R139" s="149" t="s">
        <v>755</v>
      </c>
      <c r="S139" s="7" t="s">
        <v>86</v>
      </c>
      <c r="T139" s="7" t="s">
        <v>124</v>
      </c>
    </row>
    <row r="140" spans="1:20" ht="42.75" customHeight="1" x14ac:dyDescent="0.3">
      <c r="A140" s="295" t="s">
        <v>60</v>
      </c>
      <c r="B140" s="272" t="s">
        <v>962</v>
      </c>
      <c r="C140" s="33" t="s">
        <v>829</v>
      </c>
      <c r="D140" s="35" t="s">
        <v>833</v>
      </c>
      <c r="E140" s="35" t="s">
        <v>832</v>
      </c>
      <c r="F140" s="35" t="s">
        <v>829</v>
      </c>
      <c r="G140" s="74" t="s">
        <v>833</v>
      </c>
      <c r="H140" s="35"/>
      <c r="I140" s="5" t="s">
        <v>60</v>
      </c>
      <c r="J140" s="5"/>
      <c r="K140" s="10">
        <v>120</v>
      </c>
      <c r="L140" s="3" t="str">
        <f>VLOOKUP(K140,'GACETA 3'!$E$9:$F$75,2,0)</f>
        <v>Administración y Desarrollo de Personal</v>
      </c>
      <c r="M140" s="3" t="str">
        <f t="shared" si="2"/>
        <v>0105020105</v>
      </c>
      <c r="N140" s="3" t="str">
        <f>VLOOKUP(M140,GACETA!$A$1:$C$186,3,0)</f>
        <v>E</v>
      </c>
      <c r="O140" s="3" t="str">
        <f>VLOOKUP(M140,GACETA!$A$1:$C$186,2,0)</f>
        <v xml:space="preserve">Desarrollo e impulso de la profesionalización, la investigación, estadísticas </v>
      </c>
      <c r="P140" s="254" t="s">
        <v>160</v>
      </c>
      <c r="Q140" s="254" t="s">
        <v>161</v>
      </c>
      <c r="R140" s="147" t="s">
        <v>162</v>
      </c>
      <c r="S140" s="7" t="s">
        <v>86</v>
      </c>
      <c r="T140" s="62" t="s">
        <v>989</v>
      </c>
    </row>
    <row r="141" spans="1:20" ht="48" customHeight="1" x14ac:dyDescent="0.3">
      <c r="A141" s="280"/>
      <c r="B141" s="273"/>
      <c r="C141" s="33" t="s">
        <v>829</v>
      </c>
      <c r="D141" s="35" t="s">
        <v>833</v>
      </c>
      <c r="E141" s="35" t="s">
        <v>832</v>
      </c>
      <c r="F141" s="35" t="s">
        <v>829</v>
      </c>
      <c r="G141" s="74" t="s">
        <v>833</v>
      </c>
      <c r="H141" s="35"/>
      <c r="I141" s="5" t="s">
        <v>60</v>
      </c>
      <c r="J141" s="5"/>
      <c r="K141" s="10">
        <v>120</v>
      </c>
      <c r="L141" s="3" t="str">
        <f>VLOOKUP(K141,'GACETA 3'!$E$9:$F$75,2,0)</f>
        <v>Administración y Desarrollo de Personal</v>
      </c>
      <c r="M141" s="3" t="str">
        <f t="shared" si="2"/>
        <v>0105020105</v>
      </c>
      <c r="N141" s="3" t="str">
        <f>VLOOKUP(M141,GACETA!$A$1:$C$186,3,0)</f>
        <v>E</v>
      </c>
      <c r="O141" s="3" t="str">
        <f>VLOOKUP(M141,GACETA!$A$1:$C$186,2,0)</f>
        <v xml:space="preserve">Desarrollo e impulso de la profesionalización, la investigación, estadísticas </v>
      </c>
      <c r="P141" s="254"/>
      <c r="Q141" s="254"/>
      <c r="R141" s="147" t="s">
        <v>163</v>
      </c>
      <c r="S141" s="7" t="s">
        <v>86</v>
      </c>
      <c r="T141" s="7" t="s">
        <v>167</v>
      </c>
    </row>
    <row r="142" spans="1:20" ht="75" x14ac:dyDescent="0.3">
      <c r="A142" s="280"/>
      <c r="B142" s="273"/>
      <c r="C142" s="33" t="s">
        <v>829</v>
      </c>
      <c r="D142" s="35" t="s">
        <v>833</v>
      </c>
      <c r="E142" s="35" t="s">
        <v>832</v>
      </c>
      <c r="F142" s="35" t="s">
        <v>835</v>
      </c>
      <c r="G142" s="74" t="s">
        <v>829</v>
      </c>
      <c r="H142" s="35"/>
      <c r="I142" s="5" t="s">
        <v>60</v>
      </c>
      <c r="J142" s="5"/>
      <c r="K142" s="10">
        <v>120</v>
      </c>
      <c r="L142" s="3" t="str">
        <f>VLOOKUP(K142,'GACETA 3'!$E$9:$F$75,2,0)</f>
        <v>Administración y Desarrollo de Personal</v>
      </c>
      <c r="M142" s="3" t="str">
        <f t="shared" si="2"/>
        <v>0105020601</v>
      </c>
      <c r="N142" s="3" t="str">
        <f>VLOOKUP(M142,GACETA!$A$1:$C$186,3,0)</f>
        <v>P</v>
      </c>
      <c r="O142" s="3" t="str">
        <f>VLOOKUP(M142,GACETA!$A$1:$C$186,2,0)</f>
        <v>Administración de personal</v>
      </c>
      <c r="P142" s="239" t="s">
        <v>164</v>
      </c>
      <c r="Q142" s="254" t="s">
        <v>165</v>
      </c>
      <c r="R142" s="147" t="s">
        <v>166</v>
      </c>
      <c r="S142" s="7" t="s">
        <v>86</v>
      </c>
      <c r="T142" s="7" t="s">
        <v>167</v>
      </c>
    </row>
    <row r="143" spans="1:20" ht="75" x14ac:dyDescent="0.3">
      <c r="A143" s="280"/>
      <c r="B143" s="273"/>
      <c r="C143" s="33" t="s">
        <v>829</v>
      </c>
      <c r="D143" s="35" t="s">
        <v>833</v>
      </c>
      <c r="E143" s="35" t="s">
        <v>832</v>
      </c>
      <c r="F143" s="35" t="s">
        <v>835</v>
      </c>
      <c r="G143" s="74" t="s">
        <v>829</v>
      </c>
      <c r="H143" s="35"/>
      <c r="I143" s="5" t="s">
        <v>60</v>
      </c>
      <c r="J143" s="5"/>
      <c r="K143" s="10">
        <v>120</v>
      </c>
      <c r="L143" s="3" t="str">
        <f>VLOOKUP(K143,'GACETA 3'!$E$9:$F$75,2,0)</f>
        <v>Administración y Desarrollo de Personal</v>
      </c>
      <c r="M143" s="3" t="str">
        <f t="shared" si="2"/>
        <v>0105020601</v>
      </c>
      <c r="N143" s="3" t="str">
        <f>VLOOKUP(M143,GACETA!$A$1:$C$186,3,0)</f>
        <v>P</v>
      </c>
      <c r="O143" s="3" t="str">
        <f>VLOOKUP(M143,GACETA!$A$1:$C$186,2,0)</f>
        <v>Administración de personal</v>
      </c>
      <c r="P143" s="243"/>
      <c r="Q143" s="254"/>
      <c r="R143" s="147" t="s">
        <v>168</v>
      </c>
      <c r="S143" s="7" t="s">
        <v>86</v>
      </c>
      <c r="T143" s="7" t="s">
        <v>169</v>
      </c>
    </row>
    <row r="144" spans="1:20" ht="75" x14ac:dyDescent="0.3">
      <c r="A144" s="280"/>
      <c r="B144" s="273"/>
      <c r="C144" s="33" t="s">
        <v>829</v>
      </c>
      <c r="D144" s="35" t="s">
        <v>833</v>
      </c>
      <c r="E144" s="35" t="s">
        <v>832</v>
      </c>
      <c r="F144" s="35" t="s">
        <v>835</v>
      </c>
      <c r="G144" s="74" t="s">
        <v>832</v>
      </c>
      <c r="H144" s="35"/>
      <c r="I144" s="5" t="s">
        <v>60</v>
      </c>
      <c r="J144" s="5"/>
      <c r="K144" s="10">
        <v>120</v>
      </c>
      <c r="L144" s="3" t="str">
        <f>VLOOKUP(K144,'GACETA 3'!$E$9:$F$75,2,0)</f>
        <v>Administración y Desarrollo de Personal</v>
      </c>
      <c r="M144" s="3" t="str">
        <f t="shared" si="2"/>
        <v>0105020602</v>
      </c>
      <c r="N144" s="3" t="str">
        <f>VLOOKUP(M144,GACETA!$A$1:$C$186,3,0)</f>
        <v>M</v>
      </c>
      <c r="O144" s="3" t="str">
        <f>VLOOKUP(M144,GACETA!$A$1:$C$186,2,0)</f>
        <v>Capacitación y profesionalización para el desarrollo del personal</v>
      </c>
      <c r="P144" s="243"/>
      <c r="Q144" s="254" t="s">
        <v>990</v>
      </c>
      <c r="R144" s="147" t="s">
        <v>171</v>
      </c>
      <c r="S144" s="7" t="s">
        <v>86</v>
      </c>
      <c r="T144" s="62" t="s">
        <v>991</v>
      </c>
    </row>
    <row r="145" spans="1:20" ht="75" x14ac:dyDescent="0.3">
      <c r="A145" s="280"/>
      <c r="B145" s="273"/>
      <c r="C145" s="33" t="s">
        <v>829</v>
      </c>
      <c r="D145" s="35" t="s">
        <v>833</v>
      </c>
      <c r="E145" s="35" t="s">
        <v>832</v>
      </c>
      <c r="F145" s="35" t="s">
        <v>835</v>
      </c>
      <c r="G145" s="74" t="s">
        <v>832</v>
      </c>
      <c r="H145" s="35"/>
      <c r="I145" s="5" t="s">
        <v>60</v>
      </c>
      <c r="J145" s="5"/>
      <c r="K145" s="10">
        <v>120</v>
      </c>
      <c r="L145" s="3" t="str">
        <f>VLOOKUP(K145,'GACETA 3'!$E$9:$F$75,2,0)</f>
        <v>Administración y Desarrollo de Personal</v>
      </c>
      <c r="M145" s="3" t="str">
        <f t="shared" si="2"/>
        <v>0105020602</v>
      </c>
      <c r="N145" s="3" t="str">
        <f>VLOOKUP(M145,GACETA!$A$1:$C$186,3,0)</f>
        <v>M</v>
      </c>
      <c r="O145" s="3" t="str">
        <f>VLOOKUP(M145,GACETA!$A$1:$C$186,2,0)</f>
        <v>Capacitación y profesionalización para el desarrollo del personal</v>
      </c>
      <c r="P145" s="243"/>
      <c r="Q145" s="254"/>
      <c r="R145" s="147" t="s">
        <v>992</v>
      </c>
      <c r="S145" s="7" t="s">
        <v>86</v>
      </c>
      <c r="T145" s="6" t="s">
        <v>173</v>
      </c>
    </row>
    <row r="146" spans="1:20" ht="30" x14ac:dyDescent="0.3">
      <c r="A146" s="280"/>
      <c r="B146" s="273"/>
      <c r="C146" s="33" t="s">
        <v>829</v>
      </c>
      <c r="D146" s="35" t="s">
        <v>833</v>
      </c>
      <c r="E146" s="35" t="s">
        <v>832</v>
      </c>
      <c r="F146" s="35" t="s">
        <v>835</v>
      </c>
      <c r="G146" s="74" t="s">
        <v>830</v>
      </c>
      <c r="H146" s="35"/>
      <c r="I146" s="5" t="s">
        <v>60</v>
      </c>
      <c r="J146" s="5"/>
      <c r="K146" s="10">
        <v>121</v>
      </c>
      <c r="L146" s="3" t="str">
        <f>VLOOKUP(K146,'GACETA 3'!$E$9:$F$75,2,0)</f>
        <v>Recursos Materiales</v>
      </c>
      <c r="M146" s="3" t="str">
        <f t="shared" si="2"/>
        <v>0105020603</v>
      </c>
      <c r="N146" s="3" t="str">
        <f>VLOOKUP(M146,GACETA!$A$1:$C$186,3,0)</f>
        <v>M</v>
      </c>
      <c r="O146" s="3" t="str">
        <f>VLOOKUP(M146,GACETA!$A$1:$C$186,2,0)</f>
        <v>Adquisiciones y servicios</v>
      </c>
      <c r="P146" s="243"/>
      <c r="Q146" s="239" t="s">
        <v>174</v>
      </c>
      <c r="R146" s="62" t="s">
        <v>175</v>
      </c>
      <c r="S146" s="7" t="s">
        <v>86</v>
      </c>
      <c r="T146" s="7" t="s">
        <v>176</v>
      </c>
    </row>
    <row r="147" spans="1:20" ht="30" x14ac:dyDescent="0.3">
      <c r="A147" s="280"/>
      <c r="B147" s="273"/>
      <c r="C147" s="33" t="s">
        <v>829</v>
      </c>
      <c r="D147" s="35" t="s">
        <v>833</v>
      </c>
      <c r="E147" s="35" t="s">
        <v>832</v>
      </c>
      <c r="F147" s="35" t="s">
        <v>835</v>
      </c>
      <c r="G147" s="74" t="s">
        <v>830</v>
      </c>
      <c r="H147" s="35"/>
      <c r="I147" s="5" t="s">
        <v>60</v>
      </c>
      <c r="J147" s="5"/>
      <c r="K147" s="10">
        <v>121</v>
      </c>
      <c r="L147" s="3" t="str">
        <f>VLOOKUP(K147,'GACETA 3'!$E$9:$F$75,2,0)</f>
        <v>Recursos Materiales</v>
      </c>
      <c r="M147" s="3" t="str">
        <f t="shared" si="2"/>
        <v>0105020603</v>
      </c>
      <c r="N147" s="3" t="str">
        <f>VLOOKUP(M147,GACETA!$A$1:$C$186,3,0)</f>
        <v>M</v>
      </c>
      <c r="O147" s="3" t="str">
        <f>VLOOKUP(M147,GACETA!$A$1:$C$186,2,0)</f>
        <v>Adquisiciones y servicios</v>
      </c>
      <c r="P147" s="243"/>
      <c r="Q147" s="240"/>
      <c r="R147" s="62" t="s">
        <v>993</v>
      </c>
      <c r="S147" s="7" t="s">
        <v>86</v>
      </c>
      <c r="T147" s="62" t="s">
        <v>994</v>
      </c>
    </row>
    <row r="148" spans="1:20" ht="34.5" customHeight="1" x14ac:dyDescent="0.3">
      <c r="A148" s="280"/>
      <c r="B148" s="273"/>
      <c r="C148" s="33" t="s">
        <v>829</v>
      </c>
      <c r="D148" s="35" t="s">
        <v>833</v>
      </c>
      <c r="E148" s="35" t="s">
        <v>832</v>
      </c>
      <c r="F148" s="35" t="s">
        <v>835</v>
      </c>
      <c r="G148" s="74" t="s">
        <v>835</v>
      </c>
      <c r="H148" s="36"/>
      <c r="I148" s="5" t="s">
        <v>60</v>
      </c>
      <c r="J148" s="5"/>
      <c r="K148" s="4">
        <v>114</v>
      </c>
      <c r="L148" s="3" t="str">
        <f>VLOOKUP(K148,'GACETA 3'!$E$9:$F$75,2,0)</f>
        <v>Control Patrimonial</v>
      </c>
      <c r="M148" s="3" t="str">
        <f t="shared" si="2"/>
        <v>0105020606</v>
      </c>
      <c r="N148" s="3" t="str">
        <f>VLOOKUP(M148,GACETA!$A$1:$C$186,3,0)</f>
        <v>M</v>
      </c>
      <c r="O148" s="3" t="str">
        <f>VLOOKUP(M148,GACETA!$A$1:$C$186,2,0)</f>
        <v>Control del patrimonio y normatividad</v>
      </c>
      <c r="P148" s="243"/>
      <c r="Q148" s="290" t="s">
        <v>106</v>
      </c>
      <c r="R148" s="149" t="s">
        <v>458</v>
      </c>
      <c r="S148" s="7" t="s">
        <v>86</v>
      </c>
      <c r="T148" s="7" t="s">
        <v>459</v>
      </c>
    </row>
    <row r="149" spans="1:20" ht="45" x14ac:dyDescent="0.3">
      <c r="A149" s="280"/>
      <c r="B149" s="273"/>
      <c r="C149" s="33" t="s">
        <v>829</v>
      </c>
      <c r="D149" s="35" t="s">
        <v>833</v>
      </c>
      <c r="E149" s="35" t="s">
        <v>832</v>
      </c>
      <c r="F149" s="35" t="s">
        <v>835</v>
      </c>
      <c r="G149" s="74" t="s">
        <v>835</v>
      </c>
      <c r="H149" s="36"/>
      <c r="I149" s="5" t="s">
        <v>60</v>
      </c>
      <c r="J149" s="5"/>
      <c r="K149" s="4">
        <v>114</v>
      </c>
      <c r="L149" s="3" t="str">
        <f>VLOOKUP(K149,'GACETA 3'!$E$9:$F$75,2,0)</f>
        <v>Control Patrimonial</v>
      </c>
      <c r="M149" s="3" t="str">
        <f t="shared" si="2"/>
        <v>0105020606</v>
      </c>
      <c r="N149" s="3" t="str">
        <f>VLOOKUP(M149,GACETA!$A$1:$C$186,3,0)</f>
        <v>M</v>
      </c>
      <c r="O149" s="3" t="str">
        <f>VLOOKUP(M149,GACETA!$A$1:$C$186,2,0)</f>
        <v>Control del patrimonio y normatividad</v>
      </c>
      <c r="P149" s="243"/>
      <c r="Q149" s="290"/>
      <c r="R149" s="77" t="s">
        <v>995</v>
      </c>
      <c r="S149" s="7" t="s">
        <v>86</v>
      </c>
      <c r="T149" s="62" t="s">
        <v>406</v>
      </c>
    </row>
    <row r="150" spans="1:20" ht="60" x14ac:dyDescent="0.3">
      <c r="A150" s="295" t="s">
        <v>50</v>
      </c>
      <c r="B150" s="297" t="s">
        <v>959</v>
      </c>
      <c r="C150" s="33" t="s">
        <v>832</v>
      </c>
      <c r="D150" s="39" t="s">
        <v>832</v>
      </c>
      <c r="E150" s="39" t="s">
        <v>832</v>
      </c>
      <c r="F150" s="39" t="s">
        <v>829</v>
      </c>
      <c r="G150" s="74" t="s">
        <v>829</v>
      </c>
      <c r="H150" s="39"/>
      <c r="I150" s="8" t="s">
        <v>50</v>
      </c>
      <c r="J150" s="8"/>
      <c r="K150" s="1">
        <v>112</v>
      </c>
      <c r="L150" s="3" t="str">
        <f>VLOOKUP(K150,'GACETA 3'!$E$9:$F$75,2,0)</f>
        <v>Participación Ciudadana</v>
      </c>
      <c r="M150" s="3" t="str">
        <f t="shared" si="2"/>
        <v>0202020101</v>
      </c>
      <c r="N150" s="3" t="str">
        <f>VLOOKUP(M150,GACETA!$A$1:$C$186,3,0)</f>
        <v>S</v>
      </c>
      <c r="O150" s="3" t="str">
        <f>VLOOKUP(M150,GACETA!$A$1:$C$186,2,0)</f>
        <v>Promoción a la participación comunitaria</v>
      </c>
      <c r="P150" s="247" t="s">
        <v>335</v>
      </c>
      <c r="Q150" s="258" t="s">
        <v>336</v>
      </c>
      <c r="R150" s="77" t="s">
        <v>996</v>
      </c>
      <c r="S150" s="7" t="s">
        <v>86</v>
      </c>
      <c r="T150" s="7" t="s">
        <v>126</v>
      </c>
    </row>
    <row r="151" spans="1:20" ht="60" x14ac:dyDescent="0.3">
      <c r="A151" s="280"/>
      <c r="B151" s="298"/>
      <c r="C151" s="33" t="s">
        <v>832</v>
      </c>
      <c r="D151" s="39" t="s">
        <v>832</v>
      </c>
      <c r="E151" s="39" t="s">
        <v>832</v>
      </c>
      <c r="F151" s="39" t="s">
        <v>829</v>
      </c>
      <c r="G151" s="74" t="s">
        <v>829</v>
      </c>
      <c r="H151" s="39"/>
      <c r="I151" s="8" t="s">
        <v>50</v>
      </c>
      <c r="J151" s="8"/>
      <c r="K151" s="1">
        <v>112</v>
      </c>
      <c r="L151" s="3" t="str">
        <f>VLOOKUP(K151,'GACETA 3'!$E$9:$F$75,2,0)</f>
        <v>Participación Ciudadana</v>
      </c>
      <c r="M151" s="3" t="str">
        <f t="shared" si="2"/>
        <v>0202020101</v>
      </c>
      <c r="N151" s="3" t="str">
        <f>VLOOKUP(M151,GACETA!$A$1:$C$186,3,0)</f>
        <v>S</v>
      </c>
      <c r="O151" s="3" t="str">
        <f>VLOOKUP(M151,GACETA!$A$1:$C$186,2,0)</f>
        <v>Promoción a la participación comunitaria</v>
      </c>
      <c r="P151" s="248"/>
      <c r="Q151" s="258"/>
      <c r="R151" s="77" t="s">
        <v>997</v>
      </c>
      <c r="S151" s="7" t="s">
        <v>86</v>
      </c>
      <c r="T151" s="7" t="s">
        <v>181</v>
      </c>
    </row>
    <row r="152" spans="1:20" ht="60" x14ac:dyDescent="0.3">
      <c r="A152" s="280"/>
      <c r="B152" s="298"/>
      <c r="C152" s="33" t="s">
        <v>832</v>
      </c>
      <c r="D152" s="39" t="s">
        <v>832</v>
      </c>
      <c r="E152" s="39" t="s">
        <v>832</v>
      </c>
      <c r="F152" s="39" t="s">
        <v>829</v>
      </c>
      <c r="G152" s="74" t="s">
        <v>829</v>
      </c>
      <c r="H152" s="39"/>
      <c r="I152" s="8" t="s">
        <v>50</v>
      </c>
      <c r="J152" s="8"/>
      <c r="K152" s="1">
        <v>112</v>
      </c>
      <c r="L152" s="3" t="str">
        <f>VLOOKUP(K152,'GACETA 3'!$E$9:$F$75,2,0)</f>
        <v>Participación Ciudadana</v>
      </c>
      <c r="M152" s="3" t="str">
        <f t="shared" si="2"/>
        <v>0202020101</v>
      </c>
      <c r="N152" s="3" t="str">
        <f>VLOOKUP(M152,GACETA!$A$1:$C$186,3,0)</f>
        <v>S</v>
      </c>
      <c r="O152" s="3" t="str">
        <f>VLOOKUP(M152,GACETA!$A$1:$C$186,2,0)</f>
        <v>Promoción a la participación comunitaria</v>
      </c>
      <c r="P152" s="248"/>
      <c r="Q152" s="258"/>
      <c r="R152" s="77" t="s">
        <v>998</v>
      </c>
      <c r="S152" s="7" t="s">
        <v>86</v>
      </c>
      <c r="T152" s="7" t="s">
        <v>126</v>
      </c>
    </row>
    <row r="153" spans="1:20" ht="60" x14ac:dyDescent="0.3">
      <c r="A153" s="280"/>
      <c r="B153" s="298"/>
      <c r="C153" s="33" t="s">
        <v>832</v>
      </c>
      <c r="D153" s="39" t="s">
        <v>832</v>
      </c>
      <c r="E153" s="39" t="s">
        <v>832</v>
      </c>
      <c r="F153" s="39" t="s">
        <v>829</v>
      </c>
      <c r="G153" s="74" t="s">
        <v>829</v>
      </c>
      <c r="H153" s="39"/>
      <c r="I153" s="8" t="s">
        <v>50</v>
      </c>
      <c r="J153" s="8"/>
      <c r="K153" s="1">
        <v>112</v>
      </c>
      <c r="L153" s="3" t="str">
        <f>VLOOKUP(K153,'GACETA 3'!$E$9:$F$75,2,0)</f>
        <v>Participación Ciudadana</v>
      </c>
      <c r="M153" s="3" t="str">
        <f t="shared" si="2"/>
        <v>0202020101</v>
      </c>
      <c r="N153" s="3" t="str">
        <f>VLOOKUP(M153,GACETA!$A$1:$C$186,3,0)</f>
        <v>S</v>
      </c>
      <c r="O153" s="3" t="str">
        <f>VLOOKUP(M153,GACETA!$A$1:$C$186,2,0)</f>
        <v>Promoción a la participación comunitaria</v>
      </c>
      <c r="P153" s="248"/>
      <c r="Q153" s="258"/>
      <c r="R153" s="77" t="s">
        <v>999</v>
      </c>
      <c r="S153" s="7" t="s">
        <v>86</v>
      </c>
      <c r="T153" s="62" t="s">
        <v>1000</v>
      </c>
    </row>
    <row r="154" spans="1:20" ht="60" x14ac:dyDescent="0.3">
      <c r="A154" s="280"/>
      <c r="B154" s="298"/>
      <c r="C154" s="33" t="s">
        <v>832</v>
      </c>
      <c r="D154" s="39" t="s">
        <v>832</v>
      </c>
      <c r="E154" s="39" t="s">
        <v>832</v>
      </c>
      <c r="F154" s="39" t="s">
        <v>829</v>
      </c>
      <c r="G154" s="74" t="s">
        <v>829</v>
      </c>
      <c r="H154" s="39"/>
      <c r="I154" s="8" t="s">
        <v>50</v>
      </c>
      <c r="J154" s="8"/>
      <c r="K154" s="1">
        <v>112</v>
      </c>
      <c r="L154" s="3" t="str">
        <f>VLOOKUP(K154,'GACETA 3'!$E$9:$F$75,2,0)</f>
        <v>Participación Ciudadana</v>
      </c>
      <c r="M154" s="3" t="str">
        <f t="shared" si="2"/>
        <v>0202020101</v>
      </c>
      <c r="N154" s="3" t="str">
        <f>VLOOKUP(M154,GACETA!$A$1:$C$186,3,0)</f>
        <v>S</v>
      </c>
      <c r="O154" s="3" t="str">
        <f>VLOOKUP(M154,GACETA!$A$1:$C$186,2,0)</f>
        <v>Promoción a la participación comunitaria</v>
      </c>
      <c r="P154" s="248"/>
      <c r="Q154" s="258"/>
      <c r="R154" s="77" t="s">
        <v>1001</v>
      </c>
      <c r="S154" s="7" t="s">
        <v>86</v>
      </c>
      <c r="T154" s="7" t="s">
        <v>1002</v>
      </c>
    </row>
    <row r="155" spans="1:20" x14ac:dyDescent="0.3">
      <c r="A155" s="280"/>
      <c r="B155" s="298"/>
      <c r="C155" s="33"/>
      <c r="D155" s="39"/>
      <c r="E155" s="39"/>
      <c r="F155" s="39"/>
      <c r="G155" s="74"/>
      <c r="H155" s="39"/>
      <c r="I155" s="8"/>
      <c r="J155" s="8"/>
      <c r="K155" s="1"/>
      <c r="L155" s="3" t="e">
        <f>VLOOKUP(K155,'GACETA 3'!$E$9:$F$75,2,0)</f>
        <v>#N/A</v>
      </c>
      <c r="M155" s="3" t="str">
        <f t="shared" si="2"/>
        <v/>
      </c>
      <c r="N155" s="3" t="e">
        <f>VLOOKUP(M155,GACETA!$A$1:$C$186,3,0)</f>
        <v>#N/A</v>
      </c>
      <c r="O155" s="3" t="e">
        <f>VLOOKUP(M155,GACETA!$A$1:$C$186,2,0)</f>
        <v>#N/A</v>
      </c>
      <c r="P155" s="248"/>
      <c r="Q155" s="258"/>
      <c r="R155" s="57" t="s">
        <v>1006</v>
      </c>
      <c r="S155" s="58"/>
      <c r="T155" s="58" t="s">
        <v>1005</v>
      </c>
    </row>
    <row r="156" spans="1:20" ht="60" x14ac:dyDescent="0.3">
      <c r="A156" s="280"/>
      <c r="B156" s="298"/>
      <c r="C156" s="33" t="s">
        <v>832</v>
      </c>
      <c r="D156" s="39" t="s">
        <v>832</v>
      </c>
      <c r="E156" s="39" t="s">
        <v>832</v>
      </c>
      <c r="F156" s="39" t="s">
        <v>829</v>
      </c>
      <c r="G156" s="59" t="s">
        <v>829</v>
      </c>
      <c r="H156" s="39"/>
      <c r="I156" s="8" t="s">
        <v>50</v>
      </c>
      <c r="J156" s="8"/>
      <c r="K156" s="1">
        <v>112</v>
      </c>
      <c r="L156" s="3" t="str">
        <f>VLOOKUP(K156,'GACETA 3'!$E$9:$F$75,2,0)</f>
        <v>Participación Ciudadana</v>
      </c>
      <c r="M156" s="3" t="str">
        <f t="shared" si="2"/>
        <v>0202020101</v>
      </c>
      <c r="N156" s="3" t="str">
        <f>VLOOKUP(M156,GACETA!$A$1:$C$186,3,0)</f>
        <v>S</v>
      </c>
      <c r="O156" s="3" t="str">
        <f>VLOOKUP(M156,GACETA!$A$1:$C$186,2,0)</f>
        <v>Promoción a la participación comunitaria</v>
      </c>
      <c r="P156" s="248"/>
      <c r="Q156" s="258"/>
      <c r="R156" s="77" t="s">
        <v>1003</v>
      </c>
      <c r="S156" s="7" t="s">
        <v>86</v>
      </c>
      <c r="T156" s="7" t="s">
        <v>1004</v>
      </c>
    </row>
    <row r="157" spans="1:20" ht="60" x14ac:dyDescent="0.3">
      <c r="A157" s="280"/>
      <c r="B157" s="298"/>
      <c r="C157" s="33" t="s">
        <v>832</v>
      </c>
      <c r="D157" s="39" t="s">
        <v>832</v>
      </c>
      <c r="E157" s="39" t="s">
        <v>832</v>
      </c>
      <c r="F157" s="39" t="s">
        <v>829</v>
      </c>
      <c r="G157" s="59" t="s">
        <v>832</v>
      </c>
      <c r="H157" s="39"/>
      <c r="I157" s="8" t="s">
        <v>50</v>
      </c>
      <c r="J157" s="8"/>
      <c r="K157" s="1">
        <v>112</v>
      </c>
      <c r="L157" s="3" t="str">
        <f>VLOOKUP(K157,'GACETA 3'!$E$9:$F$75,2,0)</f>
        <v>Participación Ciudadana</v>
      </c>
      <c r="M157" s="3" t="str">
        <f t="shared" si="2"/>
        <v>0202020102</v>
      </c>
      <c r="N157" s="3" t="str">
        <f>VLOOKUP(M157,GACETA!$A$1:$C$186,3,0)</f>
        <v>M</v>
      </c>
      <c r="O157" s="3" t="str">
        <f>VLOOKUP(M157,GACETA!$A$1:$C$186,2,0)</f>
        <v>Apoyo Solidario</v>
      </c>
      <c r="P157" s="248"/>
      <c r="Q157" s="247" t="s">
        <v>338</v>
      </c>
      <c r="R157" s="77" t="s">
        <v>1007</v>
      </c>
      <c r="S157" s="7" t="s">
        <v>86</v>
      </c>
      <c r="T157" s="7" t="s">
        <v>728</v>
      </c>
    </row>
    <row r="158" spans="1:20" ht="60" x14ac:dyDescent="0.3">
      <c r="A158" s="280"/>
      <c r="B158" s="298"/>
      <c r="C158" s="33" t="s">
        <v>832</v>
      </c>
      <c r="D158" s="39" t="s">
        <v>832</v>
      </c>
      <c r="E158" s="39" t="s">
        <v>832</v>
      </c>
      <c r="F158" s="39" t="s">
        <v>829</v>
      </c>
      <c r="G158" s="59" t="s">
        <v>832</v>
      </c>
      <c r="H158" s="39"/>
      <c r="I158" s="8" t="s">
        <v>50</v>
      </c>
      <c r="J158" s="8"/>
      <c r="K158" s="1">
        <v>112</v>
      </c>
      <c r="L158" s="3" t="str">
        <f>VLOOKUP(K158,'GACETA 3'!$E$9:$F$75,2,0)</f>
        <v>Participación Ciudadana</v>
      </c>
      <c r="M158" s="3" t="str">
        <f t="shared" si="2"/>
        <v>0202020102</v>
      </c>
      <c r="N158" s="3" t="str">
        <f>VLOOKUP(M158,GACETA!$A$1:$C$186,3,0)</f>
        <v>M</v>
      </c>
      <c r="O158" s="3" t="str">
        <f>VLOOKUP(M158,GACETA!$A$1:$C$186,2,0)</f>
        <v>Apoyo Solidario</v>
      </c>
      <c r="P158" s="248"/>
      <c r="Q158" s="248"/>
      <c r="R158" s="77" t="s">
        <v>1008</v>
      </c>
      <c r="S158" s="7" t="s">
        <v>86</v>
      </c>
      <c r="T158" s="7" t="s">
        <v>1009</v>
      </c>
    </row>
    <row r="159" spans="1:20" ht="60" x14ac:dyDescent="0.3">
      <c r="A159" s="280"/>
      <c r="B159" s="298"/>
      <c r="C159" s="33" t="s">
        <v>832</v>
      </c>
      <c r="D159" s="39" t="s">
        <v>832</v>
      </c>
      <c r="E159" s="39" t="s">
        <v>832</v>
      </c>
      <c r="F159" s="39" t="s">
        <v>829</v>
      </c>
      <c r="G159" s="59" t="s">
        <v>832</v>
      </c>
      <c r="H159" s="39"/>
      <c r="I159" s="8" t="s">
        <v>50</v>
      </c>
      <c r="J159" s="8"/>
      <c r="K159" s="1">
        <v>112</v>
      </c>
      <c r="L159" s="3" t="str">
        <f>VLOOKUP(K159,'GACETA 3'!$E$9:$F$75,2,0)</f>
        <v>Participación Ciudadana</v>
      </c>
      <c r="M159" s="3" t="str">
        <f t="shared" si="2"/>
        <v>0202020102</v>
      </c>
      <c r="N159" s="3" t="str">
        <f>VLOOKUP(M159,GACETA!$A$1:$C$186,3,0)</f>
        <v>M</v>
      </c>
      <c r="O159" s="3" t="str">
        <f>VLOOKUP(M159,GACETA!$A$1:$C$186,2,0)</f>
        <v>Apoyo Solidario</v>
      </c>
      <c r="P159" s="248"/>
      <c r="Q159" s="248"/>
      <c r="R159" s="77" t="s">
        <v>1010</v>
      </c>
      <c r="S159" s="7" t="s">
        <v>86</v>
      </c>
      <c r="T159" s="7" t="s">
        <v>729</v>
      </c>
    </row>
    <row r="160" spans="1:20" ht="60" x14ac:dyDescent="0.3">
      <c r="A160" s="280"/>
      <c r="B160" s="298"/>
      <c r="C160" s="33" t="s">
        <v>832</v>
      </c>
      <c r="D160" s="39" t="s">
        <v>832</v>
      </c>
      <c r="E160" s="39" t="s">
        <v>832</v>
      </c>
      <c r="F160" s="39" t="s">
        <v>829</v>
      </c>
      <c r="G160" s="59" t="s">
        <v>832</v>
      </c>
      <c r="H160" s="39"/>
      <c r="I160" s="8" t="s">
        <v>50</v>
      </c>
      <c r="J160" s="8"/>
      <c r="K160" s="1">
        <v>112</v>
      </c>
      <c r="L160" s="3" t="str">
        <f>VLOOKUP(K160,'GACETA 3'!$E$9:$F$75,2,0)</f>
        <v>Participación Ciudadana</v>
      </c>
      <c r="M160" s="3" t="str">
        <f t="shared" si="2"/>
        <v>0202020102</v>
      </c>
      <c r="N160" s="3" t="str">
        <f>VLOOKUP(M160,GACETA!$A$1:$C$186,3,0)</f>
        <v>M</v>
      </c>
      <c r="O160" s="3" t="str">
        <f>VLOOKUP(M160,GACETA!$A$1:$C$186,2,0)</f>
        <v>Apoyo Solidario</v>
      </c>
      <c r="P160" s="248"/>
      <c r="Q160" s="248"/>
      <c r="R160" s="77" t="s">
        <v>1011</v>
      </c>
      <c r="S160" s="7" t="s">
        <v>86</v>
      </c>
      <c r="T160" s="7" t="s">
        <v>729</v>
      </c>
    </row>
    <row r="161" spans="1:20" ht="60" x14ac:dyDescent="0.3">
      <c r="A161" s="280"/>
      <c r="B161" s="298"/>
      <c r="C161" s="33" t="s">
        <v>832</v>
      </c>
      <c r="D161" s="39" t="s">
        <v>832</v>
      </c>
      <c r="E161" s="39" t="s">
        <v>832</v>
      </c>
      <c r="F161" s="39" t="s">
        <v>829</v>
      </c>
      <c r="G161" s="59" t="s">
        <v>832</v>
      </c>
      <c r="H161" s="39"/>
      <c r="I161" s="8" t="s">
        <v>50</v>
      </c>
      <c r="J161" s="8"/>
      <c r="K161" s="1">
        <v>112</v>
      </c>
      <c r="L161" s="3" t="str">
        <f>VLOOKUP(K161,'GACETA 3'!$E$9:$F$75,2,0)</f>
        <v>Participación Ciudadana</v>
      </c>
      <c r="M161" s="3" t="str">
        <f t="shared" si="2"/>
        <v>0202020102</v>
      </c>
      <c r="N161" s="3" t="str">
        <f>VLOOKUP(M161,GACETA!$A$1:$C$186,3,0)</f>
        <v>M</v>
      </c>
      <c r="O161" s="3" t="str">
        <f>VLOOKUP(M161,GACETA!$A$1:$C$186,2,0)</f>
        <v>Apoyo Solidario</v>
      </c>
      <c r="P161" s="248"/>
      <c r="Q161" s="248"/>
      <c r="R161" s="77" t="s">
        <v>1012</v>
      </c>
      <c r="S161" s="7" t="s">
        <v>86</v>
      </c>
      <c r="T161" s="62" t="s">
        <v>1013</v>
      </c>
    </row>
    <row r="162" spans="1:20" ht="60" x14ac:dyDescent="0.3">
      <c r="A162" s="280"/>
      <c r="B162" s="298"/>
      <c r="C162" s="33" t="s">
        <v>832</v>
      </c>
      <c r="D162" s="39" t="s">
        <v>832</v>
      </c>
      <c r="E162" s="39" t="s">
        <v>832</v>
      </c>
      <c r="F162" s="39" t="s">
        <v>829</v>
      </c>
      <c r="G162" s="59" t="s">
        <v>832</v>
      </c>
      <c r="H162" s="39"/>
      <c r="I162" s="8" t="s">
        <v>50</v>
      </c>
      <c r="J162" s="8"/>
      <c r="K162" s="1">
        <v>112</v>
      </c>
      <c r="L162" s="3" t="str">
        <f>VLOOKUP(K162,'GACETA 3'!$E$9:$F$75,2,0)</f>
        <v>Participación Ciudadana</v>
      </c>
      <c r="M162" s="3" t="str">
        <f t="shared" si="2"/>
        <v>0202020102</v>
      </c>
      <c r="N162" s="3" t="str">
        <f>VLOOKUP(M162,GACETA!$A$1:$C$186,3,0)</f>
        <v>M</v>
      </c>
      <c r="O162" s="3" t="str">
        <f>VLOOKUP(M162,GACETA!$A$1:$C$186,2,0)</f>
        <v>Apoyo Solidario</v>
      </c>
      <c r="P162" s="248"/>
      <c r="Q162" s="248"/>
      <c r="R162" s="77" t="s">
        <v>1014</v>
      </c>
      <c r="S162" s="7" t="s">
        <v>86</v>
      </c>
      <c r="T162" s="62" t="s">
        <v>1015</v>
      </c>
    </row>
    <row r="163" spans="1:20" ht="30" x14ac:dyDescent="0.3">
      <c r="A163" s="263" t="s">
        <v>41</v>
      </c>
      <c r="B163" s="289" t="s">
        <v>703</v>
      </c>
      <c r="C163" s="33" t="s">
        <v>829</v>
      </c>
      <c r="D163" s="35" t="s">
        <v>834</v>
      </c>
      <c r="E163" s="35" t="s">
        <v>830</v>
      </c>
      <c r="F163" s="35" t="s">
        <v>829</v>
      </c>
      <c r="G163" s="74" t="s">
        <v>830</v>
      </c>
      <c r="H163" s="35"/>
      <c r="I163" s="5" t="s">
        <v>41</v>
      </c>
      <c r="J163" s="5"/>
      <c r="K163" s="1">
        <v>103</v>
      </c>
      <c r="L163" s="3" t="e">
        <f>VLOOKUP(K163,'GACETA 3'!$E$9:$F$75,2,0)</f>
        <v>#N/A</v>
      </c>
      <c r="M163" s="3" t="str">
        <f t="shared" si="2"/>
        <v>0108030103</v>
      </c>
      <c r="N163" s="3" t="str">
        <f>VLOOKUP(M163,GACETA!$A$1:$C$186,3,0)</f>
        <v>F</v>
      </c>
      <c r="O163" s="3" t="str">
        <f>VLOOKUP(M163,GACETA!$A$1:$C$186,2,0)</f>
        <v>Difusión y comunicación institucional</v>
      </c>
      <c r="P163" s="254" t="s">
        <v>127</v>
      </c>
      <c r="Q163" s="254" t="s">
        <v>128</v>
      </c>
      <c r="R163" s="147" t="s">
        <v>1016</v>
      </c>
      <c r="S163" s="7" t="s">
        <v>86</v>
      </c>
      <c r="T163" s="62" t="s">
        <v>130</v>
      </c>
    </row>
    <row r="164" spans="1:20" ht="30" x14ac:dyDescent="0.3">
      <c r="A164" s="263"/>
      <c r="B164" s="289"/>
      <c r="C164" s="33" t="s">
        <v>829</v>
      </c>
      <c r="D164" s="35" t="s">
        <v>834</v>
      </c>
      <c r="E164" s="35" t="s">
        <v>830</v>
      </c>
      <c r="F164" s="35" t="s">
        <v>829</v>
      </c>
      <c r="G164" s="74" t="s">
        <v>830</v>
      </c>
      <c r="H164" s="35"/>
      <c r="I164" s="5" t="s">
        <v>41</v>
      </c>
      <c r="J164" s="5"/>
      <c r="K164" s="1">
        <v>103</v>
      </c>
      <c r="L164" s="3" t="e">
        <f>VLOOKUP(K164,'GACETA 3'!$E$9:$F$75,2,0)</f>
        <v>#N/A</v>
      </c>
      <c r="M164" s="3" t="str">
        <f t="shared" si="2"/>
        <v>0108030103</v>
      </c>
      <c r="N164" s="3" t="str">
        <f>VLOOKUP(M164,GACETA!$A$1:$C$186,3,0)</f>
        <v>F</v>
      </c>
      <c r="O164" s="3" t="str">
        <f>VLOOKUP(M164,GACETA!$A$1:$C$186,2,0)</f>
        <v>Difusión y comunicación institucional</v>
      </c>
      <c r="P164" s="254"/>
      <c r="Q164" s="254"/>
      <c r="R164" s="147" t="s">
        <v>1017</v>
      </c>
      <c r="S164" s="7" t="s">
        <v>86</v>
      </c>
      <c r="T164" s="62" t="s">
        <v>132</v>
      </c>
    </row>
    <row r="165" spans="1:20" ht="30" x14ac:dyDescent="0.3">
      <c r="A165" s="263"/>
      <c r="B165" s="289"/>
      <c r="C165" s="33" t="s">
        <v>829</v>
      </c>
      <c r="D165" s="35" t="s">
        <v>834</v>
      </c>
      <c r="E165" s="35" t="s">
        <v>830</v>
      </c>
      <c r="F165" s="35" t="s">
        <v>829</v>
      </c>
      <c r="G165" s="74" t="s">
        <v>830</v>
      </c>
      <c r="H165" s="35"/>
      <c r="I165" s="5" t="s">
        <v>41</v>
      </c>
      <c r="J165" s="5"/>
      <c r="K165" s="1">
        <v>103</v>
      </c>
      <c r="L165" s="3" t="e">
        <f>VLOOKUP(K165,'GACETA 3'!$E$9:$F$75,2,0)</f>
        <v>#N/A</v>
      </c>
      <c r="M165" s="3" t="str">
        <f t="shared" si="2"/>
        <v>0108030103</v>
      </c>
      <c r="N165" s="3" t="str">
        <f>VLOOKUP(M165,GACETA!$A$1:$C$186,3,0)</f>
        <v>F</v>
      </c>
      <c r="O165" s="3" t="str">
        <f>VLOOKUP(M165,GACETA!$A$1:$C$186,2,0)</f>
        <v>Difusión y comunicación institucional</v>
      </c>
      <c r="P165" s="254"/>
      <c r="Q165" s="254"/>
      <c r="R165" s="147" t="s">
        <v>133</v>
      </c>
      <c r="S165" s="7" t="s">
        <v>86</v>
      </c>
      <c r="T165" s="62" t="s">
        <v>1018</v>
      </c>
    </row>
    <row r="166" spans="1:20" ht="30" x14ac:dyDescent="0.3">
      <c r="A166" s="263"/>
      <c r="B166" s="289"/>
      <c r="C166" s="33" t="s">
        <v>829</v>
      </c>
      <c r="D166" s="35" t="s">
        <v>834</v>
      </c>
      <c r="E166" s="35" t="s">
        <v>830</v>
      </c>
      <c r="F166" s="35" t="s">
        <v>829</v>
      </c>
      <c r="G166" s="74" t="s">
        <v>830</v>
      </c>
      <c r="H166" s="35"/>
      <c r="I166" s="5" t="s">
        <v>41</v>
      </c>
      <c r="J166" s="5"/>
      <c r="K166" s="1">
        <v>103</v>
      </c>
      <c r="L166" s="3" t="e">
        <f>VLOOKUP(K166,'GACETA 3'!$E$9:$F$75,2,0)</f>
        <v>#N/A</v>
      </c>
      <c r="M166" s="3" t="str">
        <f t="shared" si="2"/>
        <v>0108030103</v>
      </c>
      <c r="N166" s="3" t="str">
        <f>VLOOKUP(M166,GACETA!$A$1:$C$186,3,0)</f>
        <v>F</v>
      </c>
      <c r="O166" s="3" t="str">
        <f>VLOOKUP(M166,GACETA!$A$1:$C$186,2,0)</f>
        <v>Difusión y comunicación institucional</v>
      </c>
      <c r="P166" s="254"/>
      <c r="Q166" s="254"/>
      <c r="R166" s="147" t="s">
        <v>1019</v>
      </c>
      <c r="S166" s="7" t="s">
        <v>86</v>
      </c>
      <c r="T166" s="62" t="s">
        <v>88</v>
      </c>
    </row>
    <row r="167" spans="1:20" ht="30" x14ac:dyDescent="0.3">
      <c r="A167" s="263"/>
      <c r="B167" s="289"/>
      <c r="C167" s="33" t="s">
        <v>829</v>
      </c>
      <c r="D167" s="35" t="s">
        <v>834</v>
      </c>
      <c r="E167" s="35" t="s">
        <v>830</v>
      </c>
      <c r="F167" s="35" t="s">
        <v>829</v>
      </c>
      <c r="G167" s="74" t="s">
        <v>830</v>
      </c>
      <c r="H167" s="35"/>
      <c r="I167" s="5" t="s">
        <v>41</v>
      </c>
      <c r="J167" s="5"/>
      <c r="K167" s="1">
        <v>103</v>
      </c>
      <c r="L167" s="3" t="e">
        <f>VLOOKUP(K167,'GACETA 3'!$E$9:$F$75,2,0)</f>
        <v>#N/A</v>
      </c>
      <c r="M167" s="3" t="str">
        <f t="shared" si="2"/>
        <v>0108030103</v>
      </c>
      <c r="N167" s="3" t="str">
        <f>VLOOKUP(M167,GACETA!$A$1:$C$186,3,0)</f>
        <v>F</v>
      </c>
      <c r="O167" s="3" t="str">
        <f>VLOOKUP(M167,GACETA!$A$1:$C$186,2,0)</f>
        <v>Difusión y comunicación institucional</v>
      </c>
      <c r="P167" s="254"/>
      <c r="Q167" s="254"/>
      <c r="R167" s="147" t="s">
        <v>1020</v>
      </c>
      <c r="S167" s="7" t="s">
        <v>86</v>
      </c>
      <c r="T167" s="62" t="s">
        <v>1021</v>
      </c>
    </row>
    <row r="168" spans="1:20" ht="30" x14ac:dyDescent="0.3">
      <c r="A168" s="263"/>
      <c r="B168" s="289"/>
      <c r="C168" s="33" t="s">
        <v>829</v>
      </c>
      <c r="D168" s="35" t="s">
        <v>834</v>
      </c>
      <c r="E168" s="35" t="s">
        <v>830</v>
      </c>
      <c r="F168" s="35" t="s">
        <v>829</v>
      </c>
      <c r="G168" s="74" t="s">
        <v>830</v>
      </c>
      <c r="H168" s="35"/>
      <c r="I168" s="5" t="s">
        <v>41</v>
      </c>
      <c r="J168" s="5"/>
      <c r="K168" s="1">
        <v>103</v>
      </c>
      <c r="L168" s="3" t="e">
        <f>VLOOKUP(K168,'GACETA 3'!$E$9:$F$75,2,0)</f>
        <v>#N/A</v>
      </c>
      <c r="M168" s="3" t="str">
        <f t="shared" si="2"/>
        <v>0108030103</v>
      </c>
      <c r="N168" s="3" t="str">
        <f>VLOOKUP(M168,GACETA!$A$1:$C$186,3,0)</f>
        <v>F</v>
      </c>
      <c r="O168" s="3" t="str">
        <f>VLOOKUP(M168,GACETA!$A$1:$C$186,2,0)</f>
        <v>Difusión y comunicación institucional</v>
      </c>
      <c r="P168" s="254"/>
      <c r="Q168" s="254"/>
      <c r="R168" s="147" t="s">
        <v>1022</v>
      </c>
      <c r="S168" s="7" t="s">
        <v>86</v>
      </c>
      <c r="T168" s="62" t="s">
        <v>1023</v>
      </c>
    </row>
    <row r="169" spans="1:20" ht="30" x14ac:dyDescent="0.3">
      <c r="A169" s="263"/>
      <c r="B169" s="289"/>
      <c r="C169" s="33" t="s">
        <v>829</v>
      </c>
      <c r="D169" s="35" t="s">
        <v>834</v>
      </c>
      <c r="E169" s="35" t="s">
        <v>830</v>
      </c>
      <c r="F169" s="35" t="s">
        <v>829</v>
      </c>
      <c r="G169" s="74" t="s">
        <v>830</v>
      </c>
      <c r="H169" s="35"/>
      <c r="I169" s="5" t="s">
        <v>41</v>
      </c>
      <c r="J169" s="5"/>
      <c r="K169" s="1">
        <v>103</v>
      </c>
      <c r="L169" s="3" t="e">
        <f>VLOOKUP(K169,'GACETA 3'!$E$9:$F$75,2,0)</f>
        <v>#N/A</v>
      </c>
      <c r="M169" s="3" t="str">
        <f t="shared" si="2"/>
        <v>0108030103</v>
      </c>
      <c r="N169" s="3" t="str">
        <f>VLOOKUP(M169,GACETA!$A$1:$C$186,3,0)</f>
        <v>F</v>
      </c>
      <c r="O169" s="3" t="str">
        <f>VLOOKUP(M169,GACETA!$A$1:$C$186,2,0)</f>
        <v>Difusión y comunicación institucional</v>
      </c>
      <c r="P169" s="254"/>
      <c r="Q169" s="254"/>
      <c r="R169" s="147" t="s">
        <v>1024</v>
      </c>
      <c r="S169" s="7" t="s">
        <v>86</v>
      </c>
      <c r="T169" s="62" t="s">
        <v>1025</v>
      </c>
    </row>
    <row r="170" spans="1:20" ht="60" x14ac:dyDescent="0.3">
      <c r="A170" s="280" t="s">
        <v>54</v>
      </c>
      <c r="B170" s="265" t="s">
        <v>63</v>
      </c>
      <c r="C170" s="33" t="s">
        <v>830</v>
      </c>
      <c r="D170" s="39" t="s">
        <v>829</v>
      </c>
      <c r="E170" s="39" t="s">
        <v>832</v>
      </c>
      <c r="F170" s="39" t="s">
        <v>829</v>
      </c>
      <c r="G170" s="74" t="s">
        <v>835</v>
      </c>
      <c r="H170" s="39"/>
      <c r="I170" s="8" t="s">
        <v>54</v>
      </c>
      <c r="J170" s="8"/>
      <c r="K170" s="1">
        <v>140</v>
      </c>
      <c r="L170" s="3" t="str">
        <f>VLOOKUP(K170,'GACETA 3'!$E$9:$F$75,2,0)</f>
        <v>Servicio Municipal de Empleo</v>
      </c>
      <c r="M170" s="3" t="str">
        <f t="shared" si="2"/>
        <v>0301020106</v>
      </c>
      <c r="N170" s="3" t="str">
        <f>VLOOKUP(M170,GACETA!$A$1:$C$186,3,0)</f>
        <v>M</v>
      </c>
      <c r="O170" s="3" t="str">
        <f>VLOOKUP(M170,GACETA!$A$1:$C$186,2,0)</f>
        <v>Colocación de trabajadores desempleados</v>
      </c>
      <c r="P170" s="248" t="s">
        <v>497</v>
      </c>
      <c r="Q170" s="258" t="s">
        <v>500</v>
      </c>
      <c r="R170" s="77" t="s">
        <v>1026</v>
      </c>
      <c r="S170" s="7" t="s">
        <v>86</v>
      </c>
      <c r="T170" s="7" t="s">
        <v>502</v>
      </c>
    </row>
    <row r="171" spans="1:20" ht="60" x14ac:dyDescent="0.3">
      <c r="A171" s="280"/>
      <c r="B171" s="265"/>
      <c r="C171" s="33" t="s">
        <v>830</v>
      </c>
      <c r="D171" s="39" t="s">
        <v>829</v>
      </c>
      <c r="E171" s="39" t="s">
        <v>832</v>
      </c>
      <c r="F171" s="39" t="s">
        <v>829</v>
      </c>
      <c r="G171" s="74" t="s">
        <v>835</v>
      </c>
      <c r="H171" s="39"/>
      <c r="I171" s="8" t="s">
        <v>54</v>
      </c>
      <c r="J171" s="8"/>
      <c r="K171" s="1">
        <v>140</v>
      </c>
      <c r="L171" s="3" t="str">
        <f>VLOOKUP(K171,'GACETA 3'!$E$9:$F$75,2,0)</f>
        <v>Servicio Municipal de Empleo</v>
      </c>
      <c r="M171" s="3" t="str">
        <f t="shared" si="2"/>
        <v>0301020106</v>
      </c>
      <c r="N171" s="3" t="str">
        <f>VLOOKUP(M171,GACETA!$A$1:$C$186,3,0)</f>
        <v>M</v>
      </c>
      <c r="O171" s="3" t="str">
        <f>VLOOKUP(M171,GACETA!$A$1:$C$186,2,0)</f>
        <v>Colocación de trabajadores desempleados</v>
      </c>
      <c r="P171" s="248"/>
      <c r="Q171" s="258"/>
      <c r="R171" s="6" t="s">
        <v>503</v>
      </c>
      <c r="S171" s="7" t="s">
        <v>86</v>
      </c>
      <c r="T171" s="7" t="s">
        <v>504</v>
      </c>
    </row>
    <row r="172" spans="1:20" ht="60" x14ac:dyDescent="0.3">
      <c r="A172" s="280"/>
      <c r="B172" s="265"/>
      <c r="C172" s="33" t="s">
        <v>830</v>
      </c>
      <c r="D172" s="39" t="s">
        <v>829</v>
      </c>
      <c r="E172" s="39" t="s">
        <v>832</v>
      </c>
      <c r="F172" s="39" t="s">
        <v>829</v>
      </c>
      <c r="G172" s="74" t="s">
        <v>837</v>
      </c>
      <c r="H172" s="39"/>
      <c r="I172" s="8" t="s">
        <v>54</v>
      </c>
      <c r="J172" s="8"/>
      <c r="K172" s="1">
        <v>140</v>
      </c>
      <c r="L172" s="3" t="str">
        <f>VLOOKUP(K172,'GACETA 3'!$E$9:$F$75,2,0)</f>
        <v>Servicio Municipal de Empleo</v>
      </c>
      <c r="M172" s="3" t="str">
        <f t="shared" si="2"/>
        <v>0301020107</v>
      </c>
      <c r="N172" s="3" t="str">
        <f>VLOOKUP(M172,GACETA!$A$1:$C$186,3,0)</f>
        <v>E</v>
      </c>
      <c r="O172" s="3" t="str">
        <f>VLOOKUP(M172,GACETA!$A$1:$C$186,2,0)</f>
        <v>Fomento y apoyo para el autoempleo</v>
      </c>
      <c r="P172" s="249"/>
      <c r="Q172" s="62" t="s">
        <v>498</v>
      </c>
      <c r="R172" s="6" t="s">
        <v>499</v>
      </c>
      <c r="S172" s="7" t="s">
        <v>86</v>
      </c>
      <c r="T172" s="7" t="s">
        <v>173</v>
      </c>
    </row>
    <row r="173" spans="1:20" ht="24" customHeight="1" x14ac:dyDescent="0.3">
      <c r="A173" s="280"/>
      <c r="B173" s="265"/>
      <c r="C173" s="33" t="s">
        <v>830</v>
      </c>
      <c r="D173" s="39" t="s">
        <v>836</v>
      </c>
      <c r="E173" s="39" t="s">
        <v>832</v>
      </c>
      <c r="F173" s="39" t="s">
        <v>829</v>
      </c>
      <c r="G173" s="74" t="s">
        <v>832</v>
      </c>
      <c r="H173" s="39"/>
      <c r="I173" s="8" t="s">
        <v>54</v>
      </c>
      <c r="J173" s="8"/>
      <c r="K173" s="1">
        <v>131</v>
      </c>
      <c r="L173" s="3" t="str">
        <f>VLOOKUP(K173,'GACETA 3'!$E$9:$F$75,2,0)</f>
        <v>Fomento Industrial</v>
      </c>
      <c r="M173" s="3" t="str">
        <f t="shared" si="2"/>
        <v>0304020102</v>
      </c>
      <c r="N173" s="3" t="str">
        <f>VLOOKUP(M173,GACETA!$A$1:$C$186,3,0)</f>
        <v>F</v>
      </c>
      <c r="O173" s="3" t="str">
        <f>VLOOKUP(M173,GACETA!$A$1:$C$186,2,0)</f>
        <v>Fortalecimiento a la micro y pequeña empresa</v>
      </c>
      <c r="P173" s="247" t="s">
        <v>505</v>
      </c>
      <c r="Q173" s="247" t="s">
        <v>506</v>
      </c>
      <c r="R173" s="77" t="s">
        <v>1027</v>
      </c>
      <c r="S173" s="7" t="s">
        <v>86</v>
      </c>
      <c r="T173" s="7" t="s">
        <v>465</v>
      </c>
    </row>
    <row r="174" spans="1:20" ht="27" customHeight="1" x14ac:dyDescent="0.3">
      <c r="A174" s="280"/>
      <c r="B174" s="265"/>
      <c r="C174" s="33" t="s">
        <v>830</v>
      </c>
      <c r="D174" s="39" t="s">
        <v>836</v>
      </c>
      <c r="E174" s="39" t="s">
        <v>832</v>
      </c>
      <c r="F174" s="39" t="s">
        <v>829</v>
      </c>
      <c r="G174" s="74" t="s">
        <v>832</v>
      </c>
      <c r="H174" s="39"/>
      <c r="I174" s="8" t="s">
        <v>54</v>
      </c>
      <c r="J174" s="8"/>
      <c r="K174" s="1">
        <v>131</v>
      </c>
      <c r="L174" s="3" t="str">
        <f>VLOOKUP(K174,'GACETA 3'!$E$9:$F$75,2,0)</f>
        <v>Fomento Industrial</v>
      </c>
      <c r="M174" s="3" t="str">
        <f t="shared" si="2"/>
        <v>0304020102</v>
      </c>
      <c r="N174" s="3" t="str">
        <f>VLOOKUP(M174,GACETA!$A$1:$C$186,3,0)</f>
        <v>F</v>
      </c>
      <c r="O174" s="3" t="str">
        <f>VLOOKUP(M174,GACETA!$A$1:$C$186,2,0)</f>
        <v>Fortalecimiento a la micro y pequeña empresa</v>
      </c>
      <c r="P174" s="249"/>
      <c r="Q174" s="249"/>
      <c r="R174" s="77" t="s">
        <v>1028</v>
      </c>
      <c r="S174" s="7" t="s">
        <v>86</v>
      </c>
      <c r="T174" s="60" t="s">
        <v>181</v>
      </c>
    </row>
    <row r="175" spans="1:20" ht="60" x14ac:dyDescent="0.3">
      <c r="A175" s="280"/>
      <c r="B175" s="265"/>
      <c r="C175" s="33" t="s">
        <v>829</v>
      </c>
      <c r="D175" s="39" t="s">
        <v>833</v>
      </c>
      <c r="E175" s="39" t="s">
        <v>832</v>
      </c>
      <c r="F175" s="39" t="s">
        <v>835</v>
      </c>
      <c r="G175" s="74" t="s">
        <v>834</v>
      </c>
      <c r="H175" s="39"/>
      <c r="I175" s="8" t="s">
        <v>54</v>
      </c>
      <c r="J175" s="8"/>
      <c r="K175" s="1">
        <v>137</v>
      </c>
      <c r="L175" s="3" t="str">
        <f>VLOOKUP(K175,'GACETA 3'!$E$9:$F$75,2,0)</f>
        <v>Simplificación Administrativa</v>
      </c>
      <c r="M175" s="3" t="str">
        <f t="shared" si="2"/>
        <v>0105020608</v>
      </c>
      <c r="N175" s="3" t="str">
        <f>VLOOKUP(M175,GACETA!$A$1:$C$186,3,0)</f>
        <v>O</v>
      </c>
      <c r="O175" s="3" t="str">
        <f>VLOOKUP(M175,GACETA!$A$1:$C$186,2,0)</f>
        <v>Simplificación y modernización de la administración pública</v>
      </c>
      <c r="P175" s="258" t="s">
        <v>164</v>
      </c>
      <c r="Q175" s="258" t="s">
        <v>508</v>
      </c>
      <c r="R175" s="147" t="s">
        <v>509</v>
      </c>
      <c r="S175" s="7" t="s">
        <v>86</v>
      </c>
      <c r="T175" s="7" t="s">
        <v>104</v>
      </c>
    </row>
    <row r="176" spans="1:20" ht="24" customHeight="1" x14ac:dyDescent="0.3">
      <c r="A176" s="280"/>
      <c r="B176" s="265"/>
      <c r="C176" s="33" t="s">
        <v>829</v>
      </c>
      <c r="D176" s="39" t="s">
        <v>833</v>
      </c>
      <c r="E176" s="39" t="s">
        <v>832</v>
      </c>
      <c r="F176" s="39" t="s">
        <v>835</v>
      </c>
      <c r="G176" s="74" t="s">
        <v>834</v>
      </c>
      <c r="H176" s="39"/>
      <c r="I176" s="8" t="s">
        <v>54</v>
      </c>
      <c r="J176" s="8"/>
      <c r="K176" s="1">
        <v>137</v>
      </c>
      <c r="L176" s="3" t="str">
        <f>VLOOKUP(K176,'GACETA 3'!$E$9:$F$75,2,0)</f>
        <v>Simplificación Administrativa</v>
      </c>
      <c r="M176" s="3" t="str">
        <f t="shared" si="2"/>
        <v>0105020608</v>
      </c>
      <c r="N176" s="3" t="str">
        <f>VLOOKUP(M176,GACETA!$A$1:$C$186,3,0)</f>
        <v>O</v>
      </c>
      <c r="O176" s="3" t="str">
        <f>VLOOKUP(M176,GACETA!$A$1:$C$186,2,0)</f>
        <v>Simplificación y modernización de la administración pública</v>
      </c>
      <c r="P176" s="258"/>
      <c r="Q176" s="258"/>
      <c r="R176" s="147" t="s">
        <v>510</v>
      </c>
      <c r="S176" s="7" t="s">
        <v>86</v>
      </c>
      <c r="T176" s="7" t="s">
        <v>246</v>
      </c>
    </row>
    <row r="177" spans="1:21" ht="24" customHeight="1" x14ac:dyDescent="0.3">
      <c r="A177" s="280"/>
      <c r="B177" s="265"/>
      <c r="C177" s="33" t="s">
        <v>829</v>
      </c>
      <c r="D177" s="39" t="s">
        <v>833</v>
      </c>
      <c r="E177" s="39" t="s">
        <v>832</v>
      </c>
      <c r="F177" s="39" t="s">
        <v>835</v>
      </c>
      <c r="G177" s="74" t="s">
        <v>834</v>
      </c>
      <c r="H177" s="39"/>
      <c r="I177" s="8" t="s">
        <v>54</v>
      </c>
      <c r="J177" s="8"/>
      <c r="K177" s="1">
        <v>137</v>
      </c>
      <c r="L177" s="3" t="str">
        <f>VLOOKUP(K177,'GACETA 3'!$E$9:$F$75,2,0)</f>
        <v>Simplificación Administrativa</v>
      </c>
      <c r="M177" s="3" t="str">
        <f t="shared" si="2"/>
        <v>0105020608</v>
      </c>
      <c r="N177" s="3" t="str">
        <f>VLOOKUP(M177,GACETA!$A$1:$C$186,3,0)</f>
        <v>O</v>
      </c>
      <c r="O177" s="3" t="str">
        <f>VLOOKUP(M177,GACETA!$A$1:$C$186,2,0)</f>
        <v>Simplificación y modernización de la administración pública</v>
      </c>
      <c r="P177" s="258"/>
      <c r="Q177" s="258"/>
      <c r="R177" s="147" t="s">
        <v>511</v>
      </c>
      <c r="S177" s="7" t="s">
        <v>86</v>
      </c>
      <c r="T177" s="62" t="s">
        <v>1030</v>
      </c>
    </row>
    <row r="178" spans="1:21" ht="26.25" customHeight="1" x14ac:dyDescent="0.3">
      <c r="A178" s="280"/>
      <c r="B178" s="265"/>
      <c r="C178" s="33" t="s">
        <v>829</v>
      </c>
      <c r="D178" s="39" t="s">
        <v>833</v>
      </c>
      <c r="E178" s="39" t="s">
        <v>832</v>
      </c>
      <c r="F178" s="39" t="s">
        <v>835</v>
      </c>
      <c r="G178" s="74" t="s">
        <v>834</v>
      </c>
      <c r="H178" s="39"/>
      <c r="I178" s="8" t="s">
        <v>54</v>
      </c>
      <c r="J178" s="8"/>
      <c r="K178" s="1">
        <v>137</v>
      </c>
      <c r="L178" s="3" t="str">
        <f>VLOOKUP(K178,'GACETA 3'!$E$9:$F$75,2,0)</f>
        <v>Simplificación Administrativa</v>
      </c>
      <c r="M178" s="3" t="str">
        <f t="shared" si="2"/>
        <v>0105020608</v>
      </c>
      <c r="N178" s="3" t="str">
        <f>VLOOKUP(M178,GACETA!$A$1:$C$186,3,0)</f>
        <v>O</v>
      </c>
      <c r="O178" s="3" t="str">
        <f>VLOOKUP(M178,GACETA!$A$1:$C$186,2,0)</f>
        <v>Simplificación y modernización de la administración pública</v>
      </c>
      <c r="P178" s="258"/>
      <c r="Q178" s="258"/>
      <c r="R178" s="62" t="s">
        <v>1029</v>
      </c>
      <c r="S178" s="7" t="s">
        <v>86</v>
      </c>
      <c r="T178" s="62" t="s">
        <v>1023</v>
      </c>
    </row>
    <row r="179" spans="1:21" ht="30" x14ac:dyDescent="0.3">
      <c r="A179" s="280"/>
      <c r="B179" s="265"/>
      <c r="C179" s="33" t="s">
        <v>830</v>
      </c>
      <c r="D179" s="39" t="s">
        <v>837</v>
      </c>
      <c r="E179" s="39" t="s">
        <v>829</v>
      </c>
      <c r="F179" s="39" t="s">
        <v>829</v>
      </c>
      <c r="G179" s="74" t="s">
        <v>829</v>
      </c>
      <c r="H179" s="39"/>
      <c r="I179" s="8" t="s">
        <v>54</v>
      </c>
      <c r="J179" s="8"/>
      <c r="K179" s="1">
        <v>149</v>
      </c>
      <c r="L179" s="3" t="str">
        <f>VLOOKUP(K179,'GACETA 3'!$E$9:$F$75,2,0)</f>
        <v>Fomento Turístico</v>
      </c>
      <c r="M179" s="3" t="str">
        <f t="shared" si="2"/>
        <v>0307010101</v>
      </c>
      <c r="N179" s="3" t="str">
        <f>VLOOKUP(M179,GACETA!$A$1:$C$186,3,0)</f>
        <v>F</v>
      </c>
      <c r="O179" s="3" t="str">
        <f>VLOOKUP(M179,GACETA!$A$1:$C$186,2,0)</f>
        <v>Difusión y promoción del turismo mexiquense</v>
      </c>
      <c r="P179" s="8" t="s">
        <v>512</v>
      </c>
      <c r="Q179" s="6" t="s">
        <v>513</v>
      </c>
      <c r="R179" s="147" t="s">
        <v>514</v>
      </c>
      <c r="S179" s="7" t="s">
        <v>86</v>
      </c>
      <c r="T179" s="7" t="s">
        <v>504</v>
      </c>
    </row>
    <row r="180" spans="1:21" ht="60" x14ac:dyDescent="0.3">
      <c r="A180" s="281"/>
      <c r="B180" s="266"/>
      <c r="C180" s="33" t="s">
        <v>830</v>
      </c>
      <c r="D180" s="39" t="s">
        <v>831</v>
      </c>
      <c r="E180" s="39" t="s">
        <v>830</v>
      </c>
      <c r="F180" s="39" t="s">
        <v>829</v>
      </c>
      <c r="G180" s="74" t="s">
        <v>836</v>
      </c>
      <c r="H180" s="39"/>
      <c r="I180" s="8" t="s">
        <v>54</v>
      </c>
      <c r="J180" s="8"/>
      <c r="K180" s="1">
        <v>133</v>
      </c>
      <c r="L180" s="3" t="str">
        <f>VLOOKUP(K180,'GACETA 3'!$E$9:$F$75,2,0)</f>
        <v>Fomento Artesanal</v>
      </c>
      <c r="M180" s="3" t="str">
        <f t="shared" si="2"/>
        <v>0309030104</v>
      </c>
      <c r="N180" s="3" t="str">
        <f>VLOOKUP(M180,GACETA!$A$1:$C$186,3,0)</f>
        <v>F</v>
      </c>
      <c r="O180" s="3" t="str">
        <f>VLOOKUP(M180,GACETA!$A$1:$C$186,2,0)</f>
        <v>Promoción y fomento artesanal para el desarrollo del Estado de México</v>
      </c>
      <c r="P180" s="8" t="s">
        <v>515</v>
      </c>
      <c r="Q180" s="6" t="s">
        <v>516</v>
      </c>
      <c r="R180" s="147" t="s">
        <v>1031</v>
      </c>
      <c r="S180" s="7" t="s">
        <v>86</v>
      </c>
      <c r="T180" s="7" t="s">
        <v>504</v>
      </c>
    </row>
    <row r="181" spans="1:21" ht="30" x14ac:dyDescent="0.3">
      <c r="A181" s="295" t="s">
        <v>61</v>
      </c>
      <c r="B181" s="272" t="s">
        <v>711</v>
      </c>
      <c r="C181" s="33" t="s">
        <v>829</v>
      </c>
      <c r="D181" s="36" t="s">
        <v>830</v>
      </c>
      <c r="E181" s="36" t="s">
        <v>834</v>
      </c>
      <c r="F181" s="36" t="s">
        <v>829</v>
      </c>
      <c r="G181" s="74" t="s">
        <v>836</v>
      </c>
      <c r="H181" s="36"/>
      <c r="I181" s="2" t="s">
        <v>61</v>
      </c>
      <c r="J181" s="2"/>
      <c r="K181" s="4">
        <v>123</v>
      </c>
      <c r="L181" s="3" t="str">
        <f>VLOOKUP(K181,'GACETA 3'!$E$9:$F$75,2,0)</f>
        <v>Desarrollo Urbano</v>
      </c>
      <c r="M181" s="3" t="str">
        <f t="shared" si="2"/>
        <v>0103080104</v>
      </c>
      <c r="N181" s="3" t="str">
        <f>VLOOKUP(M181,GACETA!$A$1:$C$186,3,0)</f>
        <v>P</v>
      </c>
      <c r="O181" s="3" t="str">
        <f>VLOOKUP(M181,GACETA!$A$1:$C$186,2,0)</f>
        <v>Planeación integral y concertada</v>
      </c>
      <c r="P181" s="254" t="s">
        <v>182</v>
      </c>
      <c r="Q181" s="290" t="s">
        <v>183</v>
      </c>
      <c r="R181" s="187" t="s">
        <v>1064</v>
      </c>
      <c r="S181" s="7" t="s">
        <v>86</v>
      </c>
      <c r="T181" s="76" t="s">
        <v>185</v>
      </c>
      <c r="U181" s="158"/>
    </row>
    <row r="182" spans="1:21" ht="30" x14ac:dyDescent="0.3">
      <c r="A182" s="280"/>
      <c r="B182" s="273"/>
      <c r="C182" s="33" t="s">
        <v>829</v>
      </c>
      <c r="D182" s="36" t="s">
        <v>830</v>
      </c>
      <c r="E182" s="36" t="s">
        <v>834</v>
      </c>
      <c r="F182" s="36" t="s">
        <v>829</v>
      </c>
      <c r="G182" s="74" t="s">
        <v>836</v>
      </c>
      <c r="H182" s="36"/>
      <c r="I182" s="2" t="s">
        <v>61</v>
      </c>
      <c r="J182" s="2"/>
      <c r="K182" s="4">
        <v>123</v>
      </c>
      <c r="L182" s="3" t="str">
        <f>VLOOKUP(K182,'GACETA 3'!$E$9:$F$75,2,0)</f>
        <v>Desarrollo Urbano</v>
      </c>
      <c r="M182" s="3" t="str">
        <f t="shared" si="2"/>
        <v>0103080104</v>
      </c>
      <c r="N182" s="3" t="str">
        <f>VLOOKUP(M182,GACETA!$A$1:$C$186,3,0)</f>
        <v>P</v>
      </c>
      <c r="O182" s="3" t="str">
        <f>VLOOKUP(M182,GACETA!$A$1:$C$186,2,0)</f>
        <v>Planeación integral y concertada</v>
      </c>
      <c r="P182" s="254"/>
      <c r="Q182" s="290"/>
      <c r="R182" s="187" t="s">
        <v>1065</v>
      </c>
      <c r="S182" s="7" t="s">
        <v>86</v>
      </c>
      <c r="T182" s="76" t="s">
        <v>1070</v>
      </c>
      <c r="U182" s="158"/>
    </row>
    <row r="183" spans="1:21" ht="30" x14ac:dyDescent="0.3">
      <c r="A183" s="280"/>
      <c r="B183" s="273"/>
      <c r="C183" s="33" t="s">
        <v>829</v>
      </c>
      <c r="D183" s="36" t="s">
        <v>830</v>
      </c>
      <c r="E183" s="36" t="s">
        <v>834</v>
      </c>
      <c r="F183" s="36" t="s">
        <v>829</v>
      </c>
      <c r="G183" s="74" t="s">
        <v>836</v>
      </c>
      <c r="H183" s="36"/>
      <c r="I183" s="2" t="s">
        <v>61</v>
      </c>
      <c r="J183" s="2"/>
      <c r="K183" s="4">
        <v>123</v>
      </c>
      <c r="L183" s="3" t="str">
        <f>VLOOKUP(K183,'GACETA 3'!$E$9:$F$75,2,0)</f>
        <v>Desarrollo Urbano</v>
      </c>
      <c r="M183" s="3" t="str">
        <f t="shared" si="2"/>
        <v>0103080104</v>
      </c>
      <c r="N183" s="3" t="str">
        <f>VLOOKUP(M183,GACETA!$A$1:$C$186,3,0)</f>
        <v>P</v>
      </c>
      <c r="O183" s="3" t="str">
        <f>VLOOKUP(M183,GACETA!$A$1:$C$186,2,0)</f>
        <v>Planeación integral y concertada</v>
      </c>
      <c r="P183" s="254"/>
      <c r="Q183" s="290"/>
      <c r="R183" s="187" t="s">
        <v>1066</v>
      </c>
      <c r="S183" s="7" t="s">
        <v>86</v>
      </c>
      <c r="T183" s="76" t="s">
        <v>748</v>
      </c>
      <c r="U183" s="158"/>
    </row>
    <row r="184" spans="1:21" ht="30" x14ac:dyDescent="0.3">
      <c r="A184" s="280"/>
      <c r="B184" s="273"/>
      <c r="C184" s="33" t="s">
        <v>829</v>
      </c>
      <c r="D184" s="36" t="s">
        <v>830</v>
      </c>
      <c r="E184" s="36" t="s">
        <v>834</v>
      </c>
      <c r="F184" s="36" t="s">
        <v>829</v>
      </c>
      <c r="G184" s="74" t="s">
        <v>836</v>
      </c>
      <c r="H184" s="36"/>
      <c r="I184" s="2" t="s">
        <v>61</v>
      </c>
      <c r="J184" s="2"/>
      <c r="K184" s="4">
        <v>123</v>
      </c>
      <c r="L184" s="3" t="str">
        <f>VLOOKUP(K184,'GACETA 3'!$E$9:$F$75,2,0)</f>
        <v>Desarrollo Urbano</v>
      </c>
      <c r="M184" s="3" t="str">
        <f t="shared" si="2"/>
        <v>0103080104</v>
      </c>
      <c r="N184" s="3" t="str">
        <f>VLOOKUP(M184,GACETA!$A$1:$C$186,3,0)</f>
        <v>P</v>
      </c>
      <c r="O184" s="3" t="str">
        <f>VLOOKUP(M184,GACETA!$A$1:$C$186,2,0)</f>
        <v>Planeación integral y concertada</v>
      </c>
      <c r="P184" s="254"/>
      <c r="Q184" s="290"/>
      <c r="R184" s="187" t="s">
        <v>1067</v>
      </c>
      <c r="S184" s="7" t="s">
        <v>86</v>
      </c>
      <c r="T184" s="76" t="s">
        <v>1071</v>
      </c>
      <c r="U184" s="158"/>
    </row>
    <row r="185" spans="1:21" ht="30" x14ac:dyDescent="0.3">
      <c r="A185" s="280"/>
      <c r="B185" s="273"/>
      <c r="C185" s="33" t="s">
        <v>829</v>
      </c>
      <c r="D185" s="36" t="s">
        <v>830</v>
      </c>
      <c r="E185" s="36" t="s">
        <v>834</v>
      </c>
      <c r="F185" s="36" t="s">
        <v>829</v>
      </c>
      <c r="G185" s="74" t="s">
        <v>836</v>
      </c>
      <c r="H185" s="36"/>
      <c r="I185" s="2" t="s">
        <v>61</v>
      </c>
      <c r="J185" s="2"/>
      <c r="K185" s="4">
        <v>123</v>
      </c>
      <c r="L185" s="3" t="str">
        <f>VLOOKUP(K185,'GACETA 3'!$E$9:$F$75,2,0)</f>
        <v>Desarrollo Urbano</v>
      </c>
      <c r="M185" s="3" t="str">
        <f t="shared" si="2"/>
        <v>0103080104</v>
      </c>
      <c r="N185" s="3" t="str">
        <f>VLOOKUP(M185,GACETA!$A$1:$C$186,3,0)</f>
        <v>P</v>
      </c>
      <c r="O185" s="3" t="str">
        <f>VLOOKUP(M185,GACETA!$A$1:$C$186,2,0)</f>
        <v>Planeación integral y concertada</v>
      </c>
      <c r="P185" s="254"/>
      <c r="Q185" s="290"/>
      <c r="R185" s="187" t="s">
        <v>1068</v>
      </c>
      <c r="S185" s="7" t="s">
        <v>86</v>
      </c>
      <c r="T185" s="76" t="s">
        <v>1070</v>
      </c>
      <c r="U185" s="158"/>
    </row>
    <row r="186" spans="1:21" ht="30" x14ac:dyDescent="0.3">
      <c r="A186" s="280"/>
      <c r="B186" s="273"/>
      <c r="C186" s="33" t="s">
        <v>829</v>
      </c>
      <c r="D186" s="36" t="s">
        <v>830</v>
      </c>
      <c r="E186" s="36" t="s">
        <v>834</v>
      </c>
      <c r="F186" s="36" t="s">
        <v>829</v>
      </c>
      <c r="G186" s="74" t="s">
        <v>836</v>
      </c>
      <c r="H186" s="36"/>
      <c r="I186" s="2" t="s">
        <v>61</v>
      </c>
      <c r="J186" s="2"/>
      <c r="K186" s="4">
        <v>123</v>
      </c>
      <c r="L186" s="3" t="str">
        <f>VLOOKUP(K186,'GACETA 3'!$E$9:$F$75,2,0)</f>
        <v>Desarrollo Urbano</v>
      </c>
      <c r="M186" s="3" t="str">
        <f t="shared" si="2"/>
        <v>0103080104</v>
      </c>
      <c r="N186" s="3" t="str">
        <f>VLOOKUP(M186,GACETA!$A$1:$C$186,3,0)</f>
        <v>P</v>
      </c>
      <c r="O186" s="3" t="str">
        <f>VLOOKUP(M186,GACETA!$A$1:$C$186,2,0)</f>
        <v>Planeación integral y concertada</v>
      </c>
      <c r="P186" s="254"/>
      <c r="Q186" s="290"/>
      <c r="R186" s="187" t="s">
        <v>1069</v>
      </c>
      <c r="S186" s="7" t="s">
        <v>86</v>
      </c>
      <c r="T186" s="76" t="s">
        <v>1072</v>
      </c>
      <c r="U186" s="158"/>
    </row>
    <row r="187" spans="1:21" ht="30" x14ac:dyDescent="0.3">
      <c r="A187" s="280"/>
      <c r="B187" s="273"/>
      <c r="C187" s="33" t="s">
        <v>829</v>
      </c>
      <c r="D187" s="36" t="s">
        <v>830</v>
      </c>
      <c r="E187" s="36" t="s">
        <v>834</v>
      </c>
      <c r="F187" s="36" t="s">
        <v>829</v>
      </c>
      <c r="G187" s="74" t="s">
        <v>837</v>
      </c>
      <c r="H187" s="36"/>
      <c r="I187" s="2" t="s">
        <v>61</v>
      </c>
      <c r="J187" s="2"/>
      <c r="K187" s="4">
        <v>123</v>
      </c>
      <c r="L187" s="3" t="str">
        <f>VLOOKUP(K187,'GACETA 3'!$E$9:$F$75,2,0)</f>
        <v>Desarrollo Urbano</v>
      </c>
      <c r="M187" s="3" t="str">
        <f t="shared" si="2"/>
        <v>0103080107</v>
      </c>
      <c r="N187" s="3" t="str">
        <f>VLOOKUP(M187,GACETA!$A$1:$C$186,3,0)</f>
        <v>M</v>
      </c>
      <c r="O187" s="3" t="str">
        <f>VLOOKUP(M187,GACETA!$A$1:$C$186,2,0)</f>
        <v>Instrumentación urbana</v>
      </c>
      <c r="P187" s="254"/>
      <c r="Q187" s="307" t="s">
        <v>186</v>
      </c>
      <c r="R187" s="71" t="s">
        <v>1060</v>
      </c>
      <c r="S187" s="7" t="s">
        <v>86</v>
      </c>
      <c r="T187" s="7" t="s">
        <v>188</v>
      </c>
      <c r="U187" s="158"/>
    </row>
    <row r="188" spans="1:21" x14ac:dyDescent="0.3">
      <c r="A188" s="280"/>
      <c r="B188" s="273"/>
      <c r="C188" s="33" t="s">
        <v>829</v>
      </c>
      <c r="D188" s="36" t="s">
        <v>830</v>
      </c>
      <c r="E188" s="36" t="s">
        <v>834</v>
      </c>
      <c r="F188" s="36" t="s">
        <v>829</v>
      </c>
      <c r="G188" s="74" t="s">
        <v>837</v>
      </c>
      <c r="H188" s="36"/>
      <c r="I188" s="2"/>
      <c r="J188" s="2"/>
      <c r="K188" s="4"/>
      <c r="L188" s="3" t="e">
        <f>VLOOKUP(K188,'GACETA 3'!$E$9:$F$75,2,0)</f>
        <v>#N/A</v>
      </c>
      <c r="M188" s="3" t="str">
        <f t="shared" si="2"/>
        <v>0103080107</v>
      </c>
      <c r="N188" s="3" t="str">
        <f>VLOOKUP(M188,GACETA!$A$1:$C$186,3,0)</f>
        <v>M</v>
      </c>
      <c r="O188" s="3" t="str">
        <f>VLOOKUP(M188,GACETA!$A$1:$C$186,2,0)</f>
        <v>Instrumentación urbana</v>
      </c>
      <c r="P188" s="254"/>
      <c r="Q188" s="308"/>
      <c r="R188" s="71" t="s">
        <v>189</v>
      </c>
      <c r="S188" s="7" t="s">
        <v>86</v>
      </c>
      <c r="T188" s="7" t="s">
        <v>190</v>
      </c>
      <c r="U188" s="158"/>
    </row>
    <row r="189" spans="1:21" ht="30" x14ac:dyDescent="0.3">
      <c r="A189" s="280"/>
      <c r="B189" s="273"/>
      <c r="C189" s="33" t="s">
        <v>829</v>
      </c>
      <c r="D189" s="36" t="s">
        <v>830</v>
      </c>
      <c r="E189" s="36" t="s">
        <v>834</v>
      </c>
      <c r="F189" s="36" t="s">
        <v>829</v>
      </c>
      <c r="G189" s="74" t="s">
        <v>837</v>
      </c>
      <c r="H189" s="36"/>
      <c r="I189" s="2" t="s">
        <v>61</v>
      </c>
      <c r="J189" s="2"/>
      <c r="K189" s="4">
        <v>123</v>
      </c>
      <c r="L189" s="3" t="str">
        <f>VLOOKUP(K189,'GACETA 3'!$E$9:$F$75,2,0)</f>
        <v>Desarrollo Urbano</v>
      </c>
      <c r="M189" s="3" t="str">
        <f t="shared" si="2"/>
        <v>0103080107</v>
      </c>
      <c r="N189" s="3" t="str">
        <f>VLOOKUP(M189,GACETA!$A$1:$C$186,3,0)</f>
        <v>M</v>
      </c>
      <c r="O189" s="3" t="str">
        <f>VLOOKUP(M189,GACETA!$A$1:$C$186,2,0)</f>
        <v>Instrumentación urbana</v>
      </c>
      <c r="P189" s="254"/>
      <c r="Q189" s="308"/>
      <c r="R189" s="71" t="s">
        <v>1061</v>
      </c>
      <c r="S189" s="7" t="s">
        <v>86</v>
      </c>
      <c r="T189" s="7" t="s">
        <v>1063</v>
      </c>
      <c r="U189" s="158"/>
    </row>
    <row r="190" spans="1:21" ht="30" x14ac:dyDescent="0.3">
      <c r="A190" s="280"/>
      <c r="B190" s="273"/>
      <c r="C190" s="33" t="s">
        <v>829</v>
      </c>
      <c r="D190" s="36" t="s">
        <v>830</v>
      </c>
      <c r="E190" s="36" t="s">
        <v>834</v>
      </c>
      <c r="F190" s="36" t="s">
        <v>829</v>
      </c>
      <c r="G190" s="74" t="s">
        <v>837</v>
      </c>
      <c r="H190" s="36"/>
      <c r="I190" s="2" t="s">
        <v>61</v>
      </c>
      <c r="J190" s="2"/>
      <c r="K190" s="4">
        <v>123</v>
      </c>
      <c r="L190" s="3" t="str">
        <f>VLOOKUP(K190,'GACETA 3'!$E$9:$F$75,2,0)</f>
        <v>Desarrollo Urbano</v>
      </c>
      <c r="M190" s="3" t="str">
        <f t="shared" si="2"/>
        <v>0103080107</v>
      </c>
      <c r="N190" s="3" t="str">
        <f>VLOOKUP(M190,GACETA!$A$1:$C$186,3,0)</f>
        <v>M</v>
      </c>
      <c r="O190" s="3" t="str">
        <f>VLOOKUP(M190,GACETA!$A$1:$C$186,2,0)</f>
        <v>Instrumentación urbana</v>
      </c>
      <c r="P190" s="254"/>
      <c r="Q190" s="309"/>
      <c r="R190" s="71" t="s">
        <v>1062</v>
      </c>
      <c r="S190" s="7" t="s">
        <v>86</v>
      </c>
      <c r="T190" s="7" t="s">
        <v>1063</v>
      </c>
      <c r="U190" s="158"/>
    </row>
    <row r="191" spans="1:21" ht="45" x14ac:dyDescent="0.3">
      <c r="A191" s="280"/>
      <c r="B191" s="273"/>
      <c r="C191" s="109" t="s">
        <v>832</v>
      </c>
      <c r="D191" s="70" t="s">
        <v>832</v>
      </c>
      <c r="E191" s="70" t="s">
        <v>829</v>
      </c>
      <c r="F191" s="70" t="s">
        <v>829</v>
      </c>
      <c r="G191" s="74" t="s">
        <v>835</v>
      </c>
      <c r="H191" s="36"/>
      <c r="I191" s="71" t="s">
        <v>61</v>
      </c>
      <c r="J191" s="71"/>
      <c r="K191" s="4">
        <v>123</v>
      </c>
      <c r="L191" s="3" t="str">
        <f>VLOOKUP(K191,'GACETA 3'!$E$9:$F$75,2,0)</f>
        <v>Desarrollo Urbano</v>
      </c>
      <c r="M191" s="3" t="str">
        <f t="shared" si="2"/>
        <v>0202010106</v>
      </c>
      <c r="N191" s="3" t="str">
        <f>VLOOKUP(M191,GACETA!$A$1:$C$186,3,0)</f>
        <v>K</v>
      </c>
      <c r="O191" s="3" t="str">
        <f>VLOOKUP(M191,GACETA!$A$1:$C$186,2,0)</f>
        <v>Participación comunitaria para el mejoramiento urbano</v>
      </c>
      <c r="P191" s="251" t="s">
        <v>195</v>
      </c>
      <c r="Q191" s="251" t="s">
        <v>963</v>
      </c>
      <c r="R191" s="71" t="s">
        <v>1074</v>
      </c>
      <c r="S191" s="7" t="s">
        <v>86</v>
      </c>
      <c r="T191" s="7" t="s">
        <v>1075</v>
      </c>
      <c r="U191" s="158"/>
    </row>
    <row r="192" spans="1:21" ht="45" x14ac:dyDescent="0.3">
      <c r="A192" s="280"/>
      <c r="B192" s="273"/>
      <c r="C192" s="109" t="s">
        <v>832</v>
      </c>
      <c r="D192" s="70" t="s">
        <v>832</v>
      </c>
      <c r="E192" s="70" t="s">
        <v>829</v>
      </c>
      <c r="F192" s="70" t="s">
        <v>829</v>
      </c>
      <c r="G192" s="74" t="s">
        <v>835</v>
      </c>
      <c r="H192" s="36"/>
      <c r="I192" s="71" t="s">
        <v>61</v>
      </c>
      <c r="J192" s="71"/>
      <c r="K192" s="4">
        <v>123</v>
      </c>
      <c r="L192" s="3" t="str">
        <f>VLOOKUP(K192,'GACETA 3'!$E$9:$F$75,2,0)</f>
        <v>Desarrollo Urbano</v>
      </c>
      <c r="M192" s="3" t="str">
        <f t="shared" si="2"/>
        <v>0202010106</v>
      </c>
      <c r="N192" s="3" t="str">
        <f>VLOOKUP(M192,GACETA!$A$1:$C$186,3,0)</f>
        <v>K</v>
      </c>
      <c r="O192" s="3" t="str">
        <f>VLOOKUP(M192,GACETA!$A$1:$C$186,2,0)</f>
        <v>Participación comunitaria para el mejoramiento urbano</v>
      </c>
      <c r="P192" s="252"/>
      <c r="Q192" s="252"/>
      <c r="R192" s="71" t="s">
        <v>1076</v>
      </c>
      <c r="S192" s="7" t="s">
        <v>86</v>
      </c>
      <c r="T192" s="7" t="s">
        <v>88</v>
      </c>
      <c r="U192" s="158"/>
    </row>
    <row r="193" spans="1:21" ht="27.75" customHeight="1" x14ac:dyDescent="0.3">
      <c r="A193" s="280"/>
      <c r="B193" s="273"/>
      <c r="C193" s="109" t="s">
        <v>832</v>
      </c>
      <c r="D193" s="70" t="s">
        <v>832</v>
      </c>
      <c r="E193" s="70" t="s">
        <v>829</v>
      </c>
      <c r="F193" s="70" t="s">
        <v>829</v>
      </c>
      <c r="G193" s="74" t="s">
        <v>835</v>
      </c>
      <c r="H193" s="70"/>
      <c r="I193" s="71" t="s">
        <v>61</v>
      </c>
      <c r="J193" s="71"/>
      <c r="K193" s="72">
        <v>123</v>
      </c>
      <c r="L193" s="3" t="str">
        <f>VLOOKUP(K193,'GACETA 3'!$E$9:$F$75,2,0)</f>
        <v>Desarrollo Urbano</v>
      </c>
      <c r="M193" s="3" t="str">
        <f t="shared" si="2"/>
        <v>0202010106</v>
      </c>
      <c r="N193" s="3" t="str">
        <f>VLOOKUP(M193,GACETA!$A$1:$C$186,3,0)</f>
        <v>K</v>
      </c>
      <c r="O193" s="3" t="str">
        <f>VLOOKUP(M193,GACETA!$A$1:$C$186,2,0)</f>
        <v>Participación comunitaria para el mejoramiento urbano</v>
      </c>
      <c r="P193" s="313"/>
      <c r="Q193" s="313"/>
      <c r="R193" s="71" t="s">
        <v>1077</v>
      </c>
      <c r="S193" s="71" t="s">
        <v>1073</v>
      </c>
      <c r="T193" s="71" t="s">
        <v>1078</v>
      </c>
      <c r="U193" s="158"/>
    </row>
    <row r="194" spans="1:21" ht="33.75" customHeight="1" x14ac:dyDescent="0.3">
      <c r="A194" s="280"/>
      <c r="B194" s="273"/>
      <c r="C194" s="33" t="s">
        <v>832</v>
      </c>
      <c r="D194" s="35" t="s">
        <v>832</v>
      </c>
      <c r="E194" s="35" t="s">
        <v>833</v>
      </c>
      <c r="F194" s="35" t="s">
        <v>829</v>
      </c>
      <c r="G194" s="74" t="s">
        <v>836</v>
      </c>
      <c r="H194" s="35"/>
      <c r="I194" s="2" t="s">
        <v>61</v>
      </c>
      <c r="J194" s="2"/>
      <c r="K194" s="4">
        <v>123</v>
      </c>
      <c r="L194" s="3" t="str">
        <f>VLOOKUP(K194,'GACETA 3'!$E$9:$F$75,2,0)</f>
        <v>Desarrollo Urbano</v>
      </c>
      <c r="M194" s="3" t="str">
        <f t="shared" si="2"/>
        <v>0202050104</v>
      </c>
      <c r="N194" s="3" t="str">
        <f>VLOOKUP(M194,GACETA!$A$1:$C$186,3,0)</f>
        <v>E</v>
      </c>
      <c r="O194" s="3" t="str">
        <f>VLOOKUP(M194,GACETA!$A$1:$C$186,2,0)</f>
        <v>Regularización de predios</v>
      </c>
      <c r="P194" s="239" t="s">
        <v>477</v>
      </c>
      <c r="Q194" s="239" t="s">
        <v>478</v>
      </c>
      <c r="R194" s="71" t="s">
        <v>1079</v>
      </c>
      <c r="S194" s="71" t="s">
        <v>86</v>
      </c>
      <c r="T194" s="71" t="s">
        <v>169</v>
      </c>
      <c r="U194" s="158"/>
    </row>
    <row r="195" spans="1:21" ht="27.75" customHeight="1" x14ac:dyDescent="0.3">
      <c r="A195" s="280"/>
      <c r="B195" s="273"/>
      <c r="C195" s="33" t="s">
        <v>832</v>
      </c>
      <c r="D195" s="35" t="s">
        <v>832</v>
      </c>
      <c r="E195" s="35" t="s">
        <v>833</v>
      </c>
      <c r="F195" s="35" t="s">
        <v>829</v>
      </c>
      <c r="G195" s="74" t="s">
        <v>836</v>
      </c>
      <c r="H195" s="35"/>
      <c r="I195" s="2" t="s">
        <v>61</v>
      </c>
      <c r="J195" s="2"/>
      <c r="K195" s="4">
        <v>123</v>
      </c>
      <c r="L195" s="3" t="str">
        <f>VLOOKUP(K195,'GACETA 3'!$E$9:$F$75,2,0)</f>
        <v>Desarrollo Urbano</v>
      </c>
      <c r="M195" s="3" t="str">
        <f t="shared" ref="M195:M258" si="3">CONCATENATE(C195,D195,E195,F195,G195)</f>
        <v>0202050104</v>
      </c>
      <c r="N195" s="3" t="str">
        <f>VLOOKUP(M195,GACETA!$A$1:$C$186,3,0)</f>
        <v>E</v>
      </c>
      <c r="O195" s="3" t="str">
        <f>VLOOKUP(M195,GACETA!$A$1:$C$186,2,0)</f>
        <v>Regularización de predios</v>
      </c>
      <c r="P195" s="243"/>
      <c r="Q195" s="243"/>
      <c r="R195" s="71" t="s">
        <v>1080</v>
      </c>
      <c r="S195" s="71" t="s">
        <v>86</v>
      </c>
      <c r="T195" s="71" t="s">
        <v>130</v>
      </c>
      <c r="U195" s="158"/>
    </row>
    <row r="196" spans="1:21" ht="30" x14ac:dyDescent="0.3">
      <c r="A196" s="280"/>
      <c r="B196" s="273"/>
      <c r="C196" s="33" t="s">
        <v>832</v>
      </c>
      <c r="D196" s="35" t="s">
        <v>832</v>
      </c>
      <c r="E196" s="35" t="s">
        <v>833</v>
      </c>
      <c r="F196" s="35" t="s">
        <v>829</v>
      </c>
      <c r="G196" s="74" t="s">
        <v>836</v>
      </c>
      <c r="H196" s="35"/>
      <c r="I196" s="2" t="s">
        <v>61</v>
      </c>
      <c r="J196" s="2"/>
      <c r="K196" s="4">
        <v>123</v>
      </c>
      <c r="L196" s="3" t="str">
        <f>VLOOKUP(K196,'GACETA 3'!$E$9:$F$75,2,0)</f>
        <v>Desarrollo Urbano</v>
      </c>
      <c r="M196" s="3" t="str">
        <f t="shared" si="3"/>
        <v>0202050104</v>
      </c>
      <c r="N196" s="3" t="str">
        <f>VLOOKUP(M196,GACETA!$A$1:$C$186,3,0)</f>
        <v>E</v>
      </c>
      <c r="O196" s="3" t="str">
        <f>VLOOKUP(M196,GACETA!$A$1:$C$186,2,0)</f>
        <v>Regularización de predios</v>
      </c>
      <c r="P196" s="240"/>
      <c r="Q196" s="240"/>
      <c r="R196" s="189" t="s">
        <v>1081</v>
      </c>
      <c r="S196" s="6" t="s">
        <v>86</v>
      </c>
      <c r="T196" s="6" t="s">
        <v>169</v>
      </c>
      <c r="U196" s="158"/>
    </row>
    <row r="197" spans="1:21" ht="30" x14ac:dyDescent="0.3">
      <c r="A197" s="280"/>
      <c r="B197" s="273"/>
      <c r="C197" s="33" t="s">
        <v>829</v>
      </c>
      <c r="D197" s="35" t="s">
        <v>834</v>
      </c>
      <c r="E197" s="35" t="s">
        <v>829</v>
      </c>
      <c r="F197" s="35" t="s">
        <v>830</v>
      </c>
      <c r="G197" s="74" t="s">
        <v>829</v>
      </c>
      <c r="H197" s="35"/>
      <c r="I197" s="2" t="s">
        <v>61</v>
      </c>
      <c r="J197" s="2"/>
      <c r="K197" s="4">
        <v>123</v>
      </c>
      <c r="L197" s="3" t="str">
        <f>VLOOKUP(K197,'GACETA 3'!$E$9:$F$75,2,0)</f>
        <v>Desarrollo Urbano</v>
      </c>
      <c r="M197" s="3" t="str">
        <f t="shared" si="3"/>
        <v>0108010301</v>
      </c>
      <c r="N197" s="3" t="str">
        <f>VLOOKUP(M197,GACETA!$A$1:$C$186,3,0)</f>
        <v>E</v>
      </c>
      <c r="O197" s="3" t="str">
        <f>VLOOKUP(M197,GACETA!$A$1:$C$186,2,0)</f>
        <v xml:space="preserve">Control de la función registral </v>
      </c>
      <c r="P197" s="275" t="s">
        <v>480</v>
      </c>
      <c r="Q197" s="254" t="s">
        <v>481</v>
      </c>
      <c r="R197" s="16" t="s">
        <v>482</v>
      </c>
      <c r="S197" s="6" t="s">
        <v>86</v>
      </c>
      <c r="T197" s="6" t="s">
        <v>483</v>
      </c>
      <c r="U197" s="158"/>
    </row>
    <row r="198" spans="1:21" ht="30" x14ac:dyDescent="0.3">
      <c r="A198" s="280"/>
      <c r="B198" s="273"/>
      <c r="C198" s="33" t="s">
        <v>829</v>
      </c>
      <c r="D198" s="35" t="s">
        <v>834</v>
      </c>
      <c r="E198" s="35" t="s">
        <v>829</v>
      </c>
      <c r="F198" s="35" t="s">
        <v>830</v>
      </c>
      <c r="G198" s="74" t="s">
        <v>829</v>
      </c>
      <c r="H198" s="35"/>
      <c r="I198" s="2" t="s">
        <v>61</v>
      </c>
      <c r="J198" s="2"/>
      <c r="K198" s="4">
        <v>123</v>
      </c>
      <c r="L198" s="3" t="str">
        <f>VLOOKUP(K198,'GACETA 3'!$E$9:$F$75,2,0)</f>
        <v>Desarrollo Urbano</v>
      </c>
      <c r="M198" s="3" t="str">
        <f t="shared" si="3"/>
        <v>0108010301</v>
      </c>
      <c r="N198" s="3" t="str">
        <f>VLOOKUP(M198,GACETA!$A$1:$C$186,3,0)</f>
        <v>E</v>
      </c>
      <c r="O198" s="3" t="str">
        <f>VLOOKUP(M198,GACETA!$A$1:$C$186,2,0)</f>
        <v xml:space="preserve">Control de la función registral </v>
      </c>
      <c r="P198" s="275"/>
      <c r="Q198" s="254"/>
      <c r="R198" s="16" t="s">
        <v>1082</v>
      </c>
      <c r="S198" s="6" t="s">
        <v>86</v>
      </c>
      <c r="T198" s="6" t="s">
        <v>169</v>
      </c>
      <c r="U198" s="158"/>
    </row>
    <row r="199" spans="1:21" ht="30" x14ac:dyDescent="0.3">
      <c r="A199" s="281"/>
      <c r="B199" s="274"/>
      <c r="C199" s="33" t="s">
        <v>829</v>
      </c>
      <c r="D199" s="35" t="s">
        <v>834</v>
      </c>
      <c r="E199" s="35" t="s">
        <v>829</v>
      </c>
      <c r="F199" s="35" t="s">
        <v>830</v>
      </c>
      <c r="G199" s="74" t="s">
        <v>829</v>
      </c>
      <c r="H199" s="35"/>
      <c r="I199" s="2" t="s">
        <v>61</v>
      </c>
      <c r="J199" s="2"/>
      <c r="K199" s="4">
        <v>123</v>
      </c>
      <c r="L199" s="3" t="str">
        <f>VLOOKUP(K199,'GACETA 3'!$E$9:$F$75,2,0)</f>
        <v>Desarrollo Urbano</v>
      </c>
      <c r="M199" s="3" t="str">
        <f t="shared" si="3"/>
        <v>0108010301</v>
      </c>
      <c r="N199" s="3" t="str">
        <f>VLOOKUP(M199,GACETA!$A$1:$C$186,3,0)</f>
        <v>E</v>
      </c>
      <c r="O199" s="3" t="str">
        <f>VLOOKUP(M199,GACETA!$A$1:$C$186,2,0)</f>
        <v xml:space="preserve">Control de la función registral </v>
      </c>
      <c r="P199" s="275"/>
      <c r="Q199" s="254"/>
      <c r="R199" s="16" t="s">
        <v>1083</v>
      </c>
      <c r="S199" s="6" t="s">
        <v>86</v>
      </c>
      <c r="T199" s="6" t="s">
        <v>414</v>
      </c>
      <c r="U199" s="158"/>
    </row>
    <row r="200" spans="1:21" ht="60" x14ac:dyDescent="0.3">
      <c r="A200" s="294"/>
      <c r="B200" s="265" t="s">
        <v>1229</v>
      </c>
      <c r="C200" s="109" t="s">
        <v>832</v>
      </c>
      <c r="D200" s="39" t="s">
        <v>829</v>
      </c>
      <c r="E200" s="39" t="s">
        <v>836</v>
      </c>
      <c r="F200" s="39" t="s">
        <v>829</v>
      </c>
      <c r="G200" s="74" t="s">
        <v>831</v>
      </c>
      <c r="H200" s="39"/>
      <c r="I200" s="8" t="s">
        <v>55</v>
      </c>
      <c r="J200" s="8"/>
      <c r="K200" s="111">
        <v>160</v>
      </c>
      <c r="L200" s="3" t="str">
        <f>VLOOKUP(K200,'GACETA 3'!$E$9:$F$75,2,0)</f>
        <v>Prevención y Control Ambiental</v>
      </c>
      <c r="M200" s="3" t="str">
        <f t="shared" si="3"/>
        <v>0201040109</v>
      </c>
      <c r="N200" s="3" t="str">
        <f>VLOOKUP(M200,GACETA!$A$1:$C$186,3,0)</f>
        <v>V</v>
      </c>
      <c r="O200" s="3" t="str">
        <f>VLOOKUP(M200,GACETA!$A$1:$C$186,2,0)</f>
        <v>Concertación y participación ciudadana para la protección del ambiente</v>
      </c>
      <c r="P200" s="8" t="s">
        <v>1085</v>
      </c>
      <c r="Q200" s="110" t="s">
        <v>241</v>
      </c>
      <c r="R200" s="189" t="s">
        <v>1230</v>
      </c>
      <c r="S200" s="7" t="s">
        <v>86</v>
      </c>
      <c r="T200" s="7" t="s">
        <v>1231</v>
      </c>
      <c r="U200" s="158"/>
    </row>
    <row r="201" spans="1:21" ht="51.75" customHeight="1" x14ac:dyDescent="0.3">
      <c r="A201" s="294"/>
      <c r="B201" s="265"/>
      <c r="C201" s="33" t="s">
        <v>832</v>
      </c>
      <c r="D201" s="39" t="s">
        <v>829</v>
      </c>
      <c r="E201" s="39" t="s">
        <v>833</v>
      </c>
      <c r="F201" s="39" t="s">
        <v>829</v>
      </c>
      <c r="G201" s="74" t="s">
        <v>829</v>
      </c>
      <c r="H201" s="39"/>
      <c r="I201" s="1" t="s">
        <v>55</v>
      </c>
      <c r="J201" s="1"/>
      <c r="K201" s="111">
        <v>160</v>
      </c>
      <c r="L201" s="3" t="str">
        <f>VLOOKUP(K201,'GACETA 3'!$E$9:$F$75,2,0)</f>
        <v>Prevención y Control Ambiental</v>
      </c>
      <c r="M201" s="3" t="str">
        <f t="shared" si="3"/>
        <v>0201050101</v>
      </c>
      <c r="N201" s="3" t="str">
        <f>VLOOKUP(M201,GACETA!$A$1:$C$186,3,0)</f>
        <v>F</v>
      </c>
      <c r="O201" s="3" t="str">
        <f>VLOOKUP(M201,GACETA!$A$1:$C$186,2,0)</f>
        <v>Promoción y difusión de parques recreativos</v>
      </c>
      <c r="P201" s="258" t="s">
        <v>256</v>
      </c>
      <c r="Q201" s="110" t="s">
        <v>1232</v>
      </c>
      <c r="R201" s="149" t="s">
        <v>1237</v>
      </c>
      <c r="S201" s="7" t="s">
        <v>86</v>
      </c>
      <c r="T201" s="7" t="s">
        <v>297</v>
      </c>
      <c r="U201" s="158"/>
    </row>
    <row r="202" spans="1:21" ht="34.5" customHeight="1" x14ac:dyDescent="0.3">
      <c r="A202" s="294"/>
      <c r="B202" s="265"/>
      <c r="C202" s="33" t="s">
        <v>832</v>
      </c>
      <c r="D202" s="39" t="s">
        <v>829</v>
      </c>
      <c r="E202" s="39" t="s">
        <v>833</v>
      </c>
      <c r="F202" s="39" t="s">
        <v>829</v>
      </c>
      <c r="G202" s="74" t="s">
        <v>832</v>
      </c>
      <c r="H202" s="39"/>
      <c r="I202" s="1" t="s">
        <v>55</v>
      </c>
      <c r="J202" s="1"/>
      <c r="K202" s="111">
        <v>160</v>
      </c>
      <c r="L202" s="3" t="str">
        <f>VLOOKUP(K202,'GACETA 3'!$E$9:$F$75,2,0)</f>
        <v>Prevención y Control Ambiental</v>
      </c>
      <c r="M202" s="3" t="str">
        <f t="shared" si="3"/>
        <v>0201050102</v>
      </c>
      <c r="N202" s="3" t="str">
        <f>VLOOKUP(M202,GACETA!$A$1:$C$186,3,0)</f>
        <v>V</v>
      </c>
      <c r="O202" s="3" t="str">
        <f>VLOOKUP(M202,GACETA!$A$1:$C$186,2,0)</f>
        <v>Conservación ecológica sostenible y protección de la flora y fauna</v>
      </c>
      <c r="P202" s="258"/>
      <c r="Q202" s="278" t="s">
        <v>259</v>
      </c>
      <c r="R202" s="149" t="s">
        <v>1233</v>
      </c>
      <c r="S202" s="7" t="s">
        <v>86</v>
      </c>
      <c r="T202" s="7" t="s">
        <v>1236</v>
      </c>
      <c r="U202" s="158"/>
    </row>
    <row r="203" spans="1:21" ht="60" x14ac:dyDescent="0.3">
      <c r="A203" s="294"/>
      <c r="B203" s="265"/>
      <c r="C203" s="33" t="s">
        <v>832</v>
      </c>
      <c r="D203" s="39" t="s">
        <v>829</v>
      </c>
      <c r="E203" s="39" t="s">
        <v>833</v>
      </c>
      <c r="F203" s="39" t="s">
        <v>829</v>
      </c>
      <c r="G203" s="74" t="s">
        <v>832</v>
      </c>
      <c r="H203" s="39"/>
      <c r="I203" s="1" t="s">
        <v>55</v>
      </c>
      <c r="J203" s="1"/>
      <c r="K203" s="111">
        <v>160</v>
      </c>
      <c r="L203" s="3" t="str">
        <f>VLOOKUP(K203,'GACETA 3'!$E$9:$F$75,2,0)</f>
        <v>Prevención y Control Ambiental</v>
      </c>
      <c r="M203" s="3" t="str">
        <f t="shared" si="3"/>
        <v>0201050102</v>
      </c>
      <c r="N203" s="3" t="str">
        <f>VLOOKUP(M203,GACETA!$A$1:$C$186,3,0)</f>
        <v>V</v>
      </c>
      <c r="O203" s="3" t="str">
        <f>VLOOKUP(M203,GACETA!$A$1:$C$186,2,0)</f>
        <v>Conservación ecológica sostenible y protección de la flora y fauna</v>
      </c>
      <c r="P203" s="258"/>
      <c r="Q203" s="278"/>
      <c r="R203" s="149" t="s">
        <v>1234</v>
      </c>
      <c r="S203" s="7" t="s">
        <v>86</v>
      </c>
      <c r="T203" s="7" t="s">
        <v>1235</v>
      </c>
      <c r="U203" s="158"/>
    </row>
    <row r="204" spans="1:21" ht="60" x14ac:dyDescent="0.3">
      <c r="A204" s="294"/>
      <c r="B204" s="265"/>
      <c r="C204" s="33" t="s">
        <v>830</v>
      </c>
      <c r="D204" s="39" t="s">
        <v>832</v>
      </c>
      <c r="E204" s="39" t="s">
        <v>832</v>
      </c>
      <c r="F204" s="39" t="s">
        <v>829</v>
      </c>
      <c r="G204" s="74" t="s">
        <v>830</v>
      </c>
      <c r="H204" s="39"/>
      <c r="I204" s="8" t="s">
        <v>55</v>
      </c>
      <c r="J204" s="8"/>
      <c r="K204" s="111">
        <v>160</v>
      </c>
      <c r="L204" s="3" t="str">
        <f>VLOOKUP(K204,'GACETA 3'!$E$9:$F$75,2,0)</f>
        <v>Prevención y Control Ambiental</v>
      </c>
      <c r="M204" s="3" t="str">
        <f t="shared" si="3"/>
        <v>0302020103</v>
      </c>
      <c r="N204" s="3" t="str">
        <f>VLOOKUP(M204,GACETA!$A$1:$C$186,3,0)</f>
        <v>V</v>
      </c>
      <c r="O204" s="3" t="str">
        <f>VLOOKUP(M204,GACETA!$A$1:$C$186,2,0)</f>
        <v>Reforestación y restauración forestal integral</v>
      </c>
      <c r="P204" s="86" t="s">
        <v>268</v>
      </c>
      <c r="Q204" s="140" t="s">
        <v>1084</v>
      </c>
      <c r="R204" s="189" t="s">
        <v>1238</v>
      </c>
      <c r="S204" s="7" t="s">
        <v>86</v>
      </c>
      <c r="T204" s="7" t="s">
        <v>1241</v>
      </c>
      <c r="U204" s="158"/>
    </row>
    <row r="205" spans="1:21" ht="60" x14ac:dyDescent="0.3">
      <c r="A205" s="294"/>
      <c r="B205" s="265"/>
      <c r="C205" s="33" t="s">
        <v>830</v>
      </c>
      <c r="D205" s="39" t="s">
        <v>832</v>
      </c>
      <c r="E205" s="39" t="s">
        <v>832</v>
      </c>
      <c r="F205" s="39" t="s">
        <v>829</v>
      </c>
      <c r="G205" s="74" t="s">
        <v>833</v>
      </c>
      <c r="H205" s="39"/>
      <c r="I205" s="8" t="s">
        <v>55</v>
      </c>
      <c r="J205" s="8"/>
      <c r="K205" s="111">
        <v>160</v>
      </c>
      <c r="L205" s="3" t="str">
        <f>VLOOKUP(K205,'GACETA 3'!$E$9:$F$75,2,0)</f>
        <v>Prevención y Control Ambiental</v>
      </c>
      <c r="M205" s="3" t="str">
        <f t="shared" si="3"/>
        <v>0302020105</v>
      </c>
      <c r="N205" s="3" t="str">
        <f>VLOOKUP(M205,GACETA!$A$1:$C$186,3,0)</f>
        <v>V</v>
      </c>
      <c r="O205" s="3" t="str">
        <f>VLOOKUP(M205,GACETA!$A$1:$C$186,2,0)</f>
        <v>Protección de los ecosistemas forestales</v>
      </c>
      <c r="P205" s="85"/>
      <c r="Q205" s="8" t="s">
        <v>1218</v>
      </c>
      <c r="R205" s="189" t="s">
        <v>1239</v>
      </c>
      <c r="S205" s="7" t="s">
        <v>86</v>
      </c>
      <c r="T205" s="7" t="s">
        <v>1240</v>
      </c>
      <c r="U205" s="158"/>
    </row>
    <row r="206" spans="1:21" ht="51.75" customHeight="1" x14ac:dyDescent="0.3">
      <c r="A206" s="263" t="s">
        <v>61</v>
      </c>
      <c r="B206" s="289" t="s">
        <v>712</v>
      </c>
      <c r="C206" s="33" t="s">
        <v>832</v>
      </c>
      <c r="D206" s="35" t="s">
        <v>829</v>
      </c>
      <c r="E206" s="35" t="s">
        <v>830</v>
      </c>
      <c r="F206" s="35" t="s">
        <v>829</v>
      </c>
      <c r="G206" s="74" t="s">
        <v>829</v>
      </c>
      <c r="H206" s="35"/>
      <c r="I206" s="5" t="s">
        <v>61</v>
      </c>
      <c r="J206" s="5"/>
      <c r="K206" s="10">
        <v>124</v>
      </c>
      <c r="L206" s="3" t="str">
        <f>VLOOKUP(K206,'GACETA 3'!$E$9:$F$75,2,0)</f>
        <v>Obras Públicas</v>
      </c>
      <c r="M206" s="3" t="str">
        <f t="shared" si="3"/>
        <v>0201030101</v>
      </c>
      <c r="N206" s="3" t="str">
        <f>VLOOKUP(M206,GACETA!$A$1:$C$186,3,0)</f>
        <v>K</v>
      </c>
      <c r="O206" s="3" t="str">
        <f>VLOOKUP(M206,GACETA!$A$1:$C$186,2,0)</f>
        <v>Construcción de infraestructura para drenaje y alcantarillado</v>
      </c>
      <c r="P206" s="239" t="s">
        <v>191</v>
      </c>
      <c r="Q206" s="239" t="s">
        <v>192</v>
      </c>
      <c r="R206" s="147" t="s">
        <v>1089</v>
      </c>
      <c r="S206" s="7" t="s">
        <v>86</v>
      </c>
      <c r="T206" s="7" t="s">
        <v>194</v>
      </c>
    </row>
    <row r="207" spans="1:21" ht="45" x14ac:dyDescent="0.3">
      <c r="A207" s="263"/>
      <c r="B207" s="289"/>
      <c r="C207" s="33" t="s">
        <v>832</v>
      </c>
      <c r="D207" s="35" t="s">
        <v>829</v>
      </c>
      <c r="E207" s="35" t="s">
        <v>830</v>
      </c>
      <c r="F207" s="35" t="s">
        <v>829</v>
      </c>
      <c r="G207" s="74" t="s">
        <v>829</v>
      </c>
      <c r="H207" s="35"/>
      <c r="I207" s="5" t="s">
        <v>61</v>
      </c>
      <c r="J207" s="5"/>
      <c r="K207" s="10">
        <v>124</v>
      </c>
      <c r="L207" s="3" t="str">
        <f>VLOOKUP(K207,'GACETA 3'!$E$9:$F$75,2,0)</f>
        <v>Obras Públicas</v>
      </c>
      <c r="M207" s="3" t="str">
        <f t="shared" si="3"/>
        <v>0201030101</v>
      </c>
      <c r="N207" s="3" t="str">
        <f>VLOOKUP(M207,GACETA!$A$1:$C$186,3,0)</f>
        <v>K</v>
      </c>
      <c r="O207" s="3" t="str">
        <f>VLOOKUP(M207,GACETA!$A$1:$C$186,2,0)</f>
        <v>Construcción de infraestructura para drenaje y alcantarillado</v>
      </c>
      <c r="P207" s="243"/>
      <c r="Q207" s="243"/>
      <c r="R207" s="147" t="s">
        <v>1090</v>
      </c>
      <c r="S207" s="7" t="s">
        <v>86</v>
      </c>
      <c r="T207" s="7" t="s">
        <v>1088</v>
      </c>
    </row>
    <row r="208" spans="1:21" ht="45" x14ac:dyDescent="0.3">
      <c r="A208" s="263"/>
      <c r="B208" s="289"/>
      <c r="C208" s="33" t="s">
        <v>832</v>
      </c>
      <c r="D208" s="35" t="s">
        <v>829</v>
      </c>
      <c r="E208" s="35" t="s">
        <v>830</v>
      </c>
      <c r="F208" s="35" t="s">
        <v>829</v>
      </c>
      <c r="G208" s="74" t="s">
        <v>829</v>
      </c>
      <c r="H208" s="35"/>
      <c r="I208" s="5" t="s">
        <v>61</v>
      </c>
      <c r="J208" s="5"/>
      <c r="K208" s="10">
        <v>124</v>
      </c>
      <c r="L208" s="3" t="str">
        <f>VLOOKUP(K208,'GACETA 3'!$E$9:$F$75,2,0)</f>
        <v>Obras Públicas</v>
      </c>
      <c r="M208" s="3" t="str">
        <f t="shared" si="3"/>
        <v>0201030101</v>
      </c>
      <c r="N208" s="3" t="str">
        <f>VLOOKUP(M208,GACETA!$A$1:$C$186,3,0)</f>
        <v>K</v>
      </c>
      <c r="O208" s="3" t="str">
        <f>VLOOKUP(M208,GACETA!$A$1:$C$186,2,0)</f>
        <v>Construcción de infraestructura para drenaje y alcantarillado</v>
      </c>
      <c r="P208" s="240"/>
      <c r="Q208" s="240"/>
      <c r="R208" s="147" t="s">
        <v>1091</v>
      </c>
      <c r="S208" s="7" t="s">
        <v>86</v>
      </c>
      <c r="T208" s="7" t="s">
        <v>194</v>
      </c>
    </row>
    <row r="209" spans="1:21" ht="30" x14ac:dyDescent="0.3">
      <c r="A209" s="263"/>
      <c r="B209" s="289"/>
      <c r="C209" s="33" t="s">
        <v>832</v>
      </c>
      <c r="D209" s="35" t="s">
        <v>832</v>
      </c>
      <c r="E209" s="35" t="s">
        <v>829</v>
      </c>
      <c r="F209" s="35" t="s">
        <v>829</v>
      </c>
      <c r="G209" s="74" t="s">
        <v>831</v>
      </c>
      <c r="H209" s="35"/>
      <c r="I209" s="5" t="s">
        <v>61</v>
      </c>
      <c r="J209" s="5"/>
      <c r="K209" s="10">
        <v>124</v>
      </c>
      <c r="L209" s="3" t="str">
        <f>VLOOKUP(K209,'GACETA 3'!$E$9:$F$75,2,0)</f>
        <v>Obras Públicas</v>
      </c>
      <c r="M209" s="3" t="str">
        <f t="shared" si="3"/>
        <v>0202010109</v>
      </c>
      <c r="N209" s="3" t="str">
        <f>VLOOKUP(M209,GACETA!$A$1:$C$186,3,0)</f>
        <v>K</v>
      </c>
      <c r="O209" s="3" t="str">
        <f>VLOOKUP(M209,GACETA!$A$1:$C$186,2,0)</f>
        <v>Construcción de vialidades urbanas</v>
      </c>
      <c r="P209" s="254" t="s">
        <v>195</v>
      </c>
      <c r="Q209" s="254" t="s">
        <v>1092</v>
      </c>
      <c r="R209" s="149" t="s">
        <v>1188</v>
      </c>
      <c r="S209" s="7" t="s">
        <v>86</v>
      </c>
      <c r="T209" s="7" t="s">
        <v>200</v>
      </c>
      <c r="U209" s="158"/>
    </row>
    <row r="210" spans="1:21" ht="30" x14ac:dyDescent="0.3">
      <c r="A210" s="263"/>
      <c r="B210" s="289"/>
      <c r="C210" s="33" t="s">
        <v>832</v>
      </c>
      <c r="D210" s="35" t="s">
        <v>832</v>
      </c>
      <c r="E210" s="35" t="s">
        <v>829</v>
      </c>
      <c r="F210" s="35" t="s">
        <v>829</v>
      </c>
      <c r="G210" s="74" t="s">
        <v>831</v>
      </c>
      <c r="H210" s="35"/>
      <c r="I210" s="5" t="s">
        <v>61</v>
      </c>
      <c r="J210" s="5"/>
      <c r="K210" s="10">
        <v>124</v>
      </c>
      <c r="L210" s="3" t="str">
        <f>VLOOKUP(K210,'GACETA 3'!$E$9:$F$75,2,0)</f>
        <v>Obras Públicas</v>
      </c>
      <c r="M210" s="3" t="str">
        <f t="shared" si="3"/>
        <v>0202010109</v>
      </c>
      <c r="N210" s="3" t="str">
        <f>VLOOKUP(M210,GACETA!$A$1:$C$186,3,0)</f>
        <v>K</v>
      </c>
      <c r="O210" s="3" t="str">
        <f>VLOOKUP(M210,GACETA!$A$1:$C$186,2,0)</f>
        <v>Construcción de vialidades urbanas</v>
      </c>
      <c r="P210" s="254"/>
      <c r="Q210" s="254"/>
      <c r="R210" s="149" t="s">
        <v>1189</v>
      </c>
      <c r="S210" s="7" t="s">
        <v>86</v>
      </c>
      <c r="T210" s="7" t="s">
        <v>197</v>
      </c>
      <c r="U210" s="158"/>
    </row>
    <row r="211" spans="1:21" ht="30" x14ac:dyDescent="0.3">
      <c r="A211" s="263"/>
      <c r="B211" s="289"/>
      <c r="C211" s="33" t="s">
        <v>832</v>
      </c>
      <c r="D211" s="35" t="s">
        <v>832</v>
      </c>
      <c r="E211" s="35" t="s">
        <v>829</v>
      </c>
      <c r="F211" s="35" t="s">
        <v>829</v>
      </c>
      <c r="G211" s="74" t="s">
        <v>831</v>
      </c>
      <c r="H211" s="35"/>
      <c r="I211" s="5" t="s">
        <v>61</v>
      </c>
      <c r="J211" s="5"/>
      <c r="K211" s="10">
        <v>124</v>
      </c>
      <c r="L211" s="3" t="str">
        <f>VLOOKUP(K211,'GACETA 3'!$E$9:$F$75,2,0)</f>
        <v>Obras Públicas</v>
      </c>
      <c r="M211" s="3" t="str">
        <f t="shared" si="3"/>
        <v>0202010109</v>
      </c>
      <c r="N211" s="3" t="str">
        <f>VLOOKUP(M211,GACETA!$A$1:$C$186,3,0)</f>
        <v>K</v>
      </c>
      <c r="O211" s="3" t="str">
        <f>VLOOKUP(M211,GACETA!$A$1:$C$186,2,0)</f>
        <v>Construcción de vialidades urbanas</v>
      </c>
      <c r="P211" s="254"/>
      <c r="Q211" s="254"/>
      <c r="R211" s="149" t="s">
        <v>1187</v>
      </c>
      <c r="S211" s="7" t="s">
        <v>86</v>
      </c>
      <c r="T211" s="7" t="s">
        <v>197</v>
      </c>
      <c r="U211" s="158"/>
    </row>
    <row r="212" spans="1:21" ht="30" x14ac:dyDescent="0.3">
      <c r="A212" s="263"/>
      <c r="B212" s="289"/>
      <c r="C212" s="33" t="s">
        <v>832</v>
      </c>
      <c r="D212" s="35" t="s">
        <v>832</v>
      </c>
      <c r="E212" s="35" t="s">
        <v>829</v>
      </c>
      <c r="F212" s="35" t="s">
        <v>829</v>
      </c>
      <c r="G212" s="74" t="s">
        <v>831</v>
      </c>
      <c r="H212" s="35"/>
      <c r="I212" s="5" t="s">
        <v>61</v>
      </c>
      <c r="J212" s="5"/>
      <c r="K212" s="10">
        <v>124</v>
      </c>
      <c r="L212" s="3" t="str">
        <f>VLOOKUP(K212,'GACETA 3'!$E$9:$F$75,2,0)</f>
        <v>Obras Públicas</v>
      </c>
      <c r="M212" s="3" t="str">
        <f t="shared" si="3"/>
        <v>0202010109</v>
      </c>
      <c r="N212" s="3" t="str">
        <f>VLOOKUP(M212,GACETA!$A$1:$C$186,3,0)</f>
        <v>K</v>
      </c>
      <c r="O212" s="3" t="str">
        <f>VLOOKUP(M212,GACETA!$A$1:$C$186,2,0)</f>
        <v>Construcción de vialidades urbanas</v>
      </c>
      <c r="P212" s="254"/>
      <c r="Q212" s="254"/>
      <c r="R212" s="149" t="s">
        <v>1095</v>
      </c>
      <c r="S212" s="7" t="s">
        <v>86</v>
      </c>
      <c r="T212" s="7" t="s">
        <v>194</v>
      </c>
      <c r="U212" s="158"/>
    </row>
    <row r="213" spans="1:21" ht="30" x14ac:dyDescent="0.3">
      <c r="A213" s="263"/>
      <c r="B213" s="289"/>
      <c r="C213" s="33" t="s">
        <v>832</v>
      </c>
      <c r="D213" s="35" t="s">
        <v>832</v>
      </c>
      <c r="E213" s="35" t="s">
        <v>829</v>
      </c>
      <c r="F213" s="35" t="s">
        <v>829</v>
      </c>
      <c r="G213" s="74" t="s">
        <v>969</v>
      </c>
      <c r="H213" s="35"/>
      <c r="I213" s="5" t="s">
        <v>61</v>
      </c>
      <c r="J213" s="5"/>
      <c r="K213" s="10">
        <v>124</v>
      </c>
      <c r="L213" s="3" t="str">
        <f>VLOOKUP(K213,'GACETA 3'!$E$9:$F$75,2,0)</f>
        <v>Obras Públicas</v>
      </c>
      <c r="M213" s="3" t="str">
        <f t="shared" si="3"/>
        <v>0202010110</v>
      </c>
      <c r="N213" s="3" t="str">
        <f>VLOOKUP(M213,GACETA!$A$1:$C$186,3,0)</f>
        <v>K</v>
      </c>
      <c r="O213" s="3" t="str">
        <f>VLOOKUP(M213,GACETA!$A$1:$C$186,2,0)</f>
        <v>Rehabilitación de vialidades urbanas</v>
      </c>
      <c r="P213" s="254"/>
      <c r="Q213" s="254" t="s">
        <v>275</v>
      </c>
      <c r="R213" s="149" t="s">
        <v>1096</v>
      </c>
      <c r="S213" s="7" t="s">
        <v>199</v>
      </c>
      <c r="T213" s="7" t="s">
        <v>197</v>
      </c>
      <c r="U213" s="158"/>
    </row>
    <row r="214" spans="1:21" ht="30" x14ac:dyDescent="0.3">
      <c r="A214" s="263"/>
      <c r="B214" s="289"/>
      <c r="C214" s="33" t="s">
        <v>832</v>
      </c>
      <c r="D214" s="35" t="s">
        <v>832</v>
      </c>
      <c r="E214" s="35" t="s">
        <v>829</v>
      </c>
      <c r="F214" s="35" t="s">
        <v>829</v>
      </c>
      <c r="G214" s="74" t="s">
        <v>969</v>
      </c>
      <c r="H214" s="35"/>
      <c r="I214" s="5" t="s">
        <v>61</v>
      </c>
      <c r="J214" s="5"/>
      <c r="K214" s="10">
        <v>124</v>
      </c>
      <c r="L214" s="3" t="str">
        <f>VLOOKUP(K214,'GACETA 3'!$E$9:$F$75,2,0)</f>
        <v>Obras Públicas</v>
      </c>
      <c r="M214" s="3" t="str">
        <f t="shared" si="3"/>
        <v>0202010110</v>
      </c>
      <c r="N214" s="3" t="str">
        <f>VLOOKUP(M214,GACETA!$A$1:$C$186,3,0)</f>
        <v>K</v>
      </c>
      <c r="O214" s="3" t="str">
        <f>VLOOKUP(M214,GACETA!$A$1:$C$186,2,0)</f>
        <v>Rehabilitación de vialidades urbanas</v>
      </c>
      <c r="P214" s="254"/>
      <c r="Q214" s="254"/>
      <c r="R214" s="149" t="s">
        <v>1097</v>
      </c>
      <c r="S214" s="7" t="s">
        <v>199</v>
      </c>
      <c r="T214" s="7" t="s">
        <v>194</v>
      </c>
      <c r="U214" s="158"/>
    </row>
    <row r="215" spans="1:21" ht="28.5" customHeight="1" x14ac:dyDescent="0.3">
      <c r="A215" s="263"/>
      <c r="B215" s="289"/>
      <c r="C215" s="33" t="s">
        <v>832</v>
      </c>
      <c r="D215" s="35" t="s">
        <v>832</v>
      </c>
      <c r="E215" s="35" t="s">
        <v>829</v>
      </c>
      <c r="F215" s="35" t="s">
        <v>829</v>
      </c>
      <c r="G215" s="74" t="s">
        <v>970</v>
      </c>
      <c r="H215" s="35"/>
      <c r="I215" s="5" t="s">
        <v>61</v>
      </c>
      <c r="J215" s="5"/>
      <c r="K215" s="10">
        <v>124</v>
      </c>
      <c r="L215" s="3" t="str">
        <f>VLOOKUP(K215,'GACETA 3'!$E$9:$F$75,2,0)</f>
        <v>Obras Públicas</v>
      </c>
      <c r="M215" s="3" t="str">
        <f t="shared" si="3"/>
        <v>0202010111</v>
      </c>
      <c r="N215" s="3" t="str">
        <f>VLOOKUP(M215,GACETA!$A$1:$C$186,3,0)</f>
        <v>K</v>
      </c>
      <c r="O215" s="3" t="str">
        <f>VLOOKUP(M215,GACETA!$A$1:$C$186,2,0)</f>
        <v>Equipamiento de vialidades urbanas</v>
      </c>
      <c r="P215" s="254"/>
      <c r="Q215" s="239" t="s">
        <v>206</v>
      </c>
      <c r="R215" s="149" t="s">
        <v>1098</v>
      </c>
      <c r="S215" s="7" t="s">
        <v>86</v>
      </c>
      <c r="T215" s="7" t="s">
        <v>1100</v>
      </c>
      <c r="U215" s="158"/>
    </row>
    <row r="216" spans="1:21" ht="33.75" customHeight="1" x14ac:dyDescent="0.3">
      <c r="A216" s="263"/>
      <c r="B216" s="289"/>
      <c r="C216" s="33" t="s">
        <v>832</v>
      </c>
      <c r="D216" s="35" t="s">
        <v>832</v>
      </c>
      <c r="E216" s="35" t="s">
        <v>829</v>
      </c>
      <c r="F216" s="35" t="s">
        <v>829</v>
      </c>
      <c r="G216" s="74" t="s">
        <v>970</v>
      </c>
      <c r="H216" s="35"/>
      <c r="I216" s="5" t="s">
        <v>61</v>
      </c>
      <c r="J216" s="5"/>
      <c r="K216" s="10">
        <v>124</v>
      </c>
      <c r="L216" s="3" t="str">
        <f>VLOOKUP(K216,'GACETA 3'!$E$9:$F$75,2,0)</f>
        <v>Obras Públicas</v>
      </c>
      <c r="M216" s="3" t="str">
        <f t="shared" si="3"/>
        <v>0202010111</v>
      </c>
      <c r="N216" s="3" t="str">
        <f>VLOOKUP(M216,GACETA!$A$1:$C$186,3,0)</f>
        <v>K</v>
      </c>
      <c r="O216" s="3" t="str">
        <f>VLOOKUP(M216,GACETA!$A$1:$C$186,2,0)</f>
        <v>Equipamiento de vialidades urbanas</v>
      </c>
      <c r="P216" s="254"/>
      <c r="Q216" s="240"/>
      <c r="R216" s="149" t="s">
        <v>1099</v>
      </c>
      <c r="S216" s="7" t="s">
        <v>86</v>
      </c>
      <c r="T216" s="7" t="s">
        <v>194</v>
      </c>
      <c r="U216" s="158"/>
    </row>
    <row r="217" spans="1:21" ht="30" x14ac:dyDescent="0.3">
      <c r="A217" s="263"/>
      <c r="B217" s="289"/>
      <c r="C217" s="33" t="s">
        <v>832</v>
      </c>
      <c r="D217" s="35" t="s">
        <v>832</v>
      </c>
      <c r="E217" s="35" t="s">
        <v>829</v>
      </c>
      <c r="F217" s="35" t="s">
        <v>829</v>
      </c>
      <c r="G217" s="74" t="s">
        <v>1094</v>
      </c>
      <c r="H217" s="35"/>
      <c r="I217" s="5" t="s">
        <v>61</v>
      </c>
      <c r="J217" s="5"/>
      <c r="K217" s="10">
        <v>124</v>
      </c>
      <c r="L217" s="3" t="str">
        <f>VLOOKUP(K217,'GACETA 3'!$E$9:$F$75,2,0)</f>
        <v>Obras Públicas</v>
      </c>
      <c r="M217" s="3" t="str">
        <f t="shared" si="3"/>
        <v>0202010112</v>
      </c>
      <c r="N217" s="3" t="str">
        <f>VLOOKUP(M217,GACETA!$A$1:$C$186,3,0)</f>
        <v>K</v>
      </c>
      <c r="O217" s="3" t="str">
        <f>VLOOKUP(M217,GACETA!$A$1:$C$186,2,0)</f>
        <v>Construcción y ampliación de edificaciones urbanas</v>
      </c>
      <c r="P217" s="254"/>
      <c r="Q217" s="239" t="s">
        <v>1093</v>
      </c>
      <c r="R217" s="149" t="s">
        <v>825</v>
      </c>
      <c r="S217" s="7" t="s">
        <v>86</v>
      </c>
      <c r="T217" s="7" t="s">
        <v>194</v>
      </c>
      <c r="U217" s="158"/>
    </row>
    <row r="218" spans="1:21" ht="30" x14ac:dyDescent="0.3">
      <c r="A218" s="263"/>
      <c r="B218" s="289"/>
      <c r="C218" s="33" t="s">
        <v>832</v>
      </c>
      <c r="D218" s="35" t="s">
        <v>832</v>
      </c>
      <c r="E218" s="35" t="s">
        <v>829</v>
      </c>
      <c r="F218" s="35" t="s">
        <v>829</v>
      </c>
      <c r="G218" s="74" t="s">
        <v>1094</v>
      </c>
      <c r="H218" s="35"/>
      <c r="I218" s="5" t="s">
        <v>61</v>
      </c>
      <c r="J218" s="5"/>
      <c r="K218" s="10">
        <v>124</v>
      </c>
      <c r="L218" s="3" t="str">
        <f>VLOOKUP(K218,'GACETA 3'!$E$9:$F$75,2,0)</f>
        <v>Obras Públicas</v>
      </c>
      <c r="M218" s="3" t="str">
        <f t="shared" si="3"/>
        <v>0202010112</v>
      </c>
      <c r="N218" s="3" t="str">
        <f>VLOOKUP(M218,GACETA!$A$1:$C$186,3,0)</f>
        <v>K</v>
      </c>
      <c r="O218" s="3" t="str">
        <f>VLOOKUP(M218,GACETA!$A$1:$C$186,2,0)</f>
        <v>Construcción y ampliación de edificaciones urbanas</v>
      </c>
      <c r="P218" s="254"/>
      <c r="Q218" s="243"/>
      <c r="R218" s="101" t="s">
        <v>1101</v>
      </c>
      <c r="S218" s="7" t="s">
        <v>86</v>
      </c>
      <c r="T218" s="7" t="s">
        <v>197</v>
      </c>
      <c r="U218" s="158"/>
    </row>
    <row r="219" spans="1:21" ht="30" x14ac:dyDescent="0.3">
      <c r="A219" s="263"/>
      <c r="B219" s="289"/>
      <c r="C219" s="33" t="s">
        <v>832</v>
      </c>
      <c r="D219" s="35" t="s">
        <v>832</v>
      </c>
      <c r="E219" s="35" t="s">
        <v>829</v>
      </c>
      <c r="F219" s="35" t="s">
        <v>829</v>
      </c>
      <c r="G219" s="74" t="s">
        <v>1094</v>
      </c>
      <c r="H219" s="35"/>
      <c r="I219" s="5" t="s">
        <v>61</v>
      </c>
      <c r="J219" s="5"/>
      <c r="K219" s="10">
        <v>124</v>
      </c>
      <c r="L219" s="3" t="str">
        <f>VLOOKUP(K219,'GACETA 3'!$E$9:$F$75,2,0)</f>
        <v>Obras Públicas</v>
      </c>
      <c r="M219" s="3" t="str">
        <f t="shared" si="3"/>
        <v>0202010112</v>
      </c>
      <c r="N219" s="3" t="str">
        <f>VLOOKUP(M219,GACETA!$A$1:$C$186,3,0)</f>
        <v>K</v>
      </c>
      <c r="O219" s="3" t="str">
        <f>VLOOKUP(M219,GACETA!$A$1:$C$186,2,0)</f>
        <v>Construcción y ampliación de edificaciones urbanas</v>
      </c>
      <c r="P219" s="254"/>
      <c r="Q219" s="240"/>
      <c r="R219" s="149" t="s">
        <v>1102</v>
      </c>
      <c r="S219" s="7" t="s">
        <v>86</v>
      </c>
      <c r="T219" s="7" t="s">
        <v>194</v>
      </c>
      <c r="U219" s="158"/>
    </row>
    <row r="220" spans="1:21" ht="30" x14ac:dyDescent="0.3">
      <c r="A220" s="263"/>
      <c r="B220" s="289"/>
      <c r="C220" s="33" t="s">
        <v>832</v>
      </c>
      <c r="D220" s="35" t="s">
        <v>832</v>
      </c>
      <c r="E220" s="35" t="s">
        <v>829</v>
      </c>
      <c r="F220" s="35" t="s">
        <v>829</v>
      </c>
      <c r="G220" s="74" t="s">
        <v>1086</v>
      </c>
      <c r="H220" s="35"/>
      <c r="I220" s="5" t="s">
        <v>61</v>
      </c>
      <c r="J220" s="5"/>
      <c r="K220" s="10">
        <v>124</v>
      </c>
      <c r="L220" s="3" t="str">
        <f>VLOOKUP(K220,'GACETA 3'!$E$9:$F$75,2,0)</f>
        <v>Obras Públicas</v>
      </c>
      <c r="M220" s="3" t="str">
        <f t="shared" si="3"/>
        <v>0202010113</v>
      </c>
      <c r="N220" s="3" t="str">
        <f>VLOOKUP(M220,GACETA!$A$1:$C$186,3,0)</f>
        <v>K</v>
      </c>
      <c r="O220" s="3" t="str">
        <f>VLOOKUP(M220,GACETA!$A$1:$C$186,2,0)</f>
        <v>Rehabilitación de edificaciones urbanas</v>
      </c>
      <c r="P220" s="254"/>
      <c r="Q220" s="239" t="s">
        <v>204</v>
      </c>
      <c r="R220" s="149" t="s">
        <v>204</v>
      </c>
      <c r="S220" s="7" t="s">
        <v>86</v>
      </c>
      <c r="T220" s="7" t="s">
        <v>194</v>
      </c>
      <c r="U220" s="158"/>
    </row>
    <row r="221" spans="1:21" ht="30" x14ac:dyDescent="0.3">
      <c r="A221" s="263"/>
      <c r="B221" s="289"/>
      <c r="C221" s="33" t="s">
        <v>832</v>
      </c>
      <c r="D221" s="35" t="s">
        <v>832</v>
      </c>
      <c r="E221" s="35" t="s">
        <v>829</v>
      </c>
      <c r="F221" s="35" t="s">
        <v>829</v>
      </c>
      <c r="G221" s="74" t="s">
        <v>1086</v>
      </c>
      <c r="H221" s="35"/>
      <c r="I221" s="5" t="s">
        <v>61</v>
      </c>
      <c r="J221" s="5"/>
      <c r="K221" s="10">
        <v>124</v>
      </c>
      <c r="L221" s="3" t="str">
        <f>VLOOKUP(K221,'GACETA 3'!$E$9:$F$75,2,0)</f>
        <v>Obras Públicas</v>
      </c>
      <c r="M221" s="3" t="str">
        <f t="shared" si="3"/>
        <v>0202010113</v>
      </c>
      <c r="N221" s="3" t="str">
        <f>VLOOKUP(M221,GACETA!$A$1:$C$186,3,0)</f>
        <v>K</v>
      </c>
      <c r="O221" s="3" t="str">
        <f>VLOOKUP(M221,GACETA!$A$1:$C$186,2,0)</f>
        <v>Rehabilitación de edificaciones urbanas</v>
      </c>
      <c r="P221" s="254"/>
      <c r="Q221" s="243"/>
      <c r="R221" s="101" t="s">
        <v>1101</v>
      </c>
      <c r="S221" s="7" t="s">
        <v>86</v>
      </c>
      <c r="T221" s="7" t="s">
        <v>197</v>
      </c>
      <c r="U221" s="158"/>
    </row>
    <row r="222" spans="1:21" ht="34.5" customHeight="1" x14ac:dyDescent="0.3">
      <c r="A222" s="263"/>
      <c r="B222" s="289"/>
      <c r="C222" s="33" t="s">
        <v>832</v>
      </c>
      <c r="D222" s="35" t="s">
        <v>832</v>
      </c>
      <c r="E222" s="35" t="s">
        <v>829</v>
      </c>
      <c r="F222" s="35" t="s">
        <v>829</v>
      </c>
      <c r="G222" s="74" t="s">
        <v>1086</v>
      </c>
      <c r="H222" s="35"/>
      <c r="I222" s="5" t="s">
        <v>61</v>
      </c>
      <c r="J222" s="5"/>
      <c r="K222" s="10">
        <v>124</v>
      </c>
      <c r="L222" s="3" t="str">
        <f>VLOOKUP(K222,'GACETA 3'!$E$9:$F$75,2,0)</f>
        <v>Obras Públicas</v>
      </c>
      <c r="M222" s="3" t="str">
        <f t="shared" si="3"/>
        <v>0202010113</v>
      </c>
      <c r="N222" s="3" t="str">
        <f>VLOOKUP(M222,GACETA!$A$1:$C$186,3,0)</f>
        <v>K</v>
      </c>
      <c r="O222" s="3" t="str">
        <f>VLOOKUP(M222,GACETA!$A$1:$C$186,2,0)</f>
        <v>Rehabilitación de edificaciones urbanas</v>
      </c>
      <c r="P222" s="254"/>
      <c r="Q222" s="240"/>
      <c r="R222" s="149" t="s">
        <v>1102</v>
      </c>
      <c r="S222" s="7" t="s">
        <v>86</v>
      </c>
      <c r="T222" s="7" t="s">
        <v>194</v>
      </c>
      <c r="U222" s="158"/>
    </row>
    <row r="223" spans="1:21" ht="45" x14ac:dyDescent="0.3">
      <c r="A223" s="263"/>
      <c r="B223" s="289"/>
      <c r="C223" s="33" t="s">
        <v>832</v>
      </c>
      <c r="D223" s="35" t="s">
        <v>832</v>
      </c>
      <c r="E223" s="35" t="s">
        <v>830</v>
      </c>
      <c r="F223" s="35" t="s">
        <v>829</v>
      </c>
      <c r="G223" s="74" t="s">
        <v>833</v>
      </c>
      <c r="H223" s="35"/>
      <c r="I223" s="5" t="s">
        <v>61</v>
      </c>
      <c r="J223" s="5"/>
      <c r="K223" s="10">
        <v>124</v>
      </c>
      <c r="L223" s="3" t="str">
        <f>VLOOKUP(K223,'GACETA 3'!$E$9:$F$75,2,0)</f>
        <v>Obras Públicas</v>
      </c>
      <c r="M223" s="3" t="str">
        <f t="shared" si="3"/>
        <v>0202030105</v>
      </c>
      <c r="N223" s="3" t="str">
        <f>VLOOKUP(M223,GACETA!$A$1:$C$186,3,0)</f>
        <v>K</v>
      </c>
      <c r="O223" s="3" t="str">
        <f>VLOOKUP(M223,GACETA!$A$1:$C$186,2,0)</f>
        <v>Construcción de infraestructura para agua potable</v>
      </c>
      <c r="P223" s="254" t="s">
        <v>209</v>
      </c>
      <c r="Q223" s="254" t="s">
        <v>210</v>
      </c>
      <c r="R223" s="147" t="s">
        <v>211</v>
      </c>
      <c r="S223" s="7" t="s">
        <v>86</v>
      </c>
      <c r="T223" s="7" t="s">
        <v>194</v>
      </c>
    </row>
    <row r="224" spans="1:21" ht="45" x14ac:dyDescent="0.3">
      <c r="A224" s="263"/>
      <c r="B224" s="289"/>
      <c r="C224" s="33" t="s">
        <v>832</v>
      </c>
      <c r="D224" s="35" t="s">
        <v>832</v>
      </c>
      <c r="E224" s="35" t="s">
        <v>830</v>
      </c>
      <c r="F224" s="35" t="s">
        <v>829</v>
      </c>
      <c r="G224" s="74" t="s">
        <v>833</v>
      </c>
      <c r="H224" s="35"/>
      <c r="I224" s="5" t="s">
        <v>61</v>
      </c>
      <c r="J224" s="5"/>
      <c r="K224" s="10">
        <v>124</v>
      </c>
      <c r="L224" s="3" t="str">
        <f>VLOOKUP(K224,'GACETA 3'!$E$9:$F$75,2,0)</f>
        <v>Obras Públicas</v>
      </c>
      <c r="M224" s="3" t="str">
        <f t="shared" si="3"/>
        <v>0202030105</v>
      </c>
      <c r="N224" s="3" t="str">
        <f>VLOOKUP(M224,GACETA!$A$1:$C$186,3,0)</f>
        <v>K</v>
      </c>
      <c r="O224" s="3" t="str">
        <f>VLOOKUP(M224,GACETA!$A$1:$C$186,2,0)</f>
        <v>Construcción de infraestructura para agua potable</v>
      </c>
      <c r="P224" s="254"/>
      <c r="Q224" s="254"/>
      <c r="R224" s="147" t="s">
        <v>1087</v>
      </c>
      <c r="S224" s="7" t="s">
        <v>86</v>
      </c>
      <c r="T224" s="7" t="s">
        <v>194</v>
      </c>
    </row>
    <row r="225" spans="1:20" ht="45" x14ac:dyDescent="0.3">
      <c r="A225" s="263"/>
      <c r="B225" s="289"/>
      <c r="C225" s="33" t="s">
        <v>832</v>
      </c>
      <c r="D225" s="35" t="s">
        <v>832</v>
      </c>
      <c r="E225" s="35" t="s">
        <v>830</v>
      </c>
      <c r="F225" s="35" t="s">
        <v>829</v>
      </c>
      <c r="G225" s="74" t="s">
        <v>833</v>
      </c>
      <c r="H225" s="35"/>
      <c r="I225" s="5" t="s">
        <v>61</v>
      </c>
      <c r="J225" s="5"/>
      <c r="K225" s="10">
        <v>124</v>
      </c>
      <c r="L225" s="3" t="str">
        <f>VLOOKUP(K225,'GACETA 3'!$E$9:$F$75,2,0)</f>
        <v>Obras Públicas</v>
      </c>
      <c r="M225" s="3" t="str">
        <f t="shared" si="3"/>
        <v>0202030105</v>
      </c>
      <c r="N225" s="3" t="str">
        <f>VLOOKUP(M225,GACETA!$A$1:$C$186,3,0)</f>
        <v>K</v>
      </c>
      <c r="O225" s="3" t="str">
        <f>VLOOKUP(M225,GACETA!$A$1:$C$186,2,0)</f>
        <v>Construcción de infraestructura para agua potable</v>
      </c>
      <c r="P225" s="254"/>
      <c r="Q225" s="254"/>
      <c r="R225" s="147" t="s">
        <v>212</v>
      </c>
      <c r="S225" s="7" t="s">
        <v>86</v>
      </c>
      <c r="T225" s="7" t="s">
        <v>194</v>
      </c>
    </row>
    <row r="226" spans="1:20" ht="34.5" customHeight="1" x14ac:dyDescent="0.3">
      <c r="A226" s="262" t="s">
        <v>23</v>
      </c>
      <c r="B226" s="261" t="s">
        <v>714</v>
      </c>
      <c r="C226" s="33" t="s">
        <v>832</v>
      </c>
      <c r="D226" s="39" t="s">
        <v>835</v>
      </c>
      <c r="E226" s="39" t="s">
        <v>834</v>
      </c>
      <c r="F226" s="39" t="s">
        <v>833</v>
      </c>
      <c r="G226" s="74" t="s">
        <v>832</v>
      </c>
      <c r="H226" s="39"/>
      <c r="I226" s="8" t="s">
        <v>23</v>
      </c>
      <c r="J226" s="8"/>
      <c r="K226" s="1">
        <v>172</v>
      </c>
      <c r="L226" s="3" t="str">
        <f>VLOOKUP(K226,'GACETA 3'!$E$9:$F$75,2,0)</f>
        <v>Atención a la Población de la Diversidad Sexual</v>
      </c>
      <c r="M226" s="3" t="str">
        <f t="shared" si="3"/>
        <v>0206080502</v>
      </c>
      <c r="N226" s="3" t="str">
        <f>VLOOKUP(M226,GACETA!$A$1:$C$186,3,0)</f>
        <v>S</v>
      </c>
      <c r="O226" s="3" t="str">
        <f>VLOOKUP(M226,GACETA!$A$1:$C$186,2,0)</f>
        <v>Cultura de igualdad entre la mujer y el hombre; y población LGBTTTIQ+, para la prevención de la violencia de género</v>
      </c>
      <c r="P226" s="259" t="s">
        <v>967</v>
      </c>
      <c r="Q226" s="258" t="s">
        <v>644</v>
      </c>
      <c r="R226" s="147" t="s">
        <v>1128</v>
      </c>
      <c r="S226" s="7" t="s">
        <v>86</v>
      </c>
      <c r="T226" s="7" t="s">
        <v>340</v>
      </c>
    </row>
    <row r="227" spans="1:20" ht="90" x14ac:dyDescent="0.3">
      <c r="A227" s="262"/>
      <c r="B227" s="261"/>
      <c r="C227" s="33" t="s">
        <v>832</v>
      </c>
      <c r="D227" s="39" t="s">
        <v>835</v>
      </c>
      <c r="E227" s="39" t="s">
        <v>834</v>
      </c>
      <c r="F227" s="39" t="s">
        <v>833</v>
      </c>
      <c r="G227" s="74" t="s">
        <v>832</v>
      </c>
      <c r="H227" s="39"/>
      <c r="I227" s="8" t="s">
        <v>23</v>
      </c>
      <c r="J227" s="8"/>
      <c r="K227" s="1">
        <v>172</v>
      </c>
      <c r="L227" s="3" t="str">
        <f>VLOOKUP(K227,'GACETA 3'!$E$9:$F$75,2,0)</f>
        <v>Atención a la Población de la Diversidad Sexual</v>
      </c>
      <c r="M227" s="3" t="str">
        <f t="shared" si="3"/>
        <v>0206080502</v>
      </c>
      <c r="N227" s="3" t="str">
        <f>VLOOKUP(M227,GACETA!$A$1:$C$186,3,0)</f>
        <v>S</v>
      </c>
      <c r="O227" s="3" t="str">
        <f>VLOOKUP(M227,GACETA!$A$1:$C$186,2,0)</f>
        <v>Cultura de igualdad entre la mujer y el hombre; y población LGBTTTIQ+, para la prevención de la violencia de género</v>
      </c>
      <c r="P227" s="259"/>
      <c r="Q227" s="258"/>
      <c r="R227" s="147" t="s">
        <v>1129</v>
      </c>
      <c r="S227" s="7" t="s">
        <v>86</v>
      </c>
      <c r="T227" s="7" t="s">
        <v>748</v>
      </c>
    </row>
    <row r="228" spans="1:20" ht="90" x14ac:dyDescent="0.3">
      <c r="A228" s="262"/>
      <c r="B228" s="261"/>
      <c r="C228" s="33" t="s">
        <v>832</v>
      </c>
      <c r="D228" s="39" t="s">
        <v>835</v>
      </c>
      <c r="E228" s="39" t="s">
        <v>834</v>
      </c>
      <c r="F228" s="39" t="s">
        <v>833</v>
      </c>
      <c r="G228" s="74" t="s">
        <v>832</v>
      </c>
      <c r="H228" s="39"/>
      <c r="I228" s="8" t="s">
        <v>23</v>
      </c>
      <c r="J228" s="8"/>
      <c r="K228" s="1">
        <v>172</v>
      </c>
      <c r="L228" s="3" t="str">
        <f>VLOOKUP(K228,'GACETA 3'!$E$9:$F$75,2,0)</f>
        <v>Atención a la Población de la Diversidad Sexual</v>
      </c>
      <c r="M228" s="3" t="str">
        <f t="shared" si="3"/>
        <v>0206080502</v>
      </c>
      <c r="N228" s="3" t="str">
        <f>VLOOKUP(M228,GACETA!$A$1:$C$186,3,0)</f>
        <v>S</v>
      </c>
      <c r="O228" s="3" t="str">
        <f>VLOOKUP(M228,GACETA!$A$1:$C$186,2,0)</f>
        <v>Cultura de igualdad entre la mujer y el hombre; y población LGBTTTIQ+, para la prevención de la violencia de género</v>
      </c>
      <c r="P228" s="259"/>
      <c r="Q228" s="258"/>
      <c r="R228" s="147" t="s">
        <v>1130</v>
      </c>
      <c r="S228" s="7" t="s">
        <v>86</v>
      </c>
      <c r="T228" s="7" t="s">
        <v>1131</v>
      </c>
    </row>
    <row r="229" spans="1:20" ht="90" x14ac:dyDescent="0.3">
      <c r="A229" s="262"/>
      <c r="B229" s="261"/>
      <c r="C229" s="33" t="s">
        <v>832</v>
      </c>
      <c r="D229" s="39" t="s">
        <v>835</v>
      </c>
      <c r="E229" s="39" t="s">
        <v>834</v>
      </c>
      <c r="F229" s="39" t="s">
        <v>833</v>
      </c>
      <c r="G229" s="74" t="s">
        <v>832</v>
      </c>
      <c r="H229" s="39"/>
      <c r="I229" s="8" t="s">
        <v>23</v>
      </c>
      <c r="J229" s="8"/>
      <c r="K229" s="1">
        <v>172</v>
      </c>
      <c r="L229" s="3" t="str">
        <f>VLOOKUP(K229,'GACETA 3'!$E$9:$F$75,2,0)</f>
        <v>Atención a la Población de la Diversidad Sexual</v>
      </c>
      <c r="M229" s="3" t="str">
        <f t="shared" si="3"/>
        <v>0206080502</v>
      </c>
      <c r="N229" s="3" t="str">
        <f>VLOOKUP(M229,GACETA!$A$1:$C$186,3,0)</f>
        <v>S</v>
      </c>
      <c r="O229" s="3" t="str">
        <f>VLOOKUP(M229,GACETA!$A$1:$C$186,2,0)</f>
        <v>Cultura de igualdad entre la mujer y el hombre; y población LGBTTTIQ+, para la prevención de la violencia de género</v>
      </c>
      <c r="P229" s="259"/>
      <c r="Q229" s="258"/>
      <c r="R229" s="147" t="s">
        <v>698</v>
      </c>
      <c r="S229" s="7" t="s">
        <v>86</v>
      </c>
      <c r="T229" s="7" t="s">
        <v>1132</v>
      </c>
    </row>
    <row r="230" spans="1:20" ht="90" x14ac:dyDescent="0.3">
      <c r="A230" s="262"/>
      <c r="B230" s="261"/>
      <c r="C230" s="33" t="s">
        <v>832</v>
      </c>
      <c r="D230" s="39" t="s">
        <v>835</v>
      </c>
      <c r="E230" s="39" t="s">
        <v>834</v>
      </c>
      <c r="F230" s="39" t="s">
        <v>833</v>
      </c>
      <c r="G230" s="74" t="s">
        <v>832</v>
      </c>
      <c r="H230" s="39"/>
      <c r="I230" s="8" t="s">
        <v>23</v>
      </c>
      <c r="J230" s="8"/>
      <c r="K230" s="1">
        <v>172</v>
      </c>
      <c r="L230" s="3" t="str">
        <f>VLOOKUP(K230,'GACETA 3'!$E$9:$F$75,2,0)</f>
        <v>Atención a la Población de la Diversidad Sexual</v>
      </c>
      <c r="M230" s="3" t="str">
        <f t="shared" si="3"/>
        <v>0206080502</v>
      </c>
      <c r="N230" s="3" t="str">
        <f>VLOOKUP(M230,GACETA!$A$1:$C$186,3,0)</f>
        <v>S</v>
      </c>
      <c r="O230" s="3" t="str">
        <f>VLOOKUP(M230,GACETA!$A$1:$C$186,2,0)</f>
        <v>Cultura de igualdad entre la mujer y el hombre; y población LGBTTTIQ+, para la prevención de la violencia de género</v>
      </c>
      <c r="P230" s="259"/>
      <c r="Q230" s="258"/>
      <c r="R230" s="147" t="s">
        <v>1133</v>
      </c>
      <c r="S230" s="7" t="s">
        <v>86</v>
      </c>
      <c r="T230" s="7" t="s">
        <v>126</v>
      </c>
    </row>
    <row r="231" spans="1:20" ht="90" x14ac:dyDescent="0.3">
      <c r="A231" s="262"/>
      <c r="B231" s="261"/>
      <c r="C231" s="33" t="s">
        <v>830</v>
      </c>
      <c r="D231" s="39" t="s">
        <v>829</v>
      </c>
      <c r="E231" s="39" t="s">
        <v>832</v>
      </c>
      <c r="F231" s="39" t="s">
        <v>830</v>
      </c>
      <c r="G231" s="74" t="s">
        <v>829</v>
      </c>
      <c r="H231" s="39"/>
      <c r="I231" s="8" t="s">
        <v>23</v>
      </c>
      <c r="J231" s="8"/>
      <c r="K231" s="1">
        <v>172</v>
      </c>
      <c r="L231" s="3" t="str">
        <f>VLOOKUP(K231,'GACETA 3'!$E$9:$F$75,2,0)</f>
        <v>Atención a la Población de la Diversidad Sexual</v>
      </c>
      <c r="M231" s="3" t="str">
        <f t="shared" si="3"/>
        <v>0301020301</v>
      </c>
      <c r="N231" s="3" t="str">
        <f>VLOOKUP(M231,GACETA!$A$1:$C$186,3,0)</f>
        <v>E</v>
      </c>
      <c r="O231" s="3" t="str">
        <f>VLOOKUP(M231,GACETA!$A$1:$C$186,2,0)</f>
        <v>Capacitación de la mujer para el trabajo</v>
      </c>
      <c r="P231" s="260" t="s">
        <v>649</v>
      </c>
      <c r="Q231" s="8" t="s">
        <v>650</v>
      </c>
      <c r="R231" s="147" t="s">
        <v>691</v>
      </c>
      <c r="S231" s="7" t="s">
        <v>86</v>
      </c>
      <c r="T231" s="7" t="s">
        <v>181</v>
      </c>
    </row>
    <row r="232" spans="1:20" ht="90" x14ac:dyDescent="0.3">
      <c r="A232" s="262"/>
      <c r="B232" s="261"/>
      <c r="C232" s="33" t="s">
        <v>830</v>
      </c>
      <c r="D232" s="39" t="s">
        <v>829</v>
      </c>
      <c r="E232" s="39" t="s">
        <v>832</v>
      </c>
      <c r="F232" s="39" t="s">
        <v>830</v>
      </c>
      <c r="G232" s="74" t="s">
        <v>832</v>
      </c>
      <c r="H232" s="39"/>
      <c r="I232" s="8" t="s">
        <v>23</v>
      </c>
      <c r="J232" s="8"/>
      <c r="K232" s="1">
        <v>172</v>
      </c>
      <c r="L232" s="3" t="str">
        <f>VLOOKUP(K232,'GACETA 3'!$E$9:$F$75,2,0)</f>
        <v>Atención a la Población de la Diversidad Sexual</v>
      </c>
      <c r="M232" s="3" t="str">
        <f t="shared" si="3"/>
        <v>0301020302</v>
      </c>
      <c r="N232" s="3" t="str">
        <f>VLOOKUP(M232,GACETA!$A$1:$C$186,3,0)</f>
        <v>S</v>
      </c>
      <c r="O232" s="3" t="str">
        <f>VLOOKUP(M232,GACETA!$A$1:$C$186,2,0)</f>
        <v>Proyectos productivos para el desarrollo de la mujer</v>
      </c>
      <c r="P232" s="260"/>
      <c r="Q232" s="8" t="s">
        <v>838</v>
      </c>
      <c r="R232" s="147" t="s">
        <v>692</v>
      </c>
      <c r="S232" s="7" t="s">
        <v>86</v>
      </c>
      <c r="T232" s="7" t="s">
        <v>693</v>
      </c>
    </row>
    <row r="233" spans="1:20" ht="45" x14ac:dyDescent="0.3">
      <c r="A233" s="263" t="s">
        <v>52</v>
      </c>
      <c r="B233" s="289" t="s">
        <v>708</v>
      </c>
      <c r="C233" s="33" t="s">
        <v>832</v>
      </c>
      <c r="D233" s="35" t="s">
        <v>833</v>
      </c>
      <c r="E233" s="35" t="s">
        <v>829</v>
      </c>
      <c r="F233" s="35" t="s">
        <v>829</v>
      </c>
      <c r="G233" s="74" t="s">
        <v>969</v>
      </c>
      <c r="H233" s="35"/>
      <c r="I233" s="5" t="s">
        <v>52</v>
      </c>
      <c r="J233" s="5"/>
      <c r="K233" s="10">
        <v>141</v>
      </c>
      <c r="L233" s="3" t="str">
        <f>VLOOKUP(K233,'GACETA 3'!$E$9:$F$75,2,0)</f>
        <v>Educación</v>
      </c>
      <c r="M233" s="3" t="str">
        <f t="shared" si="3"/>
        <v>0205010110</v>
      </c>
      <c r="N233" s="3" t="str">
        <f>VLOOKUP(M233,GACETA!$A$1:$C$186,3,0)</f>
        <v>S</v>
      </c>
      <c r="O233" s="3" t="str">
        <f>VLOOKUP(M233,GACETA!$A$1:$C$186,2,0)</f>
        <v>Apoyo municipal a la educación básica</v>
      </c>
      <c r="P233" s="254" t="s">
        <v>213</v>
      </c>
      <c r="Q233" s="254" t="s">
        <v>518</v>
      </c>
      <c r="R233" s="148" t="s">
        <v>1175</v>
      </c>
      <c r="S233" s="7" t="s">
        <v>86</v>
      </c>
      <c r="T233" s="7" t="s">
        <v>208</v>
      </c>
    </row>
    <row r="234" spans="1:20" ht="45" x14ac:dyDescent="0.3">
      <c r="A234" s="263"/>
      <c r="B234" s="289"/>
      <c r="C234" s="33" t="s">
        <v>832</v>
      </c>
      <c r="D234" s="35" t="s">
        <v>833</v>
      </c>
      <c r="E234" s="35" t="s">
        <v>829</v>
      </c>
      <c r="F234" s="35" t="s">
        <v>829</v>
      </c>
      <c r="G234" s="74" t="s">
        <v>969</v>
      </c>
      <c r="H234" s="35"/>
      <c r="I234" s="5" t="s">
        <v>52</v>
      </c>
      <c r="J234" s="5"/>
      <c r="K234" s="10">
        <v>141</v>
      </c>
      <c r="L234" s="3" t="str">
        <f>VLOOKUP(K234,'GACETA 3'!$E$9:$F$75,2,0)</f>
        <v>Educación</v>
      </c>
      <c r="M234" s="3" t="str">
        <f t="shared" si="3"/>
        <v>0205010110</v>
      </c>
      <c r="N234" s="3" t="str">
        <f>VLOOKUP(M234,GACETA!$A$1:$C$186,3,0)</f>
        <v>S</v>
      </c>
      <c r="O234" s="3" t="str">
        <f>VLOOKUP(M234,GACETA!$A$1:$C$186,2,0)</f>
        <v>Apoyo municipal a la educación básica</v>
      </c>
      <c r="P234" s="254"/>
      <c r="Q234" s="254"/>
      <c r="R234" s="148" t="s">
        <v>1176</v>
      </c>
      <c r="S234" s="7" t="s">
        <v>86</v>
      </c>
      <c r="T234" s="7" t="s">
        <v>1178</v>
      </c>
    </row>
    <row r="235" spans="1:20" ht="30" x14ac:dyDescent="0.3">
      <c r="A235" s="263"/>
      <c r="B235" s="289"/>
      <c r="C235" s="33" t="s">
        <v>832</v>
      </c>
      <c r="D235" s="35" t="s">
        <v>833</v>
      </c>
      <c r="E235" s="35" t="s">
        <v>829</v>
      </c>
      <c r="F235" s="35" t="s">
        <v>829</v>
      </c>
      <c r="G235" s="74" t="s">
        <v>969</v>
      </c>
      <c r="H235" s="35"/>
      <c r="I235" s="5" t="s">
        <v>52</v>
      </c>
      <c r="J235" s="5"/>
      <c r="K235" s="10">
        <v>141</v>
      </c>
      <c r="L235" s="3" t="str">
        <f>VLOOKUP(K235,'GACETA 3'!$E$9:$F$75,2,0)</f>
        <v>Educación</v>
      </c>
      <c r="M235" s="3" t="str">
        <f t="shared" si="3"/>
        <v>0205010110</v>
      </c>
      <c r="N235" s="3" t="str">
        <f>VLOOKUP(M235,GACETA!$A$1:$C$186,3,0)</f>
        <v>S</v>
      </c>
      <c r="O235" s="3" t="str">
        <f>VLOOKUP(M235,GACETA!$A$1:$C$186,2,0)</f>
        <v>Apoyo municipal a la educación básica</v>
      </c>
      <c r="P235" s="254"/>
      <c r="Q235" s="254"/>
      <c r="R235" s="148" t="s">
        <v>1177</v>
      </c>
      <c r="S235" s="7" t="s">
        <v>86</v>
      </c>
      <c r="T235" s="7" t="s">
        <v>1179</v>
      </c>
    </row>
    <row r="236" spans="1:20" ht="30" x14ac:dyDescent="0.3">
      <c r="A236" s="263"/>
      <c r="B236" s="289"/>
      <c r="C236" s="33" t="s">
        <v>832</v>
      </c>
      <c r="D236" s="35" t="s">
        <v>833</v>
      </c>
      <c r="E236" s="35" t="s">
        <v>832</v>
      </c>
      <c r="F236" s="35" t="s">
        <v>829</v>
      </c>
      <c r="G236" s="74" t="s">
        <v>833</v>
      </c>
      <c r="H236" s="35"/>
      <c r="I236" s="5" t="s">
        <v>52</v>
      </c>
      <c r="J236" s="5"/>
      <c r="K236" s="10">
        <v>141</v>
      </c>
      <c r="L236" s="3" t="str">
        <f>VLOOKUP(K236,'GACETA 3'!$E$9:$F$75,2,0)</f>
        <v>Educación</v>
      </c>
      <c r="M236" s="3" t="str">
        <f t="shared" si="3"/>
        <v>0205020105</v>
      </c>
      <c r="N236" s="3" t="str">
        <f>VLOOKUP(M236,GACETA!$A$1:$C$186,3,0)</f>
        <v>S</v>
      </c>
      <c r="O236" s="3" t="str">
        <f>VLOOKUP(M236,GACETA!$A$1:$C$186,2,0)</f>
        <v>Apoyo municipal a la educación media superior</v>
      </c>
      <c r="P236" s="254" t="s">
        <v>216</v>
      </c>
      <c r="Q236" s="254" t="s">
        <v>217</v>
      </c>
      <c r="R236" s="147" t="s">
        <v>1182</v>
      </c>
      <c r="S236" s="7" t="s">
        <v>86</v>
      </c>
      <c r="T236" s="98" t="s">
        <v>208</v>
      </c>
    </row>
    <row r="237" spans="1:20" x14ac:dyDescent="0.3">
      <c r="A237" s="263"/>
      <c r="B237" s="289"/>
      <c r="C237" s="33"/>
      <c r="D237" s="35"/>
      <c r="E237" s="35"/>
      <c r="F237" s="35"/>
      <c r="G237" s="74"/>
      <c r="H237" s="35"/>
      <c r="I237" s="5"/>
      <c r="J237" s="5"/>
      <c r="K237" s="10"/>
      <c r="L237" s="3" t="e">
        <f>VLOOKUP(K237,'GACETA 3'!$E$9:$F$75,2,0)</f>
        <v>#N/A</v>
      </c>
      <c r="M237" s="3" t="str">
        <f t="shared" si="3"/>
        <v/>
      </c>
      <c r="N237" s="3" t="e">
        <f>VLOOKUP(M237,GACETA!$A$1:$C$186,3,0)</f>
        <v>#N/A</v>
      </c>
      <c r="O237" s="3" t="e">
        <f>VLOOKUP(M237,GACETA!$A$1:$C$186,2,0)</f>
        <v>#N/A</v>
      </c>
      <c r="P237" s="254"/>
      <c r="Q237" s="254"/>
      <c r="R237" s="147" t="s">
        <v>528</v>
      </c>
      <c r="S237" s="7" t="s">
        <v>86</v>
      </c>
      <c r="T237" s="98" t="s">
        <v>126</v>
      </c>
    </row>
    <row r="238" spans="1:20" ht="30" x14ac:dyDescent="0.3">
      <c r="A238" s="263"/>
      <c r="B238" s="289"/>
      <c r="C238" s="33" t="s">
        <v>832</v>
      </c>
      <c r="D238" s="35" t="s">
        <v>833</v>
      </c>
      <c r="E238" s="35" t="s">
        <v>832</v>
      </c>
      <c r="F238" s="35" t="s">
        <v>829</v>
      </c>
      <c r="G238" s="74" t="s">
        <v>833</v>
      </c>
      <c r="H238" s="35"/>
      <c r="I238" s="5" t="s">
        <v>52</v>
      </c>
      <c r="J238" s="5"/>
      <c r="K238" s="10">
        <v>141</v>
      </c>
      <c r="L238" s="3" t="str">
        <f>VLOOKUP(K238,'GACETA 3'!$E$9:$F$75,2,0)</f>
        <v>Educación</v>
      </c>
      <c r="M238" s="3" t="str">
        <f t="shared" si="3"/>
        <v>0205020105</v>
      </c>
      <c r="N238" s="3" t="str">
        <f>VLOOKUP(M238,GACETA!$A$1:$C$186,3,0)</f>
        <v>S</v>
      </c>
      <c r="O238" s="3" t="str">
        <f>VLOOKUP(M238,GACETA!$A$1:$C$186,2,0)</f>
        <v>Apoyo municipal a la educación media superior</v>
      </c>
      <c r="P238" s="254"/>
      <c r="Q238" s="254"/>
      <c r="R238" s="147" t="s">
        <v>1183</v>
      </c>
      <c r="S238" s="7" t="s">
        <v>86</v>
      </c>
      <c r="T238" s="98" t="s">
        <v>504</v>
      </c>
    </row>
    <row r="239" spans="1:20" ht="30" x14ac:dyDescent="0.3">
      <c r="A239" s="263"/>
      <c r="B239" s="289"/>
      <c r="C239" s="33" t="s">
        <v>832</v>
      </c>
      <c r="D239" s="35" t="s">
        <v>833</v>
      </c>
      <c r="E239" s="35" t="s">
        <v>830</v>
      </c>
      <c r="F239" s="35" t="s">
        <v>829</v>
      </c>
      <c r="G239" s="74" t="s">
        <v>833</v>
      </c>
      <c r="H239" s="35"/>
      <c r="I239" s="5" t="s">
        <v>52</v>
      </c>
      <c r="J239" s="5"/>
      <c r="K239" s="10">
        <v>141</v>
      </c>
      <c r="L239" s="3" t="str">
        <f>VLOOKUP(K239,'GACETA 3'!$E$9:$F$75,2,0)</f>
        <v>Educación</v>
      </c>
      <c r="M239" s="3" t="str">
        <f t="shared" si="3"/>
        <v>0205030105</v>
      </c>
      <c r="N239" s="3" t="str">
        <f>VLOOKUP(M239,GACETA!$A$1:$C$186,3,0)</f>
        <v>S</v>
      </c>
      <c r="O239" s="3" t="str">
        <f>VLOOKUP(M239,GACETA!$A$1:$C$186,2,0)</f>
        <v>Apoyo municipal a la educación superior</v>
      </c>
      <c r="P239" s="254" t="s">
        <v>529</v>
      </c>
      <c r="Q239" s="254" t="s">
        <v>530</v>
      </c>
      <c r="R239" s="148" t="s">
        <v>1184</v>
      </c>
      <c r="S239" s="7" t="s">
        <v>86</v>
      </c>
      <c r="T239" s="7" t="s">
        <v>1181</v>
      </c>
    </row>
    <row r="240" spans="1:20" ht="30" x14ac:dyDescent="0.3">
      <c r="A240" s="263"/>
      <c r="B240" s="289"/>
      <c r="C240" s="33" t="s">
        <v>832</v>
      </c>
      <c r="D240" s="35" t="s">
        <v>833</v>
      </c>
      <c r="E240" s="35" t="s">
        <v>830</v>
      </c>
      <c r="F240" s="35" t="s">
        <v>829</v>
      </c>
      <c r="G240" s="74" t="s">
        <v>833</v>
      </c>
      <c r="H240" s="35"/>
      <c r="I240" s="5" t="s">
        <v>52</v>
      </c>
      <c r="J240" s="5"/>
      <c r="K240" s="10">
        <v>141</v>
      </c>
      <c r="L240" s="3" t="str">
        <f>VLOOKUP(K240,'GACETA 3'!$E$9:$F$75,2,0)</f>
        <v>Educación</v>
      </c>
      <c r="M240" s="3" t="str">
        <f t="shared" si="3"/>
        <v>0205030105</v>
      </c>
      <c r="N240" s="3" t="str">
        <f>VLOOKUP(M240,GACETA!$A$1:$C$186,3,0)</f>
        <v>S</v>
      </c>
      <c r="O240" s="3" t="str">
        <f>VLOOKUP(M240,GACETA!$A$1:$C$186,2,0)</f>
        <v>Apoyo municipal a la educación superior</v>
      </c>
      <c r="P240" s="254"/>
      <c r="Q240" s="254"/>
      <c r="R240" s="147" t="s">
        <v>1185</v>
      </c>
      <c r="S240" s="7" t="s">
        <v>86</v>
      </c>
      <c r="T240" s="7" t="s">
        <v>1186</v>
      </c>
    </row>
    <row r="241" spans="1:21" ht="40.5" customHeight="1" x14ac:dyDescent="0.3">
      <c r="A241" s="263"/>
      <c r="B241" s="289"/>
      <c r="C241" s="33" t="s">
        <v>832</v>
      </c>
      <c r="D241" s="35" t="s">
        <v>833</v>
      </c>
      <c r="E241" s="35" t="s">
        <v>833</v>
      </c>
      <c r="F241" s="35" t="s">
        <v>829</v>
      </c>
      <c r="G241" s="74" t="s">
        <v>829</v>
      </c>
      <c r="H241" s="35"/>
      <c r="I241" s="5" t="s">
        <v>52</v>
      </c>
      <c r="J241" s="5"/>
      <c r="K241" s="10">
        <v>141</v>
      </c>
      <c r="L241" s="3" t="str">
        <f>VLOOKUP(K241,'GACETA 3'!$E$9:$F$75,2,0)</f>
        <v>Educación</v>
      </c>
      <c r="M241" s="3" t="str">
        <f t="shared" si="3"/>
        <v>0205050101</v>
      </c>
      <c r="N241" s="3" t="str">
        <f>VLOOKUP(M241,GACETA!$A$1:$C$186,3,0)</f>
        <v>S</v>
      </c>
      <c r="O241" s="3" t="str">
        <f>VLOOKUP(M241,GACETA!$A$1:$C$186,2,0)</f>
        <v>Alfabetización y educación básica para adultos</v>
      </c>
      <c r="P241" s="254" t="s">
        <v>533</v>
      </c>
      <c r="Q241" s="5" t="s">
        <v>534</v>
      </c>
      <c r="R241" s="147" t="s">
        <v>535</v>
      </c>
      <c r="S241" s="7" t="s">
        <v>86</v>
      </c>
      <c r="T241" s="7" t="s">
        <v>1181</v>
      </c>
    </row>
    <row r="242" spans="1:21" ht="32.25" customHeight="1" x14ac:dyDescent="0.3">
      <c r="A242" s="263"/>
      <c r="B242" s="289"/>
      <c r="C242" s="33" t="s">
        <v>832</v>
      </c>
      <c r="D242" s="35" t="s">
        <v>833</v>
      </c>
      <c r="E242" s="35" t="s">
        <v>833</v>
      </c>
      <c r="F242" s="35" t="s">
        <v>829</v>
      </c>
      <c r="G242" s="74" t="s">
        <v>832</v>
      </c>
      <c r="H242" s="35"/>
      <c r="I242" s="5" t="s">
        <v>52</v>
      </c>
      <c r="J242" s="5"/>
      <c r="K242" s="10">
        <v>141</v>
      </c>
      <c r="L242" s="3" t="str">
        <f>VLOOKUP(K242,'GACETA 3'!$E$9:$F$75,2,0)</f>
        <v>Educación</v>
      </c>
      <c r="M242" s="3" t="str">
        <f t="shared" si="3"/>
        <v>0205050102</v>
      </c>
      <c r="N242" s="3" t="str">
        <f>VLOOKUP(M242,GACETA!$A$1:$C$186,3,0)</f>
        <v>S</v>
      </c>
      <c r="O242" s="3" t="str">
        <f>VLOOKUP(M242,GACETA!$A$1:$C$186,2,0)</f>
        <v>Formación para el trabajo</v>
      </c>
      <c r="P242" s="254"/>
      <c r="Q242" s="5" t="s">
        <v>537</v>
      </c>
      <c r="R242" s="147" t="s">
        <v>1180</v>
      </c>
      <c r="S242" s="7" t="s">
        <v>86</v>
      </c>
      <c r="T242" s="7" t="s">
        <v>208</v>
      </c>
    </row>
    <row r="243" spans="1:21" ht="30" x14ac:dyDescent="0.3">
      <c r="A243" s="295" t="s">
        <v>51</v>
      </c>
      <c r="B243" s="264" t="s">
        <v>4</v>
      </c>
      <c r="C243" s="33" t="s">
        <v>829</v>
      </c>
      <c r="D243" s="34" t="s">
        <v>832</v>
      </c>
      <c r="E243" s="34" t="s">
        <v>836</v>
      </c>
      <c r="F243" s="34" t="s">
        <v>829</v>
      </c>
      <c r="G243" s="61" t="s">
        <v>832</v>
      </c>
      <c r="H243" s="34"/>
      <c r="I243" s="6" t="s">
        <v>51</v>
      </c>
      <c r="J243" s="6"/>
      <c r="K243" s="3">
        <v>102</v>
      </c>
      <c r="L243" s="3" t="e">
        <f>VLOOKUP(K243,'GACETA 3'!$E$9:$F$75,2,0)</f>
        <v>#N/A</v>
      </c>
      <c r="M243" s="3" t="str">
        <f t="shared" si="3"/>
        <v>0102040102</v>
      </c>
      <c r="N243" s="3" t="str">
        <f>VLOOKUP(M243,GACETA!$A$1:$C$186,3,0)</f>
        <v>E</v>
      </c>
      <c r="O243" s="3" t="str">
        <f>VLOOKUP(M243,GACETA!$A$1:$C$186,2,0)</f>
        <v>Protección y defensa de los derechos humanos</v>
      </c>
      <c r="P243" s="279" t="s">
        <v>43</v>
      </c>
      <c r="Q243" s="279" t="s">
        <v>151</v>
      </c>
      <c r="R243" s="149" t="s">
        <v>1190</v>
      </c>
      <c r="S243" s="7" t="s">
        <v>86</v>
      </c>
      <c r="T243" s="7" t="s">
        <v>1193</v>
      </c>
      <c r="U243" s="191"/>
    </row>
    <row r="244" spans="1:21" ht="30" x14ac:dyDescent="0.3">
      <c r="A244" s="280"/>
      <c r="B244" s="265"/>
      <c r="C244" s="33" t="s">
        <v>829</v>
      </c>
      <c r="D244" s="34" t="s">
        <v>832</v>
      </c>
      <c r="E244" s="34" t="s">
        <v>836</v>
      </c>
      <c r="F244" s="34" t="s">
        <v>829</v>
      </c>
      <c r="G244" s="61" t="s">
        <v>832</v>
      </c>
      <c r="H244" s="34"/>
      <c r="I244" s="6" t="s">
        <v>51</v>
      </c>
      <c r="J244" s="6"/>
      <c r="K244" s="3">
        <v>102</v>
      </c>
      <c r="L244" s="3" t="e">
        <f>VLOOKUP(K244,'GACETA 3'!$E$9:$F$75,2,0)</f>
        <v>#N/A</v>
      </c>
      <c r="M244" s="3" t="str">
        <f t="shared" si="3"/>
        <v>0102040102</v>
      </c>
      <c r="N244" s="3" t="str">
        <f>VLOOKUP(M244,GACETA!$A$1:$C$186,3,0)</f>
        <v>E</v>
      </c>
      <c r="O244" s="3" t="str">
        <f>VLOOKUP(M244,GACETA!$A$1:$C$186,2,0)</f>
        <v>Protección y defensa de los derechos humanos</v>
      </c>
      <c r="P244" s="279"/>
      <c r="Q244" s="279"/>
      <c r="R244" s="149" t="s">
        <v>1191</v>
      </c>
      <c r="S244" s="7" t="s">
        <v>86</v>
      </c>
      <c r="T244" s="7" t="s">
        <v>768</v>
      </c>
      <c r="U244" s="191"/>
    </row>
    <row r="245" spans="1:21" ht="30" x14ac:dyDescent="0.3">
      <c r="A245" s="280"/>
      <c r="B245" s="265"/>
      <c r="C245" s="33" t="s">
        <v>829</v>
      </c>
      <c r="D245" s="34" t="s">
        <v>832</v>
      </c>
      <c r="E245" s="34" t="s">
        <v>836</v>
      </c>
      <c r="F245" s="34" t="s">
        <v>829</v>
      </c>
      <c r="G245" s="61" t="s">
        <v>832</v>
      </c>
      <c r="H245" s="34"/>
      <c r="I245" s="6" t="s">
        <v>51</v>
      </c>
      <c r="J245" s="6"/>
      <c r="K245" s="3">
        <v>102</v>
      </c>
      <c r="L245" s="3" t="e">
        <f>VLOOKUP(K245,'GACETA 3'!$E$9:$F$75,2,0)</f>
        <v>#N/A</v>
      </c>
      <c r="M245" s="3" t="str">
        <f t="shared" si="3"/>
        <v>0102040102</v>
      </c>
      <c r="N245" s="3" t="str">
        <f>VLOOKUP(M245,GACETA!$A$1:$C$186,3,0)</f>
        <v>E</v>
      </c>
      <c r="O245" s="3" t="str">
        <f>VLOOKUP(M245,GACETA!$A$1:$C$186,2,0)</f>
        <v>Protección y defensa de los derechos humanos</v>
      </c>
      <c r="P245" s="279"/>
      <c r="Q245" s="279"/>
      <c r="R245" s="149" t="s">
        <v>1192</v>
      </c>
      <c r="S245" s="7" t="s">
        <v>86</v>
      </c>
      <c r="T245" s="7" t="s">
        <v>1132</v>
      </c>
      <c r="U245" s="191"/>
    </row>
    <row r="246" spans="1:21" ht="75" x14ac:dyDescent="0.3">
      <c r="A246" s="280"/>
      <c r="B246" s="265"/>
      <c r="C246" s="33" t="s">
        <v>829</v>
      </c>
      <c r="D246" s="34" t="s">
        <v>830</v>
      </c>
      <c r="E246" s="34" t="s">
        <v>832</v>
      </c>
      <c r="F246" s="34" t="s">
        <v>829</v>
      </c>
      <c r="G246" s="61" t="s">
        <v>836</v>
      </c>
      <c r="H246" s="34"/>
      <c r="I246" s="6" t="s">
        <v>51</v>
      </c>
      <c r="J246" s="6"/>
      <c r="K246" s="3">
        <v>144</v>
      </c>
      <c r="L246" s="3" t="str">
        <f>VLOOKUP(K246,'GACETA 3'!$E$9:$F$75,2,0)</f>
        <v>Gobernación</v>
      </c>
      <c r="M246" s="3" t="str">
        <f t="shared" si="3"/>
        <v>0103020104</v>
      </c>
      <c r="N246" s="3" t="str">
        <f>VLOOKUP(M246,GACETA!$A$1:$C$186,3,0)</f>
        <v>E</v>
      </c>
      <c r="O246" s="3" t="str">
        <f>VLOOKUP(M246,GACETA!$A$1:$C$186,2,0)</f>
        <v>Capacitación para el desarrollo de la cultura política</v>
      </c>
      <c r="P246" s="279" t="s">
        <v>343</v>
      </c>
      <c r="Q246" s="279" t="s">
        <v>344</v>
      </c>
      <c r="R246" s="149" t="s">
        <v>1194</v>
      </c>
      <c r="S246" s="7" t="s">
        <v>86</v>
      </c>
      <c r="T246" s="7" t="s">
        <v>346</v>
      </c>
      <c r="U246" s="191"/>
    </row>
    <row r="247" spans="1:21" ht="45" x14ac:dyDescent="0.3">
      <c r="A247" s="280"/>
      <c r="B247" s="265"/>
      <c r="C247" s="33" t="s">
        <v>829</v>
      </c>
      <c r="D247" s="34" t="s">
        <v>830</v>
      </c>
      <c r="E247" s="34" t="s">
        <v>832</v>
      </c>
      <c r="F247" s="34" t="s">
        <v>829</v>
      </c>
      <c r="G247" s="61" t="s">
        <v>836</v>
      </c>
      <c r="H247" s="34"/>
      <c r="I247" s="6" t="s">
        <v>51</v>
      </c>
      <c r="J247" s="6"/>
      <c r="K247" s="3">
        <v>144</v>
      </c>
      <c r="L247" s="3" t="str">
        <f>VLOOKUP(K247,'GACETA 3'!$E$9:$F$75,2,0)</f>
        <v>Gobernación</v>
      </c>
      <c r="M247" s="3" t="str">
        <f t="shared" si="3"/>
        <v>0103020104</v>
      </c>
      <c r="N247" s="3" t="str">
        <f>VLOOKUP(M247,GACETA!$A$1:$C$186,3,0)</f>
        <v>E</v>
      </c>
      <c r="O247" s="3" t="str">
        <f>VLOOKUP(M247,GACETA!$A$1:$C$186,2,0)</f>
        <v>Capacitación para el desarrollo de la cultura política</v>
      </c>
      <c r="P247" s="279"/>
      <c r="Q247" s="279"/>
      <c r="R247" s="149" t="s">
        <v>1195</v>
      </c>
      <c r="S247" s="7" t="s">
        <v>86</v>
      </c>
      <c r="T247" s="7" t="s">
        <v>130</v>
      </c>
      <c r="U247" s="191"/>
    </row>
    <row r="248" spans="1:21" ht="45" x14ac:dyDescent="0.3">
      <c r="A248" s="280"/>
      <c r="B248" s="265"/>
      <c r="C248" s="33" t="s">
        <v>829</v>
      </c>
      <c r="D248" s="34" t="s">
        <v>830</v>
      </c>
      <c r="E248" s="34" t="s">
        <v>832</v>
      </c>
      <c r="F248" s="34" t="s">
        <v>829</v>
      </c>
      <c r="G248" s="61" t="s">
        <v>836</v>
      </c>
      <c r="H248" s="34"/>
      <c r="I248" s="6" t="s">
        <v>51</v>
      </c>
      <c r="J248" s="6"/>
      <c r="K248" s="3">
        <v>144</v>
      </c>
      <c r="L248" s="3" t="str">
        <f>VLOOKUP(K248,'GACETA 3'!$E$9:$F$75,2,0)</f>
        <v>Gobernación</v>
      </c>
      <c r="M248" s="3" t="str">
        <f t="shared" si="3"/>
        <v>0103020104</v>
      </c>
      <c r="N248" s="3" t="str">
        <f>VLOOKUP(M248,GACETA!$A$1:$C$186,3,0)</f>
        <v>E</v>
      </c>
      <c r="O248" s="3" t="str">
        <f>VLOOKUP(M248,GACETA!$A$1:$C$186,2,0)</f>
        <v>Capacitación para el desarrollo de la cultura política</v>
      </c>
      <c r="P248" s="279"/>
      <c r="Q248" s="279"/>
      <c r="R248" s="149" t="s">
        <v>1196</v>
      </c>
      <c r="S248" s="7" t="s">
        <v>86</v>
      </c>
      <c r="T248" s="7" t="s">
        <v>88</v>
      </c>
      <c r="U248" s="191"/>
    </row>
    <row r="249" spans="1:21" ht="45" x14ac:dyDescent="0.3">
      <c r="A249" s="280"/>
      <c r="B249" s="265"/>
      <c r="C249" s="33" t="s">
        <v>829</v>
      </c>
      <c r="D249" s="34" t="s">
        <v>830</v>
      </c>
      <c r="E249" s="34" t="s">
        <v>832</v>
      </c>
      <c r="F249" s="34" t="s">
        <v>829</v>
      </c>
      <c r="G249" s="61" t="s">
        <v>836</v>
      </c>
      <c r="H249" s="34"/>
      <c r="I249" s="6" t="s">
        <v>51</v>
      </c>
      <c r="J249" s="6"/>
      <c r="K249" s="3">
        <v>144</v>
      </c>
      <c r="L249" s="3" t="str">
        <f>VLOOKUP(K249,'GACETA 3'!$E$9:$F$75,2,0)</f>
        <v>Gobernación</v>
      </c>
      <c r="M249" s="3" t="str">
        <f t="shared" si="3"/>
        <v>0103020104</v>
      </c>
      <c r="N249" s="3" t="str">
        <f>VLOOKUP(M249,GACETA!$A$1:$C$186,3,0)</f>
        <v>E</v>
      </c>
      <c r="O249" s="3" t="str">
        <f>VLOOKUP(M249,GACETA!$A$1:$C$186,2,0)</f>
        <v>Capacitación para el desarrollo de la cultura política</v>
      </c>
      <c r="P249" s="279"/>
      <c r="Q249" s="279"/>
      <c r="R249" s="149" t="s">
        <v>1197</v>
      </c>
      <c r="S249" s="7" t="s">
        <v>86</v>
      </c>
      <c r="T249" s="7" t="s">
        <v>1198</v>
      </c>
      <c r="U249" s="191"/>
    </row>
    <row r="250" spans="1:21" ht="60" x14ac:dyDescent="0.3">
      <c r="A250" s="280"/>
      <c r="B250" s="265"/>
      <c r="C250" s="33" t="s">
        <v>832</v>
      </c>
      <c r="D250" s="34" t="s">
        <v>836</v>
      </c>
      <c r="E250" s="34" t="s">
        <v>836</v>
      </c>
      <c r="F250" s="34" t="s">
        <v>829</v>
      </c>
      <c r="G250" s="61" t="s">
        <v>832</v>
      </c>
      <c r="H250" s="34"/>
      <c r="I250" s="6" t="s">
        <v>51</v>
      </c>
      <c r="J250" s="6"/>
      <c r="K250" s="3">
        <v>111</v>
      </c>
      <c r="L250" s="3" t="str">
        <f>VLOOKUP(K250,'GACETA 3'!$E$9:$F$75,2,0)</f>
        <v>Coordinación de Delegaciones</v>
      </c>
      <c r="M250" s="3" t="str">
        <f t="shared" si="3"/>
        <v>0204040102</v>
      </c>
      <c r="N250" s="3" t="str">
        <f>VLOOKUP(M250,GACETA!$A$1:$C$186,3,0)</f>
        <v>E</v>
      </c>
      <c r="O250" s="3" t="str">
        <f>VLOOKUP(M250,GACETA!$A$1:$C$186,2,0)</f>
        <v>Participación ciudadana</v>
      </c>
      <c r="P250" s="279" t="s">
        <v>350</v>
      </c>
      <c r="Q250" s="279" t="s">
        <v>351</v>
      </c>
      <c r="R250" s="149" t="s">
        <v>1199</v>
      </c>
      <c r="S250" s="7" t="s">
        <v>86</v>
      </c>
      <c r="T250" s="7" t="s">
        <v>1201</v>
      </c>
      <c r="U250" s="191"/>
    </row>
    <row r="251" spans="1:21" ht="60" x14ac:dyDescent="0.3">
      <c r="A251" s="280"/>
      <c r="B251" s="265"/>
      <c r="C251" s="33" t="s">
        <v>832</v>
      </c>
      <c r="D251" s="34" t="s">
        <v>836</v>
      </c>
      <c r="E251" s="34" t="s">
        <v>836</v>
      </c>
      <c r="F251" s="34" t="s">
        <v>829</v>
      </c>
      <c r="G251" s="61" t="s">
        <v>832</v>
      </c>
      <c r="H251" s="34"/>
      <c r="I251" s="6" t="s">
        <v>51</v>
      </c>
      <c r="J251" s="6"/>
      <c r="K251" s="3">
        <v>111</v>
      </c>
      <c r="L251" s="3" t="str">
        <f>VLOOKUP(K251,'GACETA 3'!$E$9:$F$75,2,0)</f>
        <v>Coordinación de Delegaciones</v>
      </c>
      <c r="M251" s="3" t="str">
        <f t="shared" si="3"/>
        <v>0204040102</v>
      </c>
      <c r="N251" s="3" t="str">
        <f>VLOOKUP(M251,GACETA!$A$1:$C$186,3,0)</f>
        <v>E</v>
      </c>
      <c r="O251" s="3" t="str">
        <f>VLOOKUP(M251,GACETA!$A$1:$C$186,2,0)</f>
        <v>Participación ciudadana</v>
      </c>
      <c r="P251" s="279"/>
      <c r="Q251" s="279"/>
      <c r="R251" s="149" t="s">
        <v>1200</v>
      </c>
      <c r="S251" s="7" t="s">
        <v>86</v>
      </c>
      <c r="T251" s="7" t="s">
        <v>1203</v>
      </c>
      <c r="U251" s="191"/>
    </row>
    <row r="252" spans="1:21" ht="60" x14ac:dyDescent="0.3">
      <c r="A252" s="280"/>
      <c r="B252" s="265"/>
      <c r="C252" s="33" t="s">
        <v>832</v>
      </c>
      <c r="D252" s="34" t="s">
        <v>836</v>
      </c>
      <c r="E252" s="34" t="s">
        <v>836</v>
      </c>
      <c r="F252" s="34" t="s">
        <v>829</v>
      </c>
      <c r="G252" s="61" t="s">
        <v>832</v>
      </c>
      <c r="H252" s="34"/>
      <c r="I252" s="6" t="s">
        <v>51</v>
      </c>
      <c r="J252" s="6"/>
      <c r="K252" s="3">
        <v>111</v>
      </c>
      <c r="L252" s="3" t="str">
        <f>VLOOKUP(K252,'GACETA 3'!$E$9:$F$75,2,0)</f>
        <v>Coordinación de Delegaciones</v>
      </c>
      <c r="M252" s="3" t="str">
        <f t="shared" si="3"/>
        <v>0204040102</v>
      </c>
      <c r="N252" s="3" t="str">
        <f>VLOOKUP(M252,GACETA!$A$1:$C$186,3,0)</f>
        <v>E</v>
      </c>
      <c r="O252" s="3" t="str">
        <f>VLOOKUP(M252,GACETA!$A$1:$C$186,2,0)</f>
        <v>Participación ciudadana</v>
      </c>
      <c r="P252" s="279"/>
      <c r="Q252" s="279"/>
      <c r="R252" s="149" t="s">
        <v>1202</v>
      </c>
      <c r="S252" s="7" t="s">
        <v>86</v>
      </c>
      <c r="T252" s="7" t="s">
        <v>1178</v>
      </c>
      <c r="U252" s="191"/>
    </row>
    <row r="253" spans="1:21" ht="51.75" customHeight="1" x14ac:dyDescent="0.3">
      <c r="A253" s="280"/>
      <c r="B253" s="265"/>
      <c r="C253" s="33" t="s">
        <v>832</v>
      </c>
      <c r="D253" s="34" t="s">
        <v>835</v>
      </c>
      <c r="E253" s="34" t="s">
        <v>837</v>
      </c>
      <c r="F253" s="34" t="s">
        <v>829</v>
      </c>
      <c r="G253" s="61" t="s">
        <v>829</v>
      </c>
      <c r="H253" s="34"/>
      <c r="I253" s="6" t="s">
        <v>51</v>
      </c>
      <c r="J253" s="6"/>
      <c r="K253" s="3">
        <v>151</v>
      </c>
      <c r="L253" s="3" t="str">
        <f>VLOOKUP(K253,'GACETA 3'!$E$9:$F$75,2,0)</f>
        <v>Atención a los Pueblos Indígenas</v>
      </c>
      <c r="M253" s="3" t="str">
        <f t="shared" si="3"/>
        <v>0206070101</v>
      </c>
      <c r="N253" s="3" t="str">
        <f>VLOOKUP(M253,GACETA!$A$1:$C$186,3,0)</f>
        <v>P</v>
      </c>
      <c r="O253" s="3" t="str">
        <f>VLOOKUP(M253,GACETA!$A$1:$C$186,2,0)</f>
        <v>Preservación y revalorización de usos y costumbres de los pueblos indígenas</v>
      </c>
      <c r="P253" s="244" t="s">
        <v>356</v>
      </c>
      <c r="Q253" s="247" t="s">
        <v>357</v>
      </c>
      <c r="R253" s="149" t="s">
        <v>1204</v>
      </c>
      <c r="S253" s="7" t="s">
        <v>86</v>
      </c>
      <c r="T253" s="7" t="s">
        <v>610</v>
      </c>
      <c r="U253" s="191"/>
    </row>
    <row r="254" spans="1:21" ht="60" x14ac:dyDescent="0.3">
      <c r="A254" s="280"/>
      <c r="B254" s="265"/>
      <c r="C254" s="33" t="s">
        <v>832</v>
      </c>
      <c r="D254" s="34" t="s">
        <v>835</v>
      </c>
      <c r="E254" s="34" t="s">
        <v>837</v>
      </c>
      <c r="F254" s="34" t="s">
        <v>829</v>
      </c>
      <c r="G254" s="61" t="s">
        <v>829</v>
      </c>
      <c r="H254" s="34"/>
      <c r="I254" s="6" t="s">
        <v>51</v>
      </c>
      <c r="J254" s="6"/>
      <c r="K254" s="3">
        <v>151</v>
      </c>
      <c r="L254" s="3" t="str">
        <f>VLOOKUP(K254,'GACETA 3'!$E$9:$F$75,2,0)</f>
        <v>Atención a los Pueblos Indígenas</v>
      </c>
      <c r="M254" s="3" t="str">
        <f t="shared" si="3"/>
        <v>0206070101</v>
      </c>
      <c r="N254" s="3" t="str">
        <f>VLOOKUP(M254,GACETA!$A$1:$C$186,3,0)</f>
        <v>P</v>
      </c>
      <c r="O254" s="3" t="str">
        <f>VLOOKUP(M254,GACETA!$A$1:$C$186,2,0)</f>
        <v>Preservación y revalorización de usos y costumbres de los pueblos indígenas</v>
      </c>
      <c r="P254" s="245"/>
      <c r="Q254" s="248"/>
      <c r="R254" s="149" t="s">
        <v>1205</v>
      </c>
      <c r="S254" s="7" t="s">
        <v>86</v>
      </c>
      <c r="T254" s="7" t="s">
        <v>181</v>
      </c>
      <c r="U254" s="191"/>
    </row>
    <row r="255" spans="1:21" ht="60" x14ac:dyDescent="0.3">
      <c r="A255" s="280"/>
      <c r="B255" s="265"/>
      <c r="C255" s="33" t="s">
        <v>832</v>
      </c>
      <c r="D255" s="34" t="s">
        <v>835</v>
      </c>
      <c r="E255" s="34" t="s">
        <v>837</v>
      </c>
      <c r="F255" s="34" t="s">
        <v>829</v>
      </c>
      <c r="G255" s="61" t="s">
        <v>829</v>
      </c>
      <c r="H255" s="34"/>
      <c r="I255" s="6" t="s">
        <v>51</v>
      </c>
      <c r="J255" s="6"/>
      <c r="K255" s="3">
        <v>151</v>
      </c>
      <c r="L255" s="3" t="str">
        <f>VLOOKUP(K255,'GACETA 3'!$E$9:$F$75,2,0)</f>
        <v>Atención a los Pueblos Indígenas</v>
      </c>
      <c r="M255" s="3" t="str">
        <f t="shared" si="3"/>
        <v>0206070101</v>
      </c>
      <c r="N255" s="3" t="str">
        <f>VLOOKUP(M255,GACETA!$A$1:$C$186,3,0)</f>
        <v>P</v>
      </c>
      <c r="O255" s="3" t="str">
        <f>VLOOKUP(M255,GACETA!$A$1:$C$186,2,0)</f>
        <v>Preservación y revalorización de usos y costumbres de los pueblos indígenas</v>
      </c>
      <c r="P255" s="245"/>
      <c r="Q255" s="248"/>
      <c r="R255" s="149" t="s">
        <v>1206</v>
      </c>
      <c r="S255" s="7" t="s">
        <v>86</v>
      </c>
      <c r="T255" s="7" t="s">
        <v>504</v>
      </c>
      <c r="U255" s="191"/>
    </row>
    <row r="256" spans="1:21" ht="60" x14ac:dyDescent="0.3">
      <c r="A256" s="280"/>
      <c r="B256" s="265"/>
      <c r="C256" s="33" t="s">
        <v>832</v>
      </c>
      <c r="D256" s="34" t="s">
        <v>835</v>
      </c>
      <c r="E256" s="34" t="s">
        <v>837</v>
      </c>
      <c r="F256" s="34" t="s">
        <v>829</v>
      </c>
      <c r="G256" s="61" t="s">
        <v>829</v>
      </c>
      <c r="H256" s="34"/>
      <c r="I256" s="6" t="s">
        <v>51</v>
      </c>
      <c r="J256" s="6"/>
      <c r="K256" s="3">
        <v>151</v>
      </c>
      <c r="L256" s="3" t="str">
        <f>VLOOKUP(K256,'GACETA 3'!$E$9:$F$75,2,0)</f>
        <v>Atención a los Pueblos Indígenas</v>
      </c>
      <c r="M256" s="3" t="str">
        <f t="shared" si="3"/>
        <v>0206070101</v>
      </c>
      <c r="N256" s="3" t="str">
        <f>VLOOKUP(M256,GACETA!$A$1:$C$186,3,0)</f>
        <v>P</v>
      </c>
      <c r="O256" s="3" t="str">
        <f>VLOOKUP(M256,GACETA!$A$1:$C$186,2,0)</f>
        <v>Preservación y revalorización de usos y costumbres de los pueblos indígenas</v>
      </c>
      <c r="P256" s="246"/>
      <c r="Q256" s="249"/>
      <c r="R256" s="149" t="s">
        <v>1207</v>
      </c>
      <c r="S256" s="7" t="s">
        <v>86</v>
      </c>
      <c r="T256" s="7" t="s">
        <v>173</v>
      </c>
      <c r="U256" s="191"/>
    </row>
    <row r="257" spans="1:21" ht="60" x14ac:dyDescent="0.3">
      <c r="A257" s="280"/>
      <c r="B257" s="265"/>
      <c r="C257" s="33" t="s">
        <v>829</v>
      </c>
      <c r="D257" s="39" t="s">
        <v>834</v>
      </c>
      <c r="E257" s="39" t="s">
        <v>829</v>
      </c>
      <c r="F257" s="39" t="s">
        <v>829</v>
      </c>
      <c r="G257" s="74" t="s">
        <v>829</v>
      </c>
      <c r="H257" s="39"/>
      <c r="I257" s="6" t="s">
        <v>51</v>
      </c>
      <c r="J257" s="6"/>
      <c r="K257" s="1">
        <v>112</v>
      </c>
      <c r="L257" s="3" t="str">
        <f>VLOOKUP(K257,'GACETA 3'!$E$9:$F$75,2,0)</f>
        <v>Participación Ciudadana</v>
      </c>
      <c r="M257" s="3" t="str">
        <f t="shared" si="3"/>
        <v>0108010101</v>
      </c>
      <c r="N257" s="3" t="str">
        <f>VLOOKUP(M257,GACETA!$A$1:$C$186,3,0)</f>
        <v>E</v>
      </c>
      <c r="O257" s="3" t="str">
        <f>VLOOKUP(M257,GACETA!$A$1:$C$186,2,0)</f>
        <v>Asesoría jurídica para los mexiquenses</v>
      </c>
      <c r="P257" s="247" t="s">
        <v>485</v>
      </c>
      <c r="Q257" s="241" t="s">
        <v>486</v>
      </c>
      <c r="R257" s="149" t="s">
        <v>487</v>
      </c>
      <c r="S257" s="6" t="s">
        <v>86</v>
      </c>
      <c r="T257" s="6" t="s">
        <v>488</v>
      </c>
      <c r="U257" s="191"/>
    </row>
    <row r="258" spans="1:21" ht="60" x14ac:dyDescent="0.3">
      <c r="A258" s="280"/>
      <c r="B258" s="265"/>
      <c r="C258" s="33" t="s">
        <v>829</v>
      </c>
      <c r="D258" s="39" t="s">
        <v>834</v>
      </c>
      <c r="E258" s="39" t="s">
        <v>829</v>
      </c>
      <c r="F258" s="39" t="s">
        <v>829</v>
      </c>
      <c r="G258" s="74" t="s">
        <v>829</v>
      </c>
      <c r="H258" s="39"/>
      <c r="I258" s="6" t="s">
        <v>51</v>
      </c>
      <c r="J258" s="6"/>
      <c r="K258" s="1">
        <v>112</v>
      </c>
      <c r="L258" s="3" t="str">
        <f>VLOOKUP(K258,'GACETA 3'!$E$9:$F$75,2,0)</f>
        <v>Participación Ciudadana</v>
      </c>
      <c r="M258" s="3" t="str">
        <f t="shared" si="3"/>
        <v>0108010101</v>
      </c>
      <c r="N258" s="3" t="str">
        <f>VLOOKUP(M258,GACETA!$A$1:$C$186,3,0)</f>
        <v>E</v>
      </c>
      <c r="O258" s="3" t="str">
        <f>VLOOKUP(M258,GACETA!$A$1:$C$186,2,0)</f>
        <v>Asesoría jurídica para los mexiquenses</v>
      </c>
      <c r="P258" s="248"/>
      <c r="Q258" s="296"/>
      <c r="R258" s="149" t="s">
        <v>489</v>
      </c>
      <c r="S258" s="6" t="s">
        <v>86</v>
      </c>
      <c r="T258" s="6" t="s">
        <v>490</v>
      </c>
      <c r="U258" s="191"/>
    </row>
    <row r="259" spans="1:21" ht="60" x14ac:dyDescent="0.3">
      <c r="A259" s="280"/>
      <c r="B259" s="265"/>
      <c r="C259" s="33" t="s">
        <v>829</v>
      </c>
      <c r="D259" s="39" t="s">
        <v>834</v>
      </c>
      <c r="E259" s="39" t="s">
        <v>829</v>
      </c>
      <c r="F259" s="39" t="s">
        <v>829</v>
      </c>
      <c r="G259" s="74" t="s">
        <v>829</v>
      </c>
      <c r="H259" s="39"/>
      <c r="I259" s="6" t="s">
        <v>51</v>
      </c>
      <c r="J259" s="6"/>
      <c r="K259" s="1">
        <v>112</v>
      </c>
      <c r="L259" s="3" t="str">
        <f>VLOOKUP(K259,'GACETA 3'!$E$9:$F$75,2,0)</f>
        <v>Participación Ciudadana</v>
      </c>
      <c r="M259" s="3" t="str">
        <f t="shared" ref="M259:M322" si="4">CONCATENATE(C259,D259,E259,F259,G259)</f>
        <v>0108010101</v>
      </c>
      <c r="N259" s="3" t="str">
        <f>VLOOKUP(M259,GACETA!$A$1:$C$186,3,0)</f>
        <v>E</v>
      </c>
      <c r="O259" s="3" t="str">
        <f>VLOOKUP(M259,GACETA!$A$1:$C$186,2,0)</f>
        <v>Asesoría jurídica para los mexiquenses</v>
      </c>
      <c r="P259" s="248"/>
      <c r="Q259" s="296"/>
      <c r="R259" s="149" t="s">
        <v>491</v>
      </c>
      <c r="S259" s="6" t="s">
        <v>86</v>
      </c>
      <c r="T259" s="6" t="s">
        <v>169</v>
      </c>
      <c r="U259" s="191"/>
    </row>
    <row r="260" spans="1:21" ht="60" x14ac:dyDescent="0.3">
      <c r="A260" s="280"/>
      <c r="B260" s="265"/>
      <c r="C260" s="33" t="s">
        <v>829</v>
      </c>
      <c r="D260" s="39" t="s">
        <v>834</v>
      </c>
      <c r="E260" s="39" t="s">
        <v>829</v>
      </c>
      <c r="F260" s="39" t="s">
        <v>829</v>
      </c>
      <c r="G260" s="74" t="s">
        <v>829</v>
      </c>
      <c r="H260" s="39"/>
      <c r="I260" s="6" t="s">
        <v>51</v>
      </c>
      <c r="J260" s="6"/>
      <c r="K260" s="1">
        <v>112</v>
      </c>
      <c r="L260" s="3" t="str">
        <f>VLOOKUP(K260,'GACETA 3'!$E$9:$F$75,2,0)</f>
        <v>Participación Ciudadana</v>
      </c>
      <c r="M260" s="3" t="str">
        <f t="shared" si="4"/>
        <v>0108010101</v>
      </c>
      <c r="N260" s="3" t="str">
        <f>VLOOKUP(M260,GACETA!$A$1:$C$186,3,0)</f>
        <v>E</v>
      </c>
      <c r="O260" s="3" t="str">
        <f>VLOOKUP(M260,GACETA!$A$1:$C$186,2,0)</f>
        <v>Asesoría jurídica para los mexiquenses</v>
      </c>
      <c r="P260" s="248"/>
      <c r="Q260" s="296"/>
      <c r="R260" s="149" t="s">
        <v>492</v>
      </c>
      <c r="S260" s="6" t="s">
        <v>86</v>
      </c>
      <c r="T260" s="6" t="s">
        <v>493</v>
      </c>
      <c r="U260" s="191"/>
    </row>
    <row r="261" spans="1:21" ht="60" x14ac:dyDescent="0.3">
      <c r="A261" s="280"/>
      <c r="B261" s="265"/>
      <c r="C261" s="33" t="s">
        <v>829</v>
      </c>
      <c r="D261" s="39" t="s">
        <v>834</v>
      </c>
      <c r="E261" s="39" t="s">
        <v>829</v>
      </c>
      <c r="F261" s="39" t="s">
        <v>829</v>
      </c>
      <c r="G261" s="74" t="s">
        <v>829</v>
      </c>
      <c r="H261" s="39"/>
      <c r="I261" s="6" t="s">
        <v>51</v>
      </c>
      <c r="J261" s="6"/>
      <c r="K261" s="1">
        <v>112</v>
      </c>
      <c r="L261" s="3" t="str">
        <f>VLOOKUP(K261,'GACETA 3'!$E$9:$F$75,2,0)</f>
        <v>Participación Ciudadana</v>
      </c>
      <c r="M261" s="3" t="str">
        <f t="shared" si="4"/>
        <v>0108010101</v>
      </c>
      <c r="N261" s="3" t="str">
        <f>VLOOKUP(M261,GACETA!$A$1:$C$186,3,0)</f>
        <v>E</v>
      </c>
      <c r="O261" s="3" t="str">
        <f>VLOOKUP(M261,GACETA!$A$1:$C$186,2,0)</f>
        <v>Asesoría jurídica para los mexiquenses</v>
      </c>
      <c r="P261" s="248"/>
      <c r="Q261" s="296"/>
      <c r="R261" s="149" t="s">
        <v>495</v>
      </c>
      <c r="S261" s="6" t="s">
        <v>86</v>
      </c>
      <c r="T261" s="6" t="s">
        <v>496</v>
      </c>
      <c r="U261" s="191"/>
    </row>
    <row r="262" spans="1:21" ht="60" x14ac:dyDescent="0.3">
      <c r="A262" s="281"/>
      <c r="B262" s="266"/>
      <c r="C262" s="33" t="s">
        <v>829</v>
      </c>
      <c r="D262" s="39" t="s">
        <v>834</v>
      </c>
      <c r="E262" s="39" t="s">
        <v>829</v>
      </c>
      <c r="F262" s="39" t="s">
        <v>829</v>
      </c>
      <c r="G262" s="74" t="s">
        <v>829</v>
      </c>
      <c r="H262" s="39"/>
      <c r="I262" s="6" t="s">
        <v>51</v>
      </c>
      <c r="J262" s="6"/>
      <c r="K262" s="1">
        <v>112</v>
      </c>
      <c r="L262" s="3" t="str">
        <f>VLOOKUP(K262,'GACETA 3'!$E$9:$F$75,2,0)</f>
        <v>Participación Ciudadana</v>
      </c>
      <c r="M262" s="3" t="str">
        <f t="shared" si="4"/>
        <v>0108010101</v>
      </c>
      <c r="N262" s="3" t="str">
        <f>VLOOKUP(M262,GACETA!$A$1:$C$186,3,0)</f>
        <v>E</v>
      </c>
      <c r="O262" s="3" t="str">
        <f>VLOOKUP(M262,GACETA!$A$1:$C$186,2,0)</f>
        <v>Asesoría jurídica para los mexiquenses</v>
      </c>
      <c r="P262" s="249"/>
      <c r="Q262" s="242"/>
      <c r="R262" s="149" t="s">
        <v>1208</v>
      </c>
      <c r="S262" s="6" t="s">
        <v>86</v>
      </c>
      <c r="T262" s="6" t="s">
        <v>610</v>
      </c>
    </row>
    <row r="263" spans="1:21" ht="32.25" customHeight="1" x14ac:dyDescent="0.3">
      <c r="A263" s="295" t="s">
        <v>57</v>
      </c>
      <c r="B263" s="272" t="s">
        <v>1242</v>
      </c>
      <c r="C263" s="33" t="s">
        <v>832</v>
      </c>
      <c r="D263" s="35" t="s">
        <v>835</v>
      </c>
      <c r="E263" s="35" t="s">
        <v>834</v>
      </c>
      <c r="F263" s="35" t="s">
        <v>833</v>
      </c>
      <c r="G263" s="74" t="s">
        <v>829</v>
      </c>
      <c r="H263" s="35"/>
      <c r="I263" s="5" t="s">
        <v>57</v>
      </c>
      <c r="J263" s="5"/>
      <c r="K263" s="10">
        <v>152</v>
      </c>
      <c r="L263" s="3" t="str">
        <f>VLOOKUP(K263,'GACETA 3'!$E$9:$F$75,2,0)</f>
        <v>Atención a la Mujer</v>
      </c>
      <c r="M263" s="3" t="str">
        <f t="shared" si="4"/>
        <v>0206080501</v>
      </c>
      <c r="N263" s="3" t="str">
        <f>VLOOKUP(M263,GACETA!$A$1:$C$186,3,0)</f>
        <v>E</v>
      </c>
      <c r="O263" s="3" t="str">
        <f>VLOOKUP(M263,GACETA!$A$1:$C$186,2,0)</f>
        <v>Coordinación Institucional para la igualdad de género</v>
      </c>
      <c r="P263" s="239" t="s">
        <v>1263</v>
      </c>
      <c r="Q263" s="239" t="s">
        <v>642</v>
      </c>
      <c r="R263" s="147" t="s">
        <v>791</v>
      </c>
      <c r="S263" s="7" t="s">
        <v>86</v>
      </c>
      <c r="T263" s="7" t="s">
        <v>181</v>
      </c>
      <c r="U263" s="158"/>
    </row>
    <row r="264" spans="1:21" ht="45" x14ac:dyDescent="0.3">
      <c r="A264" s="280"/>
      <c r="B264" s="273"/>
      <c r="C264" s="33" t="s">
        <v>832</v>
      </c>
      <c r="D264" s="35" t="s">
        <v>835</v>
      </c>
      <c r="E264" s="35" t="s">
        <v>834</v>
      </c>
      <c r="F264" s="35" t="s">
        <v>833</v>
      </c>
      <c r="G264" s="74" t="s">
        <v>829</v>
      </c>
      <c r="H264" s="35"/>
      <c r="I264" s="5" t="s">
        <v>57</v>
      </c>
      <c r="J264" s="5"/>
      <c r="K264" s="10">
        <v>152</v>
      </c>
      <c r="L264" s="3" t="str">
        <f>VLOOKUP(K264,'GACETA 3'!$E$9:$F$75,2,0)</f>
        <v>Atención a la Mujer</v>
      </c>
      <c r="M264" s="3" t="str">
        <f t="shared" si="4"/>
        <v>0206080501</v>
      </c>
      <c r="N264" s="3" t="str">
        <f>VLOOKUP(M264,GACETA!$A$1:$C$186,3,0)</f>
        <v>E</v>
      </c>
      <c r="O264" s="3" t="str">
        <f>VLOOKUP(M264,GACETA!$A$1:$C$186,2,0)</f>
        <v>Coordinación Institucional para la igualdad de género</v>
      </c>
      <c r="P264" s="243"/>
      <c r="Q264" s="243"/>
      <c r="R264" s="147" t="s">
        <v>792</v>
      </c>
      <c r="S264" s="7" t="s">
        <v>86</v>
      </c>
      <c r="T264" s="7" t="s">
        <v>130</v>
      </c>
      <c r="U264" s="158"/>
    </row>
    <row r="265" spans="1:21" ht="45" x14ac:dyDescent="0.3">
      <c r="A265" s="280"/>
      <c r="B265" s="273"/>
      <c r="C265" s="33" t="s">
        <v>832</v>
      </c>
      <c r="D265" s="35" t="s">
        <v>835</v>
      </c>
      <c r="E265" s="35" t="s">
        <v>834</v>
      </c>
      <c r="F265" s="35" t="s">
        <v>833</v>
      </c>
      <c r="G265" s="74" t="s">
        <v>829</v>
      </c>
      <c r="H265" s="35"/>
      <c r="I265" s="5" t="s">
        <v>57</v>
      </c>
      <c r="J265" s="5"/>
      <c r="K265" s="10">
        <v>152</v>
      </c>
      <c r="L265" s="3" t="str">
        <f>VLOOKUP(K265,'GACETA 3'!$E$9:$F$75,2,0)</f>
        <v>Atención a la Mujer</v>
      </c>
      <c r="M265" s="3" t="str">
        <f t="shared" si="4"/>
        <v>0206080501</v>
      </c>
      <c r="N265" s="3" t="str">
        <f>VLOOKUP(M265,GACETA!$A$1:$C$186,3,0)</f>
        <v>E</v>
      </c>
      <c r="O265" s="3" t="str">
        <f>VLOOKUP(M265,GACETA!$A$1:$C$186,2,0)</f>
        <v>Coordinación Institucional para la igualdad de género</v>
      </c>
      <c r="P265" s="243"/>
      <c r="Q265" s="243"/>
      <c r="R265" s="147" t="s">
        <v>793</v>
      </c>
      <c r="S265" s="7" t="s">
        <v>86</v>
      </c>
      <c r="T265" s="7" t="s">
        <v>337</v>
      </c>
      <c r="U265" s="158"/>
    </row>
    <row r="266" spans="1:21" ht="45" x14ac:dyDescent="0.3">
      <c r="A266" s="280"/>
      <c r="B266" s="273"/>
      <c r="C266" s="33" t="s">
        <v>832</v>
      </c>
      <c r="D266" s="35" t="s">
        <v>835</v>
      </c>
      <c r="E266" s="35" t="s">
        <v>834</v>
      </c>
      <c r="F266" s="35" t="s">
        <v>833</v>
      </c>
      <c r="G266" s="74" t="s">
        <v>829</v>
      </c>
      <c r="H266" s="35"/>
      <c r="I266" s="5" t="s">
        <v>57</v>
      </c>
      <c r="J266" s="5"/>
      <c r="K266" s="10">
        <v>152</v>
      </c>
      <c r="L266" s="3" t="str">
        <f>VLOOKUP(K266,'GACETA 3'!$E$9:$F$75,2,0)</f>
        <v>Atención a la Mujer</v>
      </c>
      <c r="M266" s="3" t="str">
        <f t="shared" si="4"/>
        <v>0206080501</v>
      </c>
      <c r="N266" s="3" t="str">
        <f>VLOOKUP(M266,GACETA!$A$1:$C$186,3,0)</f>
        <v>E</v>
      </c>
      <c r="O266" s="3" t="str">
        <f>VLOOKUP(M266,GACETA!$A$1:$C$186,2,0)</f>
        <v>Coordinación Institucional para la igualdad de género</v>
      </c>
      <c r="P266" s="243"/>
      <c r="Q266" s="243"/>
      <c r="R266" s="147" t="s">
        <v>1243</v>
      </c>
      <c r="S266" s="7" t="s">
        <v>86</v>
      </c>
      <c r="T266" s="7" t="s">
        <v>130</v>
      </c>
      <c r="U266" s="158"/>
    </row>
    <row r="267" spans="1:21" ht="45" x14ac:dyDescent="0.3">
      <c r="A267" s="280"/>
      <c r="B267" s="273"/>
      <c r="C267" s="33" t="s">
        <v>832</v>
      </c>
      <c r="D267" s="35" t="s">
        <v>835</v>
      </c>
      <c r="E267" s="35" t="s">
        <v>834</v>
      </c>
      <c r="F267" s="35" t="s">
        <v>833</v>
      </c>
      <c r="G267" s="74" t="s">
        <v>829</v>
      </c>
      <c r="H267" s="35"/>
      <c r="I267" s="5" t="s">
        <v>57</v>
      </c>
      <c r="J267" s="5"/>
      <c r="K267" s="10">
        <v>152</v>
      </c>
      <c r="L267" s="3" t="str">
        <f>VLOOKUP(K267,'GACETA 3'!$E$9:$F$75,2,0)</f>
        <v>Atención a la Mujer</v>
      </c>
      <c r="M267" s="3" t="str">
        <f t="shared" si="4"/>
        <v>0206080501</v>
      </c>
      <c r="N267" s="3" t="str">
        <f>VLOOKUP(M267,GACETA!$A$1:$C$186,3,0)</f>
        <v>E</v>
      </c>
      <c r="O267" s="3" t="str">
        <f>VLOOKUP(M267,GACETA!$A$1:$C$186,2,0)</f>
        <v>Coordinación Institucional para la igualdad de género</v>
      </c>
      <c r="P267" s="243"/>
      <c r="Q267" s="243"/>
      <c r="R267" s="147" t="s">
        <v>1244</v>
      </c>
      <c r="S267" s="7" t="s">
        <v>86</v>
      </c>
      <c r="T267" s="7" t="s">
        <v>599</v>
      </c>
      <c r="U267" s="158"/>
    </row>
    <row r="268" spans="1:21" ht="45" x14ac:dyDescent="0.3">
      <c r="A268" s="280"/>
      <c r="B268" s="273"/>
      <c r="C268" s="33" t="s">
        <v>832</v>
      </c>
      <c r="D268" s="35" t="s">
        <v>835</v>
      </c>
      <c r="E268" s="35" t="s">
        <v>834</v>
      </c>
      <c r="F268" s="35" t="s">
        <v>833</v>
      </c>
      <c r="G268" s="74" t="s">
        <v>829</v>
      </c>
      <c r="H268" s="35"/>
      <c r="I268" s="5" t="s">
        <v>57</v>
      </c>
      <c r="J268" s="5"/>
      <c r="K268" s="10">
        <v>152</v>
      </c>
      <c r="L268" s="3" t="str">
        <f>VLOOKUP(K268,'GACETA 3'!$E$9:$F$75,2,0)</f>
        <v>Atención a la Mujer</v>
      </c>
      <c r="M268" s="3" t="str">
        <f t="shared" si="4"/>
        <v>0206080501</v>
      </c>
      <c r="N268" s="3" t="str">
        <f>VLOOKUP(M268,GACETA!$A$1:$C$186,3,0)</f>
        <v>E</v>
      </c>
      <c r="O268" s="3" t="str">
        <f>VLOOKUP(M268,GACETA!$A$1:$C$186,2,0)</f>
        <v>Coordinación Institucional para la igualdad de género</v>
      </c>
      <c r="P268" s="243"/>
      <c r="Q268" s="243"/>
      <c r="R268" s="147" t="s">
        <v>1245</v>
      </c>
      <c r="S268" s="7" t="s">
        <v>86</v>
      </c>
      <c r="T268" s="7" t="s">
        <v>1247</v>
      </c>
      <c r="U268" s="158"/>
    </row>
    <row r="269" spans="1:21" ht="45" x14ac:dyDescent="0.3">
      <c r="A269" s="280"/>
      <c r="B269" s="273"/>
      <c r="C269" s="33" t="s">
        <v>832</v>
      </c>
      <c r="D269" s="35" t="s">
        <v>835</v>
      </c>
      <c r="E269" s="35" t="s">
        <v>834</v>
      </c>
      <c r="F269" s="35" t="s">
        <v>833</v>
      </c>
      <c r="G269" s="74" t="s">
        <v>829</v>
      </c>
      <c r="H269" s="35"/>
      <c r="I269" s="5" t="s">
        <v>57</v>
      </c>
      <c r="J269" s="5"/>
      <c r="K269" s="10">
        <v>152</v>
      </c>
      <c r="L269" s="3" t="str">
        <f>VLOOKUP(K269,'GACETA 3'!$E$9:$F$75,2,0)</f>
        <v>Atención a la Mujer</v>
      </c>
      <c r="M269" s="3" t="str">
        <f t="shared" si="4"/>
        <v>0206080501</v>
      </c>
      <c r="N269" s="3" t="str">
        <f>VLOOKUP(M269,GACETA!$A$1:$C$186,3,0)</f>
        <v>E</v>
      </c>
      <c r="O269" s="3" t="str">
        <f>VLOOKUP(M269,GACETA!$A$1:$C$186,2,0)</f>
        <v>Coordinación Institucional para la igualdad de género</v>
      </c>
      <c r="P269" s="243"/>
      <c r="Q269" s="240"/>
      <c r="R269" s="147" t="s">
        <v>1246</v>
      </c>
      <c r="S269" s="7" t="s">
        <v>86</v>
      </c>
      <c r="T269" s="7" t="s">
        <v>1248</v>
      </c>
      <c r="U269" s="158"/>
    </row>
    <row r="270" spans="1:21" ht="34.5" customHeight="1" x14ac:dyDescent="0.3">
      <c r="A270" s="280"/>
      <c r="B270" s="273"/>
      <c r="C270" s="33" t="s">
        <v>832</v>
      </c>
      <c r="D270" s="35" t="s">
        <v>835</v>
      </c>
      <c r="E270" s="35" t="s">
        <v>834</v>
      </c>
      <c r="F270" s="35" t="s">
        <v>833</v>
      </c>
      <c r="G270" s="74" t="s">
        <v>832</v>
      </c>
      <c r="H270" s="35"/>
      <c r="I270" s="5" t="s">
        <v>57</v>
      </c>
      <c r="J270" s="5"/>
      <c r="K270" s="10">
        <v>152</v>
      </c>
      <c r="L270" s="3" t="str">
        <f>VLOOKUP(K270,'GACETA 3'!$E$9:$F$75,2,0)</f>
        <v>Atención a la Mujer</v>
      </c>
      <c r="M270" s="3" t="str">
        <f t="shared" si="4"/>
        <v>0206080502</v>
      </c>
      <c r="N270" s="3" t="str">
        <f>VLOOKUP(M270,GACETA!$A$1:$C$186,3,0)</f>
        <v>S</v>
      </c>
      <c r="O270" s="3" t="str">
        <f>VLOOKUP(M270,GACETA!$A$1:$C$186,2,0)</f>
        <v>Cultura de igualdad entre la mujer y el hombre; y población LGBTTTIQ+, para la prevención de la violencia de género</v>
      </c>
      <c r="P270" s="243"/>
      <c r="Q270" s="239" t="s">
        <v>644</v>
      </c>
      <c r="R270" s="192" t="s">
        <v>1249</v>
      </c>
      <c r="S270" s="7" t="s">
        <v>86</v>
      </c>
      <c r="T270" s="183" t="s">
        <v>181</v>
      </c>
      <c r="U270" s="158"/>
    </row>
    <row r="271" spans="1:21" ht="75" x14ac:dyDescent="0.3">
      <c r="A271" s="280"/>
      <c r="B271" s="273"/>
      <c r="C271" s="33" t="s">
        <v>832</v>
      </c>
      <c r="D271" s="35" t="s">
        <v>835</v>
      </c>
      <c r="E271" s="35" t="s">
        <v>834</v>
      </c>
      <c r="F271" s="35" t="s">
        <v>833</v>
      </c>
      <c r="G271" s="74" t="s">
        <v>832</v>
      </c>
      <c r="H271" s="35"/>
      <c r="I271" s="5" t="s">
        <v>57</v>
      </c>
      <c r="J271" s="5"/>
      <c r="K271" s="10">
        <v>152</v>
      </c>
      <c r="L271" s="3" t="str">
        <f>VLOOKUP(K271,'GACETA 3'!$E$9:$F$75,2,0)</f>
        <v>Atención a la Mujer</v>
      </c>
      <c r="M271" s="3" t="str">
        <f t="shared" si="4"/>
        <v>0206080502</v>
      </c>
      <c r="N271" s="3" t="str">
        <f>VLOOKUP(M271,GACETA!$A$1:$C$186,3,0)</f>
        <v>S</v>
      </c>
      <c r="O271" s="3" t="str">
        <f>VLOOKUP(M271,GACETA!$A$1:$C$186,2,0)</f>
        <v>Cultura de igualdad entre la mujer y el hombre; y población LGBTTTIQ+, para la prevención de la violencia de género</v>
      </c>
      <c r="P271" s="243"/>
      <c r="Q271" s="243"/>
      <c r="R271" s="192" t="s">
        <v>1250</v>
      </c>
      <c r="S271" s="7" t="s">
        <v>86</v>
      </c>
      <c r="T271" s="183" t="s">
        <v>414</v>
      </c>
      <c r="U271" s="158"/>
    </row>
    <row r="272" spans="1:21" ht="75" x14ac:dyDescent="0.3">
      <c r="A272" s="280"/>
      <c r="B272" s="273"/>
      <c r="C272" s="33" t="s">
        <v>832</v>
      </c>
      <c r="D272" s="35" t="s">
        <v>835</v>
      </c>
      <c r="E272" s="35" t="s">
        <v>834</v>
      </c>
      <c r="F272" s="35" t="s">
        <v>833</v>
      </c>
      <c r="G272" s="74" t="s">
        <v>832</v>
      </c>
      <c r="H272" s="35"/>
      <c r="I272" s="5" t="s">
        <v>57</v>
      </c>
      <c r="J272" s="5"/>
      <c r="K272" s="10">
        <v>152</v>
      </c>
      <c r="L272" s="3" t="str">
        <f>VLOOKUP(K272,'GACETA 3'!$E$9:$F$75,2,0)</f>
        <v>Atención a la Mujer</v>
      </c>
      <c r="M272" s="3" t="str">
        <f t="shared" si="4"/>
        <v>0206080502</v>
      </c>
      <c r="N272" s="3" t="str">
        <f>VLOOKUP(M272,GACETA!$A$1:$C$186,3,0)</f>
        <v>S</v>
      </c>
      <c r="O272" s="3" t="str">
        <f>VLOOKUP(M272,GACETA!$A$1:$C$186,2,0)</f>
        <v>Cultura de igualdad entre la mujer y el hombre; y población LGBTTTIQ+, para la prevención de la violencia de género</v>
      </c>
      <c r="P272" s="243"/>
      <c r="Q272" s="243"/>
      <c r="R272" s="192" t="s">
        <v>1251</v>
      </c>
      <c r="S272" s="7" t="s">
        <v>86</v>
      </c>
      <c r="T272" s="183" t="s">
        <v>776</v>
      </c>
      <c r="U272" s="158"/>
    </row>
    <row r="273" spans="1:21" ht="75" x14ac:dyDescent="0.3">
      <c r="A273" s="280"/>
      <c r="B273" s="273"/>
      <c r="C273" s="33" t="s">
        <v>832</v>
      </c>
      <c r="D273" s="35" t="s">
        <v>835</v>
      </c>
      <c r="E273" s="35" t="s">
        <v>834</v>
      </c>
      <c r="F273" s="35" t="s">
        <v>833</v>
      </c>
      <c r="G273" s="74" t="s">
        <v>832</v>
      </c>
      <c r="H273" s="35"/>
      <c r="I273" s="5" t="s">
        <v>57</v>
      </c>
      <c r="J273" s="5"/>
      <c r="K273" s="10">
        <v>152</v>
      </c>
      <c r="L273" s="3" t="str">
        <f>VLOOKUP(K273,'GACETA 3'!$E$9:$F$75,2,0)</f>
        <v>Atención a la Mujer</v>
      </c>
      <c r="M273" s="3" t="str">
        <f t="shared" si="4"/>
        <v>0206080502</v>
      </c>
      <c r="N273" s="3" t="str">
        <f>VLOOKUP(M273,GACETA!$A$1:$C$186,3,0)</f>
        <v>S</v>
      </c>
      <c r="O273" s="3" t="str">
        <f>VLOOKUP(M273,GACETA!$A$1:$C$186,2,0)</f>
        <v>Cultura de igualdad entre la mujer y el hombre; y población LGBTTTIQ+, para la prevención de la violencia de género</v>
      </c>
      <c r="P273" s="243"/>
      <c r="Q273" s="243"/>
      <c r="R273" s="192" t="s">
        <v>1252</v>
      </c>
      <c r="S273" s="7" t="s">
        <v>86</v>
      </c>
      <c r="T273" s="183" t="s">
        <v>1260</v>
      </c>
      <c r="U273" s="158"/>
    </row>
    <row r="274" spans="1:21" ht="75" x14ac:dyDescent="0.3">
      <c r="A274" s="280"/>
      <c r="B274" s="273"/>
      <c r="C274" s="33" t="s">
        <v>832</v>
      </c>
      <c r="D274" s="35" t="s">
        <v>835</v>
      </c>
      <c r="E274" s="35" t="s">
        <v>834</v>
      </c>
      <c r="F274" s="35" t="s">
        <v>833</v>
      </c>
      <c r="G274" s="74" t="s">
        <v>832</v>
      </c>
      <c r="H274" s="35"/>
      <c r="I274" s="5" t="s">
        <v>57</v>
      </c>
      <c r="J274" s="5"/>
      <c r="K274" s="10">
        <v>152</v>
      </c>
      <c r="L274" s="3" t="str">
        <f>VLOOKUP(K274,'GACETA 3'!$E$9:$F$75,2,0)</f>
        <v>Atención a la Mujer</v>
      </c>
      <c r="M274" s="3" t="str">
        <f t="shared" si="4"/>
        <v>0206080502</v>
      </c>
      <c r="N274" s="3" t="str">
        <f>VLOOKUP(M274,GACETA!$A$1:$C$186,3,0)</f>
        <v>S</v>
      </c>
      <c r="O274" s="3" t="str">
        <f>VLOOKUP(M274,GACETA!$A$1:$C$186,2,0)</f>
        <v>Cultura de igualdad entre la mujer y el hombre; y población LGBTTTIQ+, para la prevención de la violencia de género</v>
      </c>
      <c r="P274" s="243"/>
      <c r="Q274" s="243"/>
      <c r="R274" s="192" t="s">
        <v>1253</v>
      </c>
      <c r="S274" s="7" t="s">
        <v>86</v>
      </c>
      <c r="T274" s="183" t="s">
        <v>1261</v>
      </c>
      <c r="U274" s="158"/>
    </row>
    <row r="275" spans="1:21" ht="75" x14ac:dyDescent="0.3">
      <c r="A275" s="280"/>
      <c r="B275" s="273"/>
      <c r="C275" s="33" t="s">
        <v>832</v>
      </c>
      <c r="D275" s="35" t="s">
        <v>835</v>
      </c>
      <c r="E275" s="35" t="s">
        <v>834</v>
      </c>
      <c r="F275" s="35" t="s">
        <v>833</v>
      </c>
      <c r="G275" s="74" t="s">
        <v>832</v>
      </c>
      <c r="H275" s="35"/>
      <c r="I275" s="5" t="s">
        <v>57</v>
      </c>
      <c r="J275" s="5"/>
      <c r="K275" s="10">
        <v>152</v>
      </c>
      <c r="L275" s="3" t="str">
        <f>VLOOKUP(K275,'GACETA 3'!$E$9:$F$75,2,0)</f>
        <v>Atención a la Mujer</v>
      </c>
      <c r="M275" s="3" t="str">
        <f t="shared" si="4"/>
        <v>0206080502</v>
      </c>
      <c r="N275" s="3" t="str">
        <f>VLOOKUP(M275,GACETA!$A$1:$C$186,3,0)</f>
        <v>S</v>
      </c>
      <c r="O275" s="3" t="str">
        <f>VLOOKUP(M275,GACETA!$A$1:$C$186,2,0)</f>
        <v>Cultura de igualdad entre la mujer y el hombre; y población LGBTTTIQ+, para la prevención de la violencia de género</v>
      </c>
      <c r="P275" s="243"/>
      <c r="Q275" s="243"/>
      <c r="R275" s="192" t="s">
        <v>1254</v>
      </c>
      <c r="S275" s="7" t="s">
        <v>86</v>
      </c>
      <c r="T275" s="183" t="s">
        <v>130</v>
      </c>
      <c r="U275" s="158"/>
    </row>
    <row r="276" spans="1:21" ht="75" x14ac:dyDescent="0.3">
      <c r="A276" s="280"/>
      <c r="B276" s="273"/>
      <c r="C276" s="33" t="s">
        <v>832</v>
      </c>
      <c r="D276" s="35" t="s">
        <v>835</v>
      </c>
      <c r="E276" s="35" t="s">
        <v>834</v>
      </c>
      <c r="F276" s="35" t="s">
        <v>833</v>
      </c>
      <c r="G276" s="74" t="s">
        <v>832</v>
      </c>
      <c r="H276" s="35"/>
      <c r="I276" s="5" t="s">
        <v>57</v>
      </c>
      <c r="J276" s="5"/>
      <c r="K276" s="10">
        <v>152</v>
      </c>
      <c r="L276" s="3" t="str">
        <f>VLOOKUP(K276,'GACETA 3'!$E$9:$F$75,2,0)</f>
        <v>Atención a la Mujer</v>
      </c>
      <c r="M276" s="3" t="str">
        <f t="shared" si="4"/>
        <v>0206080502</v>
      </c>
      <c r="N276" s="3" t="str">
        <f>VLOOKUP(M276,GACETA!$A$1:$C$186,3,0)</f>
        <v>S</v>
      </c>
      <c r="O276" s="3" t="str">
        <f>VLOOKUP(M276,GACETA!$A$1:$C$186,2,0)</f>
        <v>Cultura de igualdad entre la mujer y el hombre; y población LGBTTTIQ+, para la prevención de la violencia de género</v>
      </c>
      <c r="P276" s="243"/>
      <c r="Q276" s="243"/>
      <c r="R276" s="192" t="s">
        <v>1255</v>
      </c>
      <c r="S276" s="7" t="s">
        <v>86</v>
      </c>
      <c r="T276" s="183" t="s">
        <v>130</v>
      </c>
      <c r="U276" s="158"/>
    </row>
    <row r="277" spans="1:21" ht="75" x14ac:dyDescent="0.3">
      <c r="A277" s="280"/>
      <c r="B277" s="273"/>
      <c r="C277" s="33" t="s">
        <v>832</v>
      </c>
      <c r="D277" s="35" t="s">
        <v>835</v>
      </c>
      <c r="E277" s="35" t="s">
        <v>834</v>
      </c>
      <c r="F277" s="35" t="s">
        <v>833</v>
      </c>
      <c r="G277" s="74" t="s">
        <v>832</v>
      </c>
      <c r="H277" s="35"/>
      <c r="I277" s="5" t="s">
        <v>57</v>
      </c>
      <c r="J277" s="5"/>
      <c r="K277" s="10">
        <v>152</v>
      </c>
      <c r="L277" s="3" t="str">
        <f>VLOOKUP(K277,'GACETA 3'!$E$9:$F$75,2,0)</f>
        <v>Atención a la Mujer</v>
      </c>
      <c r="M277" s="3" t="str">
        <f t="shared" si="4"/>
        <v>0206080502</v>
      </c>
      <c r="N277" s="3" t="str">
        <f>VLOOKUP(M277,GACETA!$A$1:$C$186,3,0)</f>
        <v>S</v>
      </c>
      <c r="O277" s="3" t="str">
        <f>VLOOKUP(M277,GACETA!$A$1:$C$186,2,0)</f>
        <v>Cultura de igualdad entre la mujer y el hombre; y población LGBTTTIQ+, para la prevención de la violencia de género</v>
      </c>
      <c r="P277" s="243"/>
      <c r="Q277" s="243"/>
      <c r="R277" s="192" t="s">
        <v>1256</v>
      </c>
      <c r="S277" s="7" t="s">
        <v>86</v>
      </c>
      <c r="T277" s="183" t="s">
        <v>1132</v>
      </c>
      <c r="U277" s="158"/>
    </row>
    <row r="278" spans="1:21" ht="75" x14ac:dyDescent="0.3">
      <c r="A278" s="280"/>
      <c r="B278" s="273"/>
      <c r="C278" s="33" t="s">
        <v>832</v>
      </c>
      <c r="D278" s="35" t="s">
        <v>835</v>
      </c>
      <c r="E278" s="35" t="s">
        <v>834</v>
      </c>
      <c r="F278" s="35" t="s">
        <v>833</v>
      </c>
      <c r="G278" s="74" t="s">
        <v>832</v>
      </c>
      <c r="H278" s="35"/>
      <c r="I278" s="5" t="s">
        <v>57</v>
      </c>
      <c r="J278" s="5"/>
      <c r="K278" s="10">
        <v>152</v>
      </c>
      <c r="L278" s="3" t="str">
        <f>VLOOKUP(K278,'GACETA 3'!$E$9:$F$75,2,0)</f>
        <v>Atención a la Mujer</v>
      </c>
      <c r="M278" s="3" t="str">
        <f t="shared" si="4"/>
        <v>0206080502</v>
      </c>
      <c r="N278" s="3" t="str">
        <f>VLOOKUP(M278,GACETA!$A$1:$C$186,3,0)</f>
        <v>S</v>
      </c>
      <c r="O278" s="3" t="str">
        <f>VLOOKUP(M278,GACETA!$A$1:$C$186,2,0)</f>
        <v>Cultura de igualdad entre la mujer y el hombre; y población LGBTTTIQ+, para la prevención de la violencia de género</v>
      </c>
      <c r="P278" s="243"/>
      <c r="Q278" s="243"/>
      <c r="R278" s="192" t="s">
        <v>1257</v>
      </c>
      <c r="S278" s="7" t="s">
        <v>86</v>
      </c>
      <c r="T278" s="183" t="s">
        <v>208</v>
      </c>
      <c r="U278" s="158"/>
    </row>
    <row r="279" spans="1:21" ht="75" x14ac:dyDescent="0.3">
      <c r="A279" s="280"/>
      <c r="B279" s="273"/>
      <c r="C279" s="33" t="s">
        <v>832</v>
      </c>
      <c r="D279" s="35" t="s">
        <v>835</v>
      </c>
      <c r="E279" s="35" t="s">
        <v>834</v>
      </c>
      <c r="F279" s="35" t="s">
        <v>833</v>
      </c>
      <c r="G279" s="74" t="s">
        <v>832</v>
      </c>
      <c r="H279" s="35"/>
      <c r="I279" s="5" t="s">
        <v>57</v>
      </c>
      <c r="J279" s="5"/>
      <c r="K279" s="10">
        <v>152</v>
      </c>
      <c r="L279" s="3" t="str">
        <f>VLOOKUP(K279,'GACETA 3'!$E$9:$F$75,2,0)</f>
        <v>Atención a la Mujer</v>
      </c>
      <c r="M279" s="3" t="str">
        <f t="shared" si="4"/>
        <v>0206080502</v>
      </c>
      <c r="N279" s="3" t="str">
        <f>VLOOKUP(M279,GACETA!$A$1:$C$186,3,0)</f>
        <v>S</v>
      </c>
      <c r="O279" s="3" t="str">
        <f>VLOOKUP(M279,GACETA!$A$1:$C$186,2,0)</f>
        <v>Cultura de igualdad entre la mujer y el hombre; y población LGBTTTIQ+, para la prevención de la violencia de género</v>
      </c>
      <c r="P279" s="243"/>
      <c r="Q279" s="243"/>
      <c r="R279" s="185" t="s">
        <v>1258</v>
      </c>
      <c r="S279" s="7" t="s">
        <v>86</v>
      </c>
      <c r="T279" s="184" t="s">
        <v>126</v>
      </c>
      <c r="U279" s="158"/>
    </row>
    <row r="280" spans="1:21" ht="75" x14ac:dyDescent="0.3">
      <c r="A280" s="280"/>
      <c r="B280" s="273"/>
      <c r="C280" s="33" t="s">
        <v>832</v>
      </c>
      <c r="D280" s="35" t="s">
        <v>835</v>
      </c>
      <c r="E280" s="35" t="s">
        <v>834</v>
      </c>
      <c r="F280" s="35" t="s">
        <v>833</v>
      </c>
      <c r="G280" s="74" t="s">
        <v>832</v>
      </c>
      <c r="H280" s="35"/>
      <c r="I280" s="5" t="s">
        <v>57</v>
      </c>
      <c r="J280" s="5"/>
      <c r="K280" s="10">
        <v>152</v>
      </c>
      <c r="L280" s="3" t="str">
        <f>VLOOKUP(K280,'GACETA 3'!$E$9:$F$75,2,0)</f>
        <v>Atención a la Mujer</v>
      </c>
      <c r="M280" s="3" t="str">
        <f t="shared" si="4"/>
        <v>0206080502</v>
      </c>
      <c r="N280" s="3" t="str">
        <f>VLOOKUP(M280,GACETA!$A$1:$C$186,3,0)</f>
        <v>S</v>
      </c>
      <c r="O280" s="3" t="str">
        <f>VLOOKUP(M280,GACETA!$A$1:$C$186,2,0)</f>
        <v>Cultura de igualdad entre la mujer y el hombre; y población LGBTTTIQ+, para la prevención de la violencia de género</v>
      </c>
      <c r="P280" s="243"/>
      <c r="Q280" s="240"/>
      <c r="R280" s="185" t="s">
        <v>1259</v>
      </c>
      <c r="S280" s="7" t="s">
        <v>86</v>
      </c>
      <c r="T280" s="184" t="s">
        <v>126</v>
      </c>
      <c r="U280" s="158"/>
    </row>
    <row r="281" spans="1:21" ht="42.75" customHeight="1" x14ac:dyDescent="0.3">
      <c r="A281" s="280"/>
      <c r="B281" s="273"/>
      <c r="C281" s="33" t="s">
        <v>832</v>
      </c>
      <c r="D281" s="35" t="s">
        <v>835</v>
      </c>
      <c r="E281" s="35" t="s">
        <v>834</v>
      </c>
      <c r="F281" s="35" t="s">
        <v>833</v>
      </c>
      <c r="G281" s="74" t="s">
        <v>830</v>
      </c>
      <c r="H281" s="35"/>
      <c r="I281" s="5" t="s">
        <v>57</v>
      </c>
      <c r="J281" s="5"/>
      <c r="K281" s="10">
        <v>152</v>
      </c>
      <c r="L281" s="3" t="str">
        <f>VLOOKUP(K281,'GACETA 3'!$E$9:$F$75,2,0)</f>
        <v>Atención a la Mujer</v>
      </c>
      <c r="M281" s="3" t="str">
        <f t="shared" si="4"/>
        <v>0206080503</v>
      </c>
      <c r="N281" s="3" t="str">
        <f>VLOOKUP(M281,GACETA!$A$1:$C$186,3,0)</f>
        <v>E</v>
      </c>
      <c r="O281" s="3" t="str">
        <f>VLOOKUP(M281,GACETA!$A$1:$C$186,2,0)</f>
        <v>Apoyo social para el empoderamiento y bienestar económico de la mujer</v>
      </c>
      <c r="P281" s="243"/>
      <c r="Q281" s="239" t="s">
        <v>839</v>
      </c>
      <c r="R281" s="147" t="s">
        <v>648</v>
      </c>
      <c r="S281" s="7" t="s">
        <v>86</v>
      </c>
      <c r="T281" s="7" t="s">
        <v>337</v>
      </c>
      <c r="U281" s="158"/>
    </row>
    <row r="282" spans="1:21" ht="36" customHeight="1" x14ac:dyDescent="0.3">
      <c r="A282" s="280"/>
      <c r="B282" s="273"/>
      <c r="C282" s="33" t="s">
        <v>832</v>
      </c>
      <c r="D282" s="35" t="s">
        <v>835</v>
      </c>
      <c r="E282" s="35" t="s">
        <v>834</v>
      </c>
      <c r="F282" s="35" t="s">
        <v>833</v>
      </c>
      <c r="G282" s="74" t="s">
        <v>830</v>
      </c>
      <c r="H282" s="35"/>
      <c r="I282" s="5" t="s">
        <v>57</v>
      </c>
      <c r="J282" s="5"/>
      <c r="K282" s="10">
        <v>152</v>
      </c>
      <c r="L282" s="3" t="str">
        <f>VLOOKUP(K282,'GACETA 3'!$E$9:$F$75,2,0)</f>
        <v>Atención a la Mujer</v>
      </c>
      <c r="M282" s="3" t="str">
        <f t="shared" si="4"/>
        <v>0206080503</v>
      </c>
      <c r="N282" s="3" t="str">
        <f>VLOOKUP(M282,GACETA!$A$1:$C$186,3,0)</f>
        <v>E</v>
      </c>
      <c r="O282" s="3" t="str">
        <f>VLOOKUP(M282,GACETA!$A$1:$C$186,2,0)</f>
        <v>Apoyo social para el empoderamiento y bienestar económico de la mujer</v>
      </c>
      <c r="P282" s="240"/>
      <c r="Q282" s="240"/>
      <c r="R282" s="147" t="s">
        <v>1262</v>
      </c>
      <c r="S282" s="7" t="s">
        <v>86</v>
      </c>
      <c r="T282" s="7" t="s">
        <v>1071</v>
      </c>
      <c r="U282" s="158"/>
    </row>
    <row r="283" spans="1:21" ht="54.75" customHeight="1" x14ac:dyDescent="0.3">
      <c r="A283" s="280"/>
      <c r="B283" s="273"/>
      <c r="C283" s="33" t="s">
        <v>830</v>
      </c>
      <c r="D283" s="35" t="s">
        <v>829</v>
      </c>
      <c r="E283" s="35" t="s">
        <v>832</v>
      </c>
      <c r="F283" s="35" t="s">
        <v>830</v>
      </c>
      <c r="G283" s="74" t="s">
        <v>829</v>
      </c>
      <c r="H283" s="35"/>
      <c r="I283" s="5" t="s">
        <v>57</v>
      </c>
      <c r="J283" s="5"/>
      <c r="K283" s="10">
        <v>152</v>
      </c>
      <c r="L283" s="3" t="str">
        <f>VLOOKUP(K283,'GACETA 3'!$E$9:$F$75,2,0)</f>
        <v>Atención a la Mujer</v>
      </c>
      <c r="M283" s="3" t="str">
        <f t="shared" si="4"/>
        <v>0301020301</v>
      </c>
      <c r="N283" s="3" t="str">
        <f>VLOOKUP(M283,GACETA!$A$1:$C$186,3,0)</f>
        <v>E</v>
      </c>
      <c r="O283" s="3" t="str">
        <f>VLOOKUP(M283,GACETA!$A$1:$C$186,2,0)</f>
        <v>Capacitación de la mujer para el trabajo</v>
      </c>
      <c r="P283" s="79" t="s">
        <v>649</v>
      </c>
      <c r="Q283" s="79" t="s">
        <v>650</v>
      </c>
      <c r="R283" s="147" t="s">
        <v>651</v>
      </c>
      <c r="S283" s="7" t="s">
        <v>86</v>
      </c>
      <c r="T283" s="7" t="s">
        <v>261</v>
      </c>
      <c r="U283" s="158"/>
    </row>
    <row r="284" spans="1:21" ht="80.25" customHeight="1" x14ac:dyDescent="0.3">
      <c r="A284" s="80"/>
      <c r="B284" s="82"/>
      <c r="C284" s="33" t="s">
        <v>829</v>
      </c>
      <c r="D284" s="35" t="s">
        <v>837</v>
      </c>
      <c r="E284" s="35" t="s">
        <v>829</v>
      </c>
      <c r="F284" s="35" t="s">
        <v>829</v>
      </c>
      <c r="G284" s="74" t="s">
        <v>832</v>
      </c>
      <c r="H284" s="35"/>
      <c r="I284" s="5" t="s">
        <v>48</v>
      </c>
      <c r="J284" s="5"/>
      <c r="K284" s="10">
        <v>152</v>
      </c>
      <c r="L284" s="3" t="str">
        <f>VLOOKUP(K284,'GACETA 3'!$E$9:$F$75,2,0)</f>
        <v>Atención a la Mujer</v>
      </c>
      <c r="M284" s="3" t="str">
        <f t="shared" si="4"/>
        <v>0107010102</v>
      </c>
      <c r="N284" s="3" t="str">
        <f>VLOOKUP(M284,GACETA!$A$1:$C$186,3,0)</f>
        <v>M</v>
      </c>
      <c r="O284" s="3" t="str">
        <f>VLOOKUP(M284,GACETA!$A$1:$C$186,2,0)</f>
        <v>Tecnología, inteligencia e investigación para la prevención y combate al delito</v>
      </c>
      <c r="P284" s="239" t="s">
        <v>226</v>
      </c>
      <c r="Q284" s="239" t="s">
        <v>1264</v>
      </c>
      <c r="R284" s="147" t="s">
        <v>1282</v>
      </c>
      <c r="S284" s="7" t="s">
        <v>86</v>
      </c>
      <c r="T284" s="7" t="s">
        <v>1283</v>
      </c>
      <c r="U284" s="158"/>
    </row>
    <row r="285" spans="1:21" ht="80.25" customHeight="1" x14ac:dyDescent="0.3">
      <c r="A285" s="80"/>
      <c r="B285" s="82"/>
      <c r="C285" s="33"/>
      <c r="D285" s="35"/>
      <c r="E285" s="35"/>
      <c r="F285" s="35"/>
      <c r="G285" s="74"/>
      <c r="H285" s="35"/>
      <c r="I285" s="5"/>
      <c r="J285" s="5"/>
      <c r="K285" s="10"/>
      <c r="L285" s="3" t="e">
        <f>VLOOKUP(K285,'GACETA 3'!$E$9:$F$75,2,0)</f>
        <v>#N/A</v>
      </c>
      <c r="M285" s="3" t="str">
        <f t="shared" si="4"/>
        <v/>
      </c>
      <c r="N285" s="3" t="e">
        <f>VLOOKUP(M285,GACETA!$A$1:$C$186,3,0)</f>
        <v>#N/A</v>
      </c>
      <c r="O285" s="3" t="e">
        <f>VLOOKUP(M285,GACETA!$A$1:$C$186,2,0)</f>
        <v>#N/A</v>
      </c>
      <c r="P285" s="240"/>
      <c r="Q285" s="240"/>
      <c r="R285" s="147" t="s">
        <v>1280</v>
      </c>
      <c r="S285" s="7" t="s">
        <v>86</v>
      </c>
      <c r="T285" s="7" t="s">
        <v>1281</v>
      </c>
      <c r="U285" s="158"/>
    </row>
    <row r="286" spans="1:21" ht="30" x14ac:dyDescent="0.3">
      <c r="A286" s="295" t="s">
        <v>56</v>
      </c>
      <c r="B286" s="264" t="s">
        <v>760</v>
      </c>
      <c r="C286" s="33" t="s">
        <v>829</v>
      </c>
      <c r="D286" s="39" t="s">
        <v>830</v>
      </c>
      <c r="E286" s="39" t="s">
        <v>833</v>
      </c>
      <c r="F286" s="39" t="s">
        <v>829</v>
      </c>
      <c r="G286" s="74" t="s">
        <v>836</v>
      </c>
      <c r="H286" s="39"/>
      <c r="I286" s="8" t="s">
        <v>56</v>
      </c>
      <c r="J286" s="8"/>
      <c r="K286" s="1">
        <v>155</v>
      </c>
      <c r="L286" s="3" t="str">
        <f>VLOOKUP(K286,'GACETA 3'!$E$9:$F$75,2,0)</f>
        <v>Área Jurídica</v>
      </c>
      <c r="M286" s="3" t="str">
        <f t="shared" si="4"/>
        <v>0103050104</v>
      </c>
      <c r="N286" s="3" t="str">
        <f>VLOOKUP(M286,GACETA!$A$1:$C$186,3,0)</f>
        <v>L</v>
      </c>
      <c r="O286" s="3" t="str">
        <f>VLOOKUP(M286,GACETA!$A$1:$C$186,2,0)</f>
        <v>Asesoría jurídica al ayuntamiento</v>
      </c>
      <c r="P286" s="247" t="s">
        <v>473</v>
      </c>
      <c r="Q286" s="247" t="s">
        <v>474</v>
      </c>
      <c r="R286" s="149" t="s">
        <v>1265</v>
      </c>
      <c r="S286" s="7" t="s">
        <v>86</v>
      </c>
      <c r="T286" s="7" t="s">
        <v>169</v>
      </c>
      <c r="U286" s="158"/>
    </row>
    <row r="287" spans="1:21" ht="30" x14ac:dyDescent="0.3">
      <c r="A287" s="280"/>
      <c r="B287" s="265"/>
      <c r="C287" s="33" t="s">
        <v>829</v>
      </c>
      <c r="D287" s="39" t="s">
        <v>830</v>
      </c>
      <c r="E287" s="39" t="s">
        <v>833</v>
      </c>
      <c r="F287" s="39" t="s">
        <v>829</v>
      </c>
      <c r="G287" s="74" t="s">
        <v>836</v>
      </c>
      <c r="H287" s="39"/>
      <c r="I287" s="8" t="s">
        <v>56</v>
      </c>
      <c r="J287" s="8"/>
      <c r="K287" s="1">
        <v>155</v>
      </c>
      <c r="L287" s="3" t="str">
        <f>VLOOKUP(K287,'GACETA 3'!$E$9:$F$75,2,0)</f>
        <v>Área Jurídica</v>
      </c>
      <c r="M287" s="3" t="str">
        <f t="shared" si="4"/>
        <v>0103050104</v>
      </c>
      <c r="N287" s="3" t="str">
        <f>VLOOKUP(M287,GACETA!$A$1:$C$186,3,0)</f>
        <v>L</v>
      </c>
      <c r="O287" s="3" t="str">
        <f>VLOOKUP(M287,GACETA!$A$1:$C$186,2,0)</f>
        <v>Asesoría jurídica al ayuntamiento</v>
      </c>
      <c r="P287" s="248"/>
      <c r="Q287" s="248"/>
      <c r="R287" s="149" t="s">
        <v>1266</v>
      </c>
      <c r="S287" s="7" t="s">
        <v>86</v>
      </c>
      <c r="T287" s="7" t="s">
        <v>1269</v>
      </c>
      <c r="U287" s="158"/>
    </row>
    <row r="288" spans="1:21" ht="30" x14ac:dyDescent="0.3">
      <c r="A288" s="280"/>
      <c r="B288" s="265"/>
      <c r="C288" s="33" t="s">
        <v>829</v>
      </c>
      <c r="D288" s="39" t="s">
        <v>830</v>
      </c>
      <c r="E288" s="39" t="s">
        <v>833</v>
      </c>
      <c r="F288" s="39" t="s">
        <v>829</v>
      </c>
      <c r="G288" s="74" t="s">
        <v>836</v>
      </c>
      <c r="H288" s="39"/>
      <c r="I288" s="8" t="s">
        <v>56</v>
      </c>
      <c r="J288" s="8"/>
      <c r="K288" s="1">
        <v>155</v>
      </c>
      <c r="L288" s="3" t="str">
        <f>VLOOKUP(K288,'GACETA 3'!$E$9:$F$75,2,0)</f>
        <v>Área Jurídica</v>
      </c>
      <c r="M288" s="3" t="str">
        <f t="shared" si="4"/>
        <v>0103050104</v>
      </c>
      <c r="N288" s="3" t="str">
        <f>VLOOKUP(M288,GACETA!$A$1:$C$186,3,0)</f>
        <v>L</v>
      </c>
      <c r="O288" s="3" t="str">
        <f>VLOOKUP(M288,GACETA!$A$1:$C$186,2,0)</f>
        <v>Asesoría jurídica al ayuntamiento</v>
      </c>
      <c r="P288" s="248"/>
      <c r="Q288" s="248"/>
      <c r="R288" s="149" t="s">
        <v>1267</v>
      </c>
      <c r="S288" s="7" t="s">
        <v>86</v>
      </c>
      <c r="T288" s="7" t="s">
        <v>768</v>
      </c>
      <c r="U288" s="158"/>
    </row>
    <row r="289" spans="1:21" ht="30" x14ac:dyDescent="0.3">
      <c r="A289" s="280"/>
      <c r="B289" s="265"/>
      <c r="C289" s="33" t="s">
        <v>829</v>
      </c>
      <c r="D289" s="39" t="s">
        <v>830</v>
      </c>
      <c r="E289" s="39" t="s">
        <v>833</v>
      </c>
      <c r="F289" s="39" t="s">
        <v>829</v>
      </c>
      <c r="G289" s="74" t="s">
        <v>836</v>
      </c>
      <c r="H289" s="39"/>
      <c r="I289" s="8" t="s">
        <v>56</v>
      </c>
      <c r="J289" s="8"/>
      <c r="K289" s="1">
        <v>155</v>
      </c>
      <c r="L289" s="3" t="str">
        <f>VLOOKUP(K289,'GACETA 3'!$E$9:$F$75,2,0)</f>
        <v>Área Jurídica</v>
      </c>
      <c r="M289" s="3" t="str">
        <f t="shared" si="4"/>
        <v>0103050104</v>
      </c>
      <c r="N289" s="3" t="str">
        <f>VLOOKUP(M289,GACETA!$A$1:$C$186,3,0)</f>
        <v>L</v>
      </c>
      <c r="O289" s="3" t="str">
        <f>VLOOKUP(M289,GACETA!$A$1:$C$186,2,0)</f>
        <v>Asesoría jurídica al ayuntamiento</v>
      </c>
      <c r="P289" s="249"/>
      <c r="Q289" s="249"/>
      <c r="R289" s="149" t="s">
        <v>1268</v>
      </c>
      <c r="S289" s="7" t="s">
        <v>86</v>
      </c>
      <c r="T289" s="7" t="s">
        <v>414</v>
      </c>
      <c r="U289" s="158"/>
    </row>
    <row r="290" spans="1:21" ht="60" x14ac:dyDescent="0.3">
      <c r="A290" s="280"/>
      <c r="B290" s="265"/>
      <c r="C290" s="33" t="s">
        <v>829</v>
      </c>
      <c r="D290" s="39" t="s">
        <v>834</v>
      </c>
      <c r="E290" s="39" t="s">
        <v>829</v>
      </c>
      <c r="F290" s="39" t="s">
        <v>829</v>
      </c>
      <c r="G290" s="74" t="s">
        <v>829</v>
      </c>
      <c r="H290" s="39"/>
      <c r="I290" s="8" t="s">
        <v>56</v>
      </c>
      <c r="J290" s="8"/>
      <c r="K290" s="1">
        <v>112</v>
      </c>
      <c r="L290" s="3" t="str">
        <f>VLOOKUP(K290,'GACETA 3'!$E$9:$F$75,2,0)</f>
        <v>Participación Ciudadana</v>
      </c>
      <c r="M290" s="3" t="str">
        <f t="shared" si="4"/>
        <v>0108010101</v>
      </c>
      <c r="N290" s="3" t="str">
        <f>VLOOKUP(M290,GACETA!$A$1:$C$186,3,0)</f>
        <v>E</v>
      </c>
      <c r="O290" s="3" t="str">
        <f>VLOOKUP(M290,GACETA!$A$1:$C$186,2,0)</f>
        <v>Asesoría jurídica para los mexiquenses</v>
      </c>
      <c r="P290" s="86" t="s">
        <v>485</v>
      </c>
      <c r="Q290" s="86" t="s">
        <v>486</v>
      </c>
      <c r="R290" s="149" t="s">
        <v>1270</v>
      </c>
      <c r="S290" s="7" t="s">
        <v>86</v>
      </c>
      <c r="T290" s="7" t="s">
        <v>768</v>
      </c>
      <c r="U290" s="158"/>
    </row>
    <row r="291" spans="1:21" ht="75" x14ac:dyDescent="0.3">
      <c r="A291" s="263" t="s">
        <v>49</v>
      </c>
      <c r="B291" s="289" t="s">
        <v>0</v>
      </c>
      <c r="C291" s="33" t="s">
        <v>832</v>
      </c>
      <c r="D291" s="35" t="s">
        <v>832</v>
      </c>
      <c r="E291" s="35" t="s">
        <v>835</v>
      </c>
      <c r="F291" s="35" t="s">
        <v>829</v>
      </c>
      <c r="G291" s="74" t="s">
        <v>835</v>
      </c>
      <c r="H291" s="35"/>
      <c r="I291" s="5" t="s">
        <v>49</v>
      </c>
      <c r="J291" s="5"/>
      <c r="K291" s="10">
        <v>147</v>
      </c>
      <c r="L291" s="3" t="str">
        <f>VLOOKUP(K291,'GACETA 3'!$E$9:$F$75,2,0)</f>
        <v>Mercados y centrales de abasto</v>
      </c>
      <c r="M291" s="3" t="str">
        <f t="shared" si="4"/>
        <v>0202060106</v>
      </c>
      <c r="N291" s="3" t="str">
        <f>VLOOKUP(M291,GACETA!$A$1:$C$186,3,0)</f>
        <v>E</v>
      </c>
      <c r="O291" s="3" t="str">
        <f>VLOOKUP(M291,GACETA!$A$1:$C$186,2,0)</f>
        <v>Coordinación para servicios de administración y mantenimiento de mercados y centrales de abasto</v>
      </c>
      <c r="P291" s="254" t="s">
        <v>293</v>
      </c>
      <c r="Q291" s="254" t="s">
        <v>310</v>
      </c>
      <c r="R291" s="193" t="s">
        <v>1271</v>
      </c>
      <c r="S291" s="7" t="s">
        <v>86</v>
      </c>
      <c r="T291" s="76" t="s">
        <v>1277</v>
      </c>
      <c r="U291" s="158"/>
    </row>
    <row r="292" spans="1:21" ht="60" x14ac:dyDescent="0.3">
      <c r="A292" s="263"/>
      <c r="B292" s="289"/>
      <c r="C292" s="33" t="s">
        <v>832</v>
      </c>
      <c r="D292" s="35" t="s">
        <v>832</v>
      </c>
      <c r="E292" s="35" t="s">
        <v>835</v>
      </c>
      <c r="F292" s="35" t="s">
        <v>829</v>
      </c>
      <c r="G292" s="74" t="s">
        <v>830</v>
      </c>
      <c r="H292" s="35"/>
      <c r="I292" s="5" t="s">
        <v>49</v>
      </c>
      <c r="J292" s="5"/>
      <c r="K292" s="10">
        <v>147</v>
      </c>
      <c r="L292" s="3" t="str">
        <f>VLOOKUP(K292,'GACETA 3'!$E$9:$F$75,2,0)</f>
        <v>Mercados y centrales de abasto</v>
      </c>
      <c r="M292" s="3" t="str">
        <f t="shared" si="4"/>
        <v>0202060103</v>
      </c>
      <c r="N292" s="3" t="str">
        <f>VLOOKUP(M292,GACETA!$A$1:$C$186,3,0)</f>
        <v>E</v>
      </c>
      <c r="O292" s="3" t="str">
        <f>VLOOKUP(M292,GACETA!$A$1:$C$186,2,0)</f>
        <v>Coordinación para la conservación de parques y jardines</v>
      </c>
      <c r="P292" s="254"/>
      <c r="Q292" s="254"/>
      <c r="R292" s="193" t="s">
        <v>1272</v>
      </c>
      <c r="S292" s="7" t="s">
        <v>86</v>
      </c>
      <c r="T292" s="76" t="s">
        <v>1278</v>
      </c>
      <c r="U292" s="158"/>
    </row>
    <row r="293" spans="1:21" ht="75" x14ac:dyDescent="0.3">
      <c r="A293" s="263"/>
      <c r="B293" s="289"/>
      <c r="C293" s="33" t="s">
        <v>832</v>
      </c>
      <c r="D293" s="35" t="s">
        <v>832</v>
      </c>
      <c r="E293" s="35" t="s">
        <v>835</v>
      </c>
      <c r="F293" s="35" t="s">
        <v>829</v>
      </c>
      <c r="G293" s="74" t="s">
        <v>835</v>
      </c>
      <c r="H293" s="35"/>
      <c r="I293" s="5" t="s">
        <v>49</v>
      </c>
      <c r="J293" s="5"/>
      <c r="K293" s="10">
        <v>147</v>
      </c>
      <c r="L293" s="3" t="str">
        <f>VLOOKUP(K293,'GACETA 3'!$E$9:$F$75,2,0)</f>
        <v>Mercados y centrales de abasto</v>
      </c>
      <c r="M293" s="3" t="str">
        <f t="shared" si="4"/>
        <v>0202060106</v>
      </c>
      <c r="N293" s="3" t="str">
        <f>VLOOKUP(M293,GACETA!$A$1:$C$186,3,0)</f>
        <v>E</v>
      </c>
      <c r="O293" s="3" t="str">
        <f>VLOOKUP(M293,GACETA!$A$1:$C$186,2,0)</f>
        <v>Coordinación para servicios de administración y mantenimiento de mercados y centrales de abasto</v>
      </c>
      <c r="P293" s="254"/>
      <c r="Q293" s="254"/>
      <c r="R293" s="193" t="s">
        <v>1273</v>
      </c>
      <c r="S293" s="7" t="s">
        <v>86</v>
      </c>
      <c r="T293" s="76" t="s">
        <v>243</v>
      </c>
      <c r="U293" s="158"/>
    </row>
    <row r="294" spans="1:21" ht="75" x14ac:dyDescent="0.3">
      <c r="A294" s="263"/>
      <c r="B294" s="289"/>
      <c r="C294" s="33" t="s">
        <v>832</v>
      </c>
      <c r="D294" s="35" t="s">
        <v>832</v>
      </c>
      <c r="E294" s="35" t="s">
        <v>835</v>
      </c>
      <c r="F294" s="35" t="s">
        <v>829</v>
      </c>
      <c r="G294" s="74" t="s">
        <v>835</v>
      </c>
      <c r="H294" s="35"/>
      <c r="I294" s="5" t="s">
        <v>49</v>
      </c>
      <c r="J294" s="5"/>
      <c r="K294" s="10">
        <v>147</v>
      </c>
      <c r="L294" s="3" t="str">
        <f>VLOOKUP(K294,'GACETA 3'!$E$9:$F$75,2,0)</f>
        <v>Mercados y centrales de abasto</v>
      </c>
      <c r="M294" s="3" t="str">
        <f t="shared" si="4"/>
        <v>0202060106</v>
      </c>
      <c r="N294" s="3" t="str">
        <f>VLOOKUP(M294,GACETA!$A$1:$C$186,3,0)</f>
        <v>E</v>
      </c>
      <c r="O294" s="3" t="str">
        <f>VLOOKUP(M294,GACETA!$A$1:$C$186,2,0)</f>
        <v>Coordinación para servicios de administración y mantenimiento de mercados y centrales de abasto</v>
      </c>
      <c r="P294" s="254"/>
      <c r="Q294" s="254"/>
      <c r="R294" s="193" t="s">
        <v>1274</v>
      </c>
      <c r="S294" s="7" t="s">
        <v>86</v>
      </c>
      <c r="T294" s="76" t="s">
        <v>1279</v>
      </c>
      <c r="U294" s="158"/>
    </row>
    <row r="295" spans="1:21" ht="75" x14ac:dyDescent="0.3">
      <c r="A295" s="263"/>
      <c r="B295" s="289"/>
      <c r="C295" s="33" t="s">
        <v>832</v>
      </c>
      <c r="D295" s="35" t="s">
        <v>832</v>
      </c>
      <c r="E295" s="35" t="s">
        <v>835</v>
      </c>
      <c r="F295" s="35" t="s">
        <v>829</v>
      </c>
      <c r="G295" s="74" t="s">
        <v>835</v>
      </c>
      <c r="H295" s="35"/>
      <c r="I295" s="5" t="s">
        <v>49</v>
      </c>
      <c r="J295" s="5"/>
      <c r="K295" s="10">
        <v>147</v>
      </c>
      <c r="L295" s="3" t="str">
        <f>VLOOKUP(K295,'GACETA 3'!$E$9:$F$75,2,0)</f>
        <v>Mercados y centrales de abasto</v>
      </c>
      <c r="M295" s="3" t="str">
        <f t="shared" si="4"/>
        <v>0202060106</v>
      </c>
      <c r="N295" s="3" t="str">
        <f>VLOOKUP(M295,GACETA!$A$1:$C$186,3,0)</f>
        <v>E</v>
      </c>
      <c r="O295" s="3" t="str">
        <f>VLOOKUP(M295,GACETA!$A$1:$C$186,2,0)</f>
        <v>Coordinación para servicios de administración y mantenimiento de mercados y centrales de abasto</v>
      </c>
      <c r="P295" s="254"/>
      <c r="Q295" s="254"/>
      <c r="R295" s="193" t="s">
        <v>1275</v>
      </c>
      <c r="S295" s="7" t="s">
        <v>86</v>
      </c>
      <c r="T295" s="76" t="s">
        <v>1276</v>
      </c>
      <c r="U295" s="158"/>
    </row>
    <row r="296" spans="1:21" ht="30" x14ac:dyDescent="0.3">
      <c r="A296" s="263" t="s">
        <v>59</v>
      </c>
      <c r="B296" s="264" t="s">
        <v>1299</v>
      </c>
      <c r="C296" s="33" t="s">
        <v>832</v>
      </c>
      <c r="D296" s="39" t="s">
        <v>832</v>
      </c>
      <c r="E296" s="39" t="s">
        <v>829</v>
      </c>
      <c r="F296" s="39" t="s">
        <v>829</v>
      </c>
      <c r="G296" s="74" t="s">
        <v>970</v>
      </c>
      <c r="H296" s="39"/>
      <c r="I296" s="8" t="s">
        <v>59</v>
      </c>
      <c r="J296" s="8"/>
      <c r="K296" s="1">
        <v>154</v>
      </c>
      <c r="L296" s="3" t="str">
        <f>VLOOKUP(K296,'GACETA 3'!$E$9:$F$75,2,0)</f>
        <v>Vialidad y Transporte</v>
      </c>
      <c r="M296" s="3" t="str">
        <f t="shared" si="4"/>
        <v>0202010111</v>
      </c>
      <c r="N296" s="3" t="str">
        <f>VLOOKUP(M296,GACETA!$A$1:$C$186,3,0)</f>
        <v>K</v>
      </c>
      <c r="O296" s="3" t="str">
        <f>VLOOKUP(M296,GACETA!$A$1:$C$186,2,0)</f>
        <v>Equipamiento de vialidades urbanas</v>
      </c>
      <c r="P296" s="258" t="s">
        <v>1210</v>
      </c>
      <c r="Q296" s="260" t="s">
        <v>206</v>
      </c>
      <c r="R296" s="193" t="s">
        <v>1284</v>
      </c>
      <c r="S296" s="7" t="s">
        <v>86</v>
      </c>
      <c r="T296" s="76" t="s">
        <v>1288</v>
      </c>
      <c r="U296" s="158"/>
    </row>
    <row r="297" spans="1:21" ht="30" x14ac:dyDescent="0.3">
      <c r="A297" s="263"/>
      <c r="B297" s="265"/>
      <c r="C297" s="33" t="s">
        <v>832</v>
      </c>
      <c r="D297" s="39" t="s">
        <v>832</v>
      </c>
      <c r="E297" s="39" t="s">
        <v>829</v>
      </c>
      <c r="F297" s="39" t="s">
        <v>829</v>
      </c>
      <c r="G297" s="74" t="s">
        <v>970</v>
      </c>
      <c r="H297" s="39"/>
      <c r="I297" s="8" t="s">
        <v>59</v>
      </c>
      <c r="J297" s="8"/>
      <c r="K297" s="1">
        <v>154</v>
      </c>
      <c r="L297" s="3" t="str">
        <f>VLOOKUP(K297,'GACETA 3'!$E$9:$F$75,2,0)</f>
        <v>Vialidad y Transporte</v>
      </c>
      <c r="M297" s="3" t="str">
        <f t="shared" si="4"/>
        <v>0202010111</v>
      </c>
      <c r="N297" s="3" t="str">
        <f>VLOOKUP(M297,GACETA!$A$1:$C$186,3,0)</f>
        <v>K</v>
      </c>
      <c r="O297" s="3" t="str">
        <f>VLOOKUP(M297,GACETA!$A$1:$C$186,2,0)</f>
        <v>Equipamiento de vialidades urbanas</v>
      </c>
      <c r="P297" s="258"/>
      <c r="Q297" s="260"/>
      <c r="R297" s="193" t="s">
        <v>1285</v>
      </c>
      <c r="S297" s="7" t="s">
        <v>86</v>
      </c>
      <c r="T297" s="76" t="s">
        <v>465</v>
      </c>
      <c r="U297" s="158"/>
    </row>
    <row r="298" spans="1:21" ht="30" x14ac:dyDescent="0.3">
      <c r="A298" s="263"/>
      <c r="B298" s="265"/>
      <c r="C298" s="33" t="s">
        <v>832</v>
      </c>
      <c r="D298" s="39" t="s">
        <v>832</v>
      </c>
      <c r="E298" s="39" t="s">
        <v>829</v>
      </c>
      <c r="F298" s="39" t="s">
        <v>829</v>
      </c>
      <c r="G298" s="74" t="s">
        <v>970</v>
      </c>
      <c r="H298" s="39"/>
      <c r="I298" s="8" t="s">
        <v>59</v>
      </c>
      <c r="J298" s="8"/>
      <c r="K298" s="1">
        <v>154</v>
      </c>
      <c r="L298" s="3" t="str">
        <f>VLOOKUP(K298,'GACETA 3'!$E$9:$F$75,2,0)</f>
        <v>Vialidad y Transporte</v>
      </c>
      <c r="M298" s="3" t="str">
        <f t="shared" si="4"/>
        <v>0202010111</v>
      </c>
      <c r="N298" s="3" t="str">
        <f>VLOOKUP(M298,GACETA!$A$1:$C$186,3,0)</f>
        <v>K</v>
      </c>
      <c r="O298" s="3" t="str">
        <f>VLOOKUP(M298,GACETA!$A$1:$C$186,2,0)</f>
        <v>Equipamiento de vialidades urbanas</v>
      </c>
      <c r="P298" s="258"/>
      <c r="Q298" s="260"/>
      <c r="R298" s="193" t="s">
        <v>1286</v>
      </c>
      <c r="S298" s="7"/>
      <c r="T298" s="76" t="s">
        <v>1288</v>
      </c>
      <c r="U298" s="158"/>
    </row>
    <row r="299" spans="1:21" ht="30" x14ac:dyDescent="0.3">
      <c r="A299" s="263"/>
      <c r="B299" s="265"/>
      <c r="C299" s="33" t="s">
        <v>832</v>
      </c>
      <c r="D299" s="39" t="s">
        <v>832</v>
      </c>
      <c r="E299" s="39" t="s">
        <v>829</v>
      </c>
      <c r="F299" s="39" t="s">
        <v>829</v>
      </c>
      <c r="G299" s="74" t="s">
        <v>970</v>
      </c>
      <c r="H299" s="39"/>
      <c r="I299" s="8" t="s">
        <v>59</v>
      </c>
      <c r="J299" s="8"/>
      <c r="K299" s="1">
        <v>154</v>
      </c>
      <c r="L299" s="3" t="str">
        <f>VLOOKUP(K299,'GACETA 3'!$E$9:$F$75,2,0)</f>
        <v>Vialidad y Transporte</v>
      </c>
      <c r="M299" s="3" t="str">
        <f t="shared" si="4"/>
        <v>0202010111</v>
      </c>
      <c r="N299" s="3" t="str">
        <f>VLOOKUP(M299,GACETA!$A$1:$C$186,3,0)</f>
        <v>K</v>
      </c>
      <c r="O299" s="3" t="str">
        <f>VLOOKUP(M299,GACETA!$A$1:$C$186,2,0)</f>
        <v>Equipamiento de vialidades urbanas</v>
      </c>
      <c r="P299" s="258"/>
      <c r="Q299" s="260"/>
      <c r="R299" s="193" t="s">
        <v>1287</v>
      </c>
      <c r="S299" s="7" t="s">
        <v>86</v>
      </c>
      <c r="T299" s="76" t="s">
        <v>234</v>
      </c>
      <c r="U299" s="158"/>
    </row>
    <row r="300" spans="1:21" ht="30" x14ac:dyDescent="0.3">
      <c r="A300" s="263"/>
      <c r="B300" s="265"/>
      <c r="C300" s="33" t="s">
        <v>829</v>
      </c>
      <c r="D300" s="39" t="s">
        <v>837</v>
      </c>
      <c r="E300" s="39" t="s">
        <v>829</v>
      </c>
      <c r="F300" s="39" t="s">
        <v>829</v>
      </c>
      <c r="G300" s="74" t="s">
        <v>834</v>
      </c>
      <c r="H300" s="39"/>
      <c r="I300" s="8" t="s">
        <v>59</v>
      </c>
      <c r="J300" s="8"/>
      <c r="K300" s="1">
        <v>154</v>
      </c>
      <c r="L300" s="3" t="str">
        <f>VLOOKUP(K300,'GACETA 3'!$E$9:$F$75,2,0)</f>
        <v>Vialidad y Transporte</v>
      </c>
      <c r="M300" s="3" t="str">
        <f t="shared" si="4"/>
        <v>0107010108</v>
      </c>
      <c r="N300" s="3" t="e">
        <f>VLOOKUP(M300,GACETA!$A$1:$C$186,3,0)</f>
        <v>#N/A</v>
      </c>
      <c r="O300" s="3" t="e">
        <f>VLOOKUP(M300,GACETA!$A$1:$C$186,2,0)</f>
        <v>#N/A</v>
      </c>
      <c r="P300" s="258" t="s">
        <v>226</v>
      </c>
      <c r="Q300" s="260" t="s">
        <v>227</v>
      </c>
      <c r="R300" s="147" t="s">
        <v>1291</v>
      </c>
      <c r="S300" s="7" t="s">
        <v>86</v>
      </c>
      <c r="T300" s="7" t="s">
        <v>1292</v>
      </c>
      <c r="U300" s="158"/>
    </row>
    <row r="301" spans="1:21" ht="30" x14ac:dyDescent="0.3">
      <c r="A301" s="263"/>
      <c r="B301" s="265"/>
      <c r="C301" s="33" t="s">
        <v>829</v>
      </c>
      <c r="D301" s="39" t="s">
        <v>837</v>
      </c>
      <c r="E301" s="39" t="s">
        <v>829</v>
      </c>
      <c r="F301" s="39" t="s">
        <v>829</v>
      </c>
      <c r="G301" s="74" t="s">
        <v>834</v>
      </c>
      <c r="H301" s="39"/>
      <c r="I301" s="8" t="s">
        <v>59</v>
      </c>
      <c r="J301" s="8"/>
      <c r="K301" s="1">
        <v>154</v>
      </c>
      <c r="L301" s="3" t="str">
        <f>VLOOKUP(K301,'GACETA 3'!$E$9:$F$75,2,0)</f>
        <v>Vialidad y Transporte</v>
      </c>
      <c r="M301" s="3" t="str">
        <f t="shared" si="4"/>
        <v>0107010108</v>
      </c>
      <c r="N301" s="3" t="e">
        <f>VLOOKUP(M301,GACETA!$A$1:$C$186,3,0)</f>
        <v>#N/A</v>
      </c>
      <c r="O301" s="3" t="e">
        <f>VLOOKUP(M301,GACETA!$A$1:$C$186,2,0)</f>
        <v>#N/A</v>
      </c>
      <c r="P301" s="258"/>
      <c r="Q301" s="260"/>
      <c r="R301" s="147" t="s">
        <v>1293</v>
      </c>
      <c r="S301" s="7" t="s">
        <v>86</v>
      </c>
      <c r="T301" s="7" t="s">
        <v>1295</v>
      </c>
      <c r="U301" s="158"/>
    </row>
    <row r="302" spans="1:21" ht="42.75" customHeight="1" x14ac:dyDescent="0.3">
      <c r="A302" s="263"/>
      <c r="B302" s="265"/>
      <c r="C302" s="33" t="s">
        <v>829</v>
      </c>
      <c r="D302" s="39" t="s">
        <v>837</v>
      </c>
      <c r="E302" s="39" t="s">
        <v>829</v>
      </c>
      <c r="F302" s="39" t="s">
        <v>829</v>
      </c>
      <c r="G302" s="74" t="s">
        <v>834</v>
      </c>
      <c r="H302" s="39"/>
      <c r="I302" s="8" t="s">
        <v>59</v>
      </c>
      <c r="J302" s="8"/>
      <c r="K302" s="1">
        <v>154</v>
      </c>
      <c r="L302" s="3" t="str">
        <f>VLOOKUP(K302,'GACETA 3'!$E$9:$F$75,2,0)</f>
        <v>Vialidad y Transporte</v>
      </c>
      <c r="M302" s="3" t="str">
        <f t="shared" si="4"/>
        <v>0107010108</v>
      </c>
      <c r="N302" s="3" t="e">
        <f>VLOOKUP(M302,GACETA!$A$1:$C$186,3,0)</f>
        <v>#N/A</v>
      </c>
      <c r="O302" s="3" t="e">
        <f>VLOOKUP(M302,GACETA!$A$1:$C$186,2,0)</f>
        <v>#N/A</v>
      </c>
      <c r="P302" s="258"/>
      <c r="Q302" s="260"/>
      <c r="R302" s="147" t="s">
        <v>1294</v>
      </c>
      <c r="S302" s="7" t="s">
        <v>86</v>
      </c>
      <c r="T302" s="7" t="s">
        <v>1296</v>
      </c>
      <c r="U302" s="158"/>
    </row>
    <row r="303" spans="1:21" ht="45" x14ac:dyDescent="0.3">
      <c r="A303" s="263"/>
      <c r="B303" s="265"/>
      <c r="C303" s="33" t="s">
        <v>830</v>
      </c>
      <c r="D303" s="39" t="s">
        <v>833</v>
      </c>
      <c r="E303" s="39" t="s">
        <v>829</v>
      </c>
      <c r="F303" s="39" t="s">
        <v>829</v>
      </c>
      <c r="G303" s="74" t="s">
        <v>970</v>
      </c>
      <c r="H303" s="39"/>
      <c r="I303" s="8" t="s">
        <v>59</v>
      </c>
      <c r="J303" s="8"/>
      <c r="K303" s="1">
        <v>154</v>
      </c>
      <c r="L303" s="3" t="str">
        <f>VLOOKUP(K303,'GACETA 3'!$E$9:$F$75,2,0)</f>
        <v>Vialidad y Transporte</v>
      </c>
      <c r="M303" s="3" t="str">
        <f t="shared" si="4"/>
        <v>0305010111</v>
      </c>
      <c r="N303" s="3" t="str">
        <f>VLOOKUP(M303,GACETA!$A$1:$C$186,3,0)</f>
        <v>E</v>
      </c>
      <c r="O303" s="3" t="str">
        <f>VLOOKUP(M303,GACETA!$A$1:$C$186,2,0)</f>
        <v>Apoyo municipal a las políticas para el desarrollo del transporte</v>
      </c>
      <c r="P303" s="8" t="s">
        <v>230</v>
      </c>
      <c r="Q303" s="6" t="s">
        <v>231</v>
      </c>
      <c r="R303" s="147" t="s">
        <v>1297</v>
      </c>
      <c r="S303" s="7" t="s">
        <v>86</v>
      </c>
      <c r="T303" s="7" t="s">
        <v>309</v>
      </c>
      <c r="U303" s="158"/>
    </row>
    <row r="304" spans="1:21" ht="45" x14ac:dyDescent="0.3">
      <c r="A304" s="263"/>
      <c r="B304" s="265"/>
      <c r="C304" s="37" t="s">
        <v>829</v>
      </c>
      <c r="D304" s="40" t="s">
        <v>833</v>
      </c>
      <c r="E304" s="40" t="s">
        <v>832</v>
      </c>
      <c r="F304" s="40" t="s">
        <v>835</v>
      </c>
      <c r="G304" s="75" t="s">
        <v>832</v>
      </c>
      <c r="H304" s="40"/>
      <c r="I304" s="8" t="s">
        <v>59</v>
      </c>
      <c r="J304" s="8"/>
      <c r="K304" s="8">
        <v>154</v>
      </c>
      <c r="L304" s="3" t="str">
        <f>VLOOKUP(K304,'GACETA 3'!$E$9:$F$75,2,0)</f>
        <v>Vialidad y Transporte</v>
      </c>
      <c r="M304" s="3" t="str">
        <f t="shared" si="4"/>
        <v>0105020602</v>
      </c>
      <c r="N304" s="3" t="str">
        <f>VLOOKUP(M304,GACETA!$A$1:$C$186,3,0)</f>
        <v>M</v>
      </c>
      <c r="O304" s="3" t="str">
        <f>VLOOKUP(M304,GACETA!$A$1:$C$186,2,0)</f>
        <v>Capacitación y profesionalización para el desarrollo del personal</v>
      </c>
      <c r="P304" s="241" t="s">
        <v>105</v>
      </c>
      <c r="Q304" s="241" t="s">
        <v>1209</v>
      </c>
      <c r="R304" s="147" t="s">
        <v>1289</v>
      </c>
      <c r="S304" s="7" t="s">
        <v>86</v>
      </c>
      <c r="T304" s="7" t="s">
        <v>173</v>
      </c>
      <c r="U304" s="158"/>
    </row>
    <row r="305" spans="1:21" ht="45" x14ac:dyDescent="0.3">
      <c r="A305" s="87"/>
      <c r="B305" s="266"/>
      <c r="C305" s="37" t="s">
        <v>829</v>
      </c>
      <c r="D305" s="40" t="s">
        <v>833</v>
      </c>
      <c r="E305" s="40" t="s">
        <v>832</v>
      </c>
      <c r="F305" s="40" t="s">
        <v>835</v>
      </c>
      <c r="G305" s="75" t="s">
        <v>832</v>
      </c>
      <c r="H305" s="40"/>
      <c r="I305" s="8" t="s">
        <v>59</v>
      </c>
      <c r="J305" s="8"/>
      <c r="K305" s="8">
        <v>154</v>
      </c>
      <c r="L305" s="3" t="str">
        <f>VLOOKUP(K305,'GACETA 3'!$E$9:$F$75,2,0)</f>
        <v>Vialidad y Transporte</v>
      </c>
      <c r="M305" s="3" t="str">
        <f t="shared" si="4"/>
        <v>0105020602</v>
      </c>
      <c r="N305" s="3" t="str">
        <f>VLOOKUP(M305,GACETA!$A$1:$C$186,3,0)</f>
        <v>M</v>
      </c>
      <c r="O305" s="3" t="str">
        <f>VLOOKUP(M305,GACETA!$A$1:$C$186,2,0)</f>
        <v>Capacitación y profesionalización para el desarrollo del personal</v>
      </c>
      <c r="P305" s="242"/>
      <c r="Q305" s="242"/>
      <c r="R305" s="147" t="s">
        <v>1290</v>
      </c>
      <c r="S305" s="7" t="s">
        <v>86</v>
      </c>
      <c r="T305" s="7" t="s">
        <v>465</v>
      </c>
      <c r="U305" s="158"/>
    </row>
    <row r="306" spans="1:21" ht="17.25" customHeight="1" x14ac:dyDescent="0.3">
      <c r="A306" s="263" t="s">
        <v>53</v>
      </c>
      <c r="B306" s="272" t="s">
        <v>3</v>
      </c>
      <c r="C306" s="33" t="s">
        <v>829</v>
      </c>
      <c r="D306" s="35" t="s">
        <v>837</v>
      </c>
      <c r="E306" s="35" t="s">
        <v>832</v>
      </c>
      <c r="F306" s="35" t="s">
        <v>829</v>
      </c>
      <c r="G306" s="74" t="s">
        <v>829</v>
      </c>
      <c r="H306" s="35"/>
      <c r="I306" s="5" t="s">
        <v>53</v>
      </c>
      <c r="J306" s="5"/>
      <c r="K306" s="10">
        <v>105</v>
      </c>
      <c r="L306" s="3" t="e">
        <f>VLOOKUP(K306,'GACETA 3'!$E$9:$F$75,2,0)</f>
        <v>#N/A</v>
      </c>
      <c r="M306" s="3" t="str">
        <f t="shared" si="4"/>
        <v>0107020101</v>
      </c>
      <c r="N306" s="3" t="str">
        <f>VLOOKUP(M306,GACETA!$A$1:$C$186,3,0)</f>
        <v>E</v>
      </c>
      <c r="O306" s="3" t="str">
        <f>VLOOKUP(M306,GACETA!$A$1:$C$186,2,0)</f>
        <v>Mitigación del impacto de fenómenos perturbadores</v>
      </c>
      <c r="P306" s="239" t="s">
        <v>593</v>
      </c>
      <c r="Q306" s="254" t="s">
        <v>840</v>
      </c>
      <c r="R306" s="202" t="s">
        <v>1302</v>
      </c>
      <c r="S306" s="7" t="s">
        <v>86</v>
      </c>
      <c r="T306" s="76" t="s">
        <v>89</v>
      </c>
      <c r="U306" s="158"/>
    </row>
    <row r="307" spans="1:21" ht="30" x14ac:dyDescent="0.3">
      <c r="A307" s="263"/>
      <c r="B307" s="273"/>
      <c r="C307" s="33" t="s">
        <v>829</v>
      </c>
      <c r="D307" s="35" t="s">
        <v>837</v>
      </c>
      <c r="E307" s="35" t="s">
        <v>832</v>
      </c>
      <c r="F307" s="35" t="s">
        <v>829</v>
      </c>
      <c r="G307" s="74" t="s">
        <v>829</v>
      </c>
      <c r="H307" s="35"/>
      <c r="I307" s="5" t="s">
        <v>53</v>
      </c>
      <c r="J307" s="5"/>
      <c r="K307" s="10">
        <v>105</v>
      </c>
      <c r="L307" s="3" t="e">
        <f>VLOOKUP(K307,'GACETA 3'!$E$9:$F$75,2,0)</f>
        <v>#N/A</v>
      </c>
      <c r="M307" s="3" t="str">
        <f t="shared" si="4"/>
        <v>0107020101</v>
      </c>
      <c r="N307" s="3" t="str">
        <f>VLOOKUP(M307,GACETA!$A$1:$C$186,3,0)</f>
        <v>E</v>
      </c>
      <c r="O307" s="3" t="str">
        <f>VLOOKUP(M307,GACETA!$A$1:$C$186,2,0)</f>
        <v>Mitigación del impacto de fenómenos perturbadores</v>
      </c>
      <c r="P307" s="243"/>
      <c r="Q307" s="254"/>
      <c r="R307" s="202" t="s">
        <v>614</v>
      </c>
      <c r="S307" s="7" t="s">
        <v>86</v>
      </c>
      <c r="T307" s="76" t="s">
        <v>250</v>
      </c>
      <c r="U307" s="158"/>
    </row>
    <row r="308" spans="1:21" ht="30" x14ac:dyDescent="0.3">
      <c r="A308" s="263"/>
      <c r="B308" s="273"/>
      <c r="C308" s="33" t="s">
        <v>829</v>
      </c>
      <c r="D308" s="35" t="s">
        <v>837</v>
      </c>
      <c r="E308" s="35" t="s">
        <v>832</v>
      </c>
      <c r="F308" s="35" t="s">
        <v>829</v>
      </c>
      <c r="G308" s="74" t="s">
        <v>829</v>
      </c>
      <c r="H308" s="35"/>
      <c r="I308" s="5" t="s">
        <v>53</v>
      </c>
      <c r="J308" s="5"/>
      <c r="K308" s="10">
        <v>105</v>
      </c>
      <c r="L308" s="3" t="e">
        <f>VLOOKUP(K308,'GACETA 3'!$E$9:$F$75,2,0)</f>
        <v>#N/A</v>
      </c>
      <c r="M308" s="3" t="str">
        <f t="shared" si="4"/>
        <v>0107020101</v>
      </c>
      <c r="N308" s="3" t="str">
        <f>VLOOKUP(M308,GACETA!$A$1:$C$186,3,0)</f>
        <v>E</v>
      </c>
      <c r="O308" s="3" t="str">
        <f>VLOOKUP(M308,GACETA!$A$1:$C$186,2,0)</f>
        <v>Mitigación del impacto de fenómenos perturbadores</v>
      </c>
      <c r="P308" s="243"/>
      <c r="Q308" s="254"/>
      <c r="R308" s="193" t="s">
        <v>1303</v>
      </c>
      <c r="S308" s="7" t="s">
        <v>86</v>
      </c>
      <c r="T308" s="76" t="s">
        <v>616</v>
      </c>
      <c r="U308" s="158"/>
    </row>
    <row r="309" spans="1:21" ht="30" x14ac:dyDescent="0.3">
      <c r="A309" s="263"/>
      <c r="B309" s="273"/>
      <c r="C309" s="33" t="s">
        <v>829</v>
      </c>
      <c r="D309" s="35" t="s">
        <v>837</v>
      </c>
      <c r="E309" s="35" t="s">
        <v>832</v>
      </c>
      <c r="F309" s="35" t="s">
        <v>829</v>
      </c>
      <c r="G309" s="74" t="s">
        <v>829</v>
      </c>
      <c r="H309" s="35"/>
      <c r="I309" s="5" t="s">
        <v>53</v>
      </c>
      <c r="J309" s="5"/>
      <c r="K309" s="10">
        <v>105</v>
      </c>
      <c r="L309" s="3" t="e">
        <f>VLOOKUP(K309,'GACETA 3'!$E$9:$F$75,2,0)</f>
        <v>#N/A</v>
      </c>
      <c r="M309" s="3" t="str">
        <f t="shared" si="4"/>
        <v>0107020101</v>
      </c>
      <c r="N309" s="3" t="str">
        <f>VLOOKUP(M309,GACETA!$A$1:$C$186,3,0)</f>
        <v>E</v>
      </c>
      <c r="O309" s="3" t="str">
        <f>VLOOKUP(M309,GACETA!$A$1:$C$186,2,0)</f>
        <v>Mitigación del impacto de fenómenos perturbadores</v>
      </c>
      <c r="P309" s="243"/>
      <c r="Q309" s="254"/>
      <c r="R309" s="193" t="s">
        <v>617</v>
      </c>
      <c r="S309" s="7" t="s">
        <v>86</v>
      </c>
      <c r="T309" s="76" t="s">
        <v>618</v>
      </c>
      <c r="U309" s="158"/>
    </row>
    <row r="310" spans="1:21" ht="30" x14ac:dyDescent="0.3">
      <c r="A310" s="263"/>
      <c r="B310" s="273"/>
      <c r="C310" s="33" t="s">
        <v>829</v>
      </c>
      <c r="D310" s="35" t="s">
        <v>837</v>
      </c>
      <c r="E310" s="35" t="s">
        <v>832</v>
      </c>
      <c r="F310" s="35" t="s">
        <v>829</v>
      </c>
      <c r="G310" s="74" t="s">
        <v>829</v>
      </c>
      <c r="H310" s="35"/>
      <c r="I310" s="5" t="s">
        <v>53</v>
      </c>
      <c r="J310" s="5"/>
      <c r="K310" s="10">
        <v>105</v>
      </c>
      <c r="L310" s="3" t="e">
        <f>VLOOKUP(K310,'GACETA 3'!$E$9:$F$75,2,0)</f>
        <v>#N/A</v>
      </c>
      <c r="M310" s="3" t="str">
        <f t="shared" si="4"/>
        <v>0107020101</v>
      </c>
      <c r="N310" s="3" t="str">
        <f>VLOOKUP(M310,GACETA!$A$1:$C$186,3,0)</f>
        <v>E</v>
      </c>
      <c r="O310" s="3" t="str">
        <f>VLOOKUP(M310,GACETA!$A$1:$C$186,2,0)</f>
        <v>Mitigación del impacto de fenómenos perturbadores</v>
      </c>
      <c r="P310" s="243"/>
      <c r="Q310" s="254"/>
      <c r="R310" s="193" t="s">
        <v>1304</v>
      </c>
      <c r="S310" s="7" t="s">
        <v>86</v>
      </c>
      <c r="T310" s="76" t="s">
        <v>821</v>
      </c>
      <c r="U310" s="158"/>
    </row>
    <row r="311" spans="1:21" ht="45" x14ac:dyDescent="0.3">
      <c r="A311" s="263"/>
      <c r="B311" s="273"/>
      <c r="C311" s="33" t="s">
        <v>829</v>
      </c>
      <c r="D311" s="35" t="s">
        <v>837</v>
      </c>
      <c r="E311" s="35" t="s">
        <v>832</v>
      </c>
      <c r="F311" s="35" t="s">
        <v>829</v>
      </c>
      <c r="G311" s="74" t="s">
        <v>832</v>
      </c>
      <c r="H311" s="35"/>
      <c r="I311" s="5" t="s">
        <v>53</v>
      </c>
      <c r="J311" s="5"/>
      <c r="K311" s="10">
        <v>106</v>
      </c>
      <c r="L311" s="3" t="str">
        <f>VLOOKUP(K311,'GACETA 3'!$E$9:$F$75,2,0)</f>
        <v>Cuerpo de Bomberos</v>
      </c>
      <c r="M311" s="3" t="str">
        <f t="shared" si="4"/>
        <v>0107020102</v>
      </c>
      <c r="N311" s="3" t="str">
        <f>VLOOKUP(M311,GACETA!$A$1:$C$186,3,0)</f>
        <v>N</v>
      </c>
      <c r="O311" s="3" t="str">
        <f>VLOOKUP(M311,GACETA!$A$1:$C$186,2,0)</f>
        <v>Atención a emergencias por desastres naturales y antropogénicos</v>
      </c>
      <c r="P311" s="243"/>
      <c r="Q311" s="254" t="s">
        <v>624</v>
      </c>
      <c r="R311" s="202" t="s">
        <v>625</v>
      </c>
      <c r="S311" s="7" t="s">
        <v>86</v>
      </c>
      <c r="T311" s="76" t="s">
        <v>626</v>
      </c>
      <c r="U311" s="158"/>
    </row>
    <row r="312" spans="1:21" ht="45" x14ac:dyDescent="0.3">
      <c r="A312" s="263"/>
      <c r="B312" s="273"/>
      <c r="C312" s="33" t="s">
        <v>829</v>
      </c>
      <c r="D312" s="35" t="s">
        <v>837</v>
      </c>
      <c r="E312" s="35" t="s">
        <v>832</v>
      </c>
      <c r="F312" s="35" t="s">
        <v>829</v>
      </c>
      <c r="G312" s="74" t="s">
        <v>832</v>
      </c>
      <c r="H312" s="35"/>
      <c r="I312" s="5" t="s">
        <v>53</v>
      </c>
      <c r="J312" s="5"/>
      <c r="K312" s="10">
        <v>106</v>
      </c>
      <c r="L312" s="3" t="str">
        <f>VLOOKUP(K312,'GACETA 3'!$E$9:$F$75,2,0)</f>
        <v>Cuerpo de Bomberos</v>
      </c>
      <c r="M312" s="3" t="str">
        <f t="shared" si="4"/>
        <v>0107020102</v>
      </c>
      <c r="N312" s="3" t="str">
        <f>VLOOKUP(M312,GACETA!$A$1:$C$186,3,0)</f>
        <v>N</v>
      </c>
      <c r="O312" s="3" t="str">
        <f>VLOOKUP(M312,GACETA!$A$1:$C$186,2,0)</f>
        <v>Atención a emergencias por desastres naturales y antropogénicos</v>
      </c>
      <c r="P312" s="243"/>
      <c r="Q312" s="254"/>
      <c r="R312" s="202" t="s">
        <v>1305</v>
      </c>
      <c r="S312" s="7" t="s">
        <v>86</v>
      </c>
      <c r="T312" s="76" t="s">
        <v>1308</v>
      </c>
      <c r="U312" s="158"/>
    </row>
    <row r="313" spans="1:21" ht="45" x14ac:dyDescent="0.3">
      <c r="A313" s="263"/>
      <c r="B313" s="273"/>
      <c r="C313" s="33" t="s">
        <v>829</v>
      </c>
      <c r="D313" s="35" t="s">
        <v>837</v>
      </c>
      <c r="E313" s="35" t="s">
        <v>832</v>
      </c>
      <c r="F313" s="35" t="s">
        <v>829</v>
      </c>
      <c r="G313" s="74" t="s">
        <v>832</v>
      </c>
      <c r="H313" s="35"/>
      <c r="I313" s="5" t="s">
        <v>53</v>
      </c>
      <c r="J313" s="5"/>
      <c r="K313" s="10">
        <v>106</v>
      </c>
      <c r="L313" s="3" t="str">
        <f>VLOOKUP(K313,'GACETA 3'!$E$9:$F$75,2,0)</f>
        <v>Cuerpo de Bomberos</v>
      </c>
      <c r="M313" s="3" t="str">
        <f t="shared" si="4"/>
        <v>0107020102</v>
      </c>
      <c r="N313" s="3" t="str">
        <f>VLOOKUP(M313,GACETA!$A$1:$C$186,3,0)</f>
        <v>N</v>
      </c>
      <c r="O313" s="3" t="str">
        <f>VLOOKUP(M313,GACETA!$A$1:$C$186,2,0)</f>
        <v>Atención a emergencias por desastres naturales y antropogénicos</v>
      </c>
      <c r="P313" s="243"/>
      <c r="Q313" s="254"/>
      <c r="R313" s="193" t="s">
        <v>1306</v>
      </c>
      <c r="S313" s="7" t="s">
        <v>86</v>
      </c>
      <c r="T313" s="76" t="s">
        <v>1308</v>
      </c>
      <c r="U313" s="158"/>
    </row>
    <row r="314" spans="1:21" ht="45" x14ac:dyDescent="0.3">
      <c r="A314" s="263"/>
      <c r="B314" s="273"/>
      <c r="C314" s="33" t="s">
        <v>829</v>
      </c>
      <c r="D314" s="35" t="s">
        <v>837</v>
      </c>
      <c r="E314" s="35" t="s">
        <v>832</v>
      </c>
      <c r="F314" s="35" t="s">
        <v>829</v>
      </c>
      <c r="G314" s="74" t="s">
        <v>832</v>
      </c>
      <c r="H314" s="35"/>
      <c r="I314" s="5" t="s">
        <v>53</v>
      </c>
      <c r="J314" s="5"/>
      <c r="K314" s="10">
        <v>106</v>
      </c>
      <c r="L314" s="3" t="str">
        <f>VLOOKUP(K314,'GACETA 3'!$E$9:$F$75,2,0)</f>
        <v>Cuerpo de Bomberos</v>
      </c>
      <c r="M314" s="3" t="str">
        <f t="shared" si="4"/>
        <v>0107020102</v>
      </c>
      <c r="N314" s="3" t="str">
        <f>VLOOKUP(M314,GACETA!$A$1:$C$186,3,0)</f>
        <v>N</v>
      </c>
      <c r="O314" s="3" t="str">
        <f>VLOOKUP(M314,GACETA!$A$1:$C$186,2,0)</f>
        <v>Atención a emergencias por desastres naturales y antropogénicos</v>
      </c>
      <c r="P314" s="243"/>
      <c r="Q314" s="254"/>
      <c r="R314" s="193" t="s">
        <v>629</v>
      </c>
      <c r="S314" s="7" t="s">
        <v>86</v>
      </c>
      <c r="T314" s="76" t="s">
        <v>208</v>
      </c>
      <c r="U314" s="158"/>
    </row>
    <row r="315" spans="1:21" ht="45" x14ac:dyDescent="0.3">
      <c r="A315" s="263"/>
      <c r="B315" s="273"/>
      <c r="C315" s="33" t="s">
        <v>829</v>
      </c>
      <c r="D315" s="35" t="s">
        <v>837</v>
      </c>
      <c r="E315" s="35" t="s">
        <v>832</v>
      </c>
      <c r="F315" s="35" t="s">
        <v>829</v>
      </c>
      <c r="G315" s="74" t="s">
        <v>832</v>
      </c>
      <c r="H315" s="35"/>
      <c r="I315" s="5" t="s">
        <v>53</v>
      </c>
      <c r="J315" s="5"/>
      <c r="K315" s="10">
        <v>106</v>
      </c>
      <c r="L315" s="3" t="str">
        <f>VLOOKUP(K315,'GACETA 3'!$E$9:$F$75,2,0)</f>
        <v>Cuerpo de Bomberos</v>
      </c>
      <c r="M315" s="3" t="str">
        <f t="shared" si="4"/>
        <v>0107020102</v>
      </c>
      <c r="N315" s="3" t="str">
        <f>VLOOKUP(M315,GACETA!$A$1:$C$186,3,0)</f>
        <v>N</v>
      </c>
      <c r="O315" s="3" t="str">
        <f>VLOOKUP(M315,GACETA!$A$1:$C$186,2,0)</f>
        <v>Atención a emergencias por desastres naturales y antropogénicos</v>
      </c>
      <c r="P315" s="243"/>
      <c r="Q315" s="254"/>
      <c r="R315" s="193" t="s">
        <v>630</v>
      </c>
      <c r="S315" s="7" t="s">
        <v>86</v>
      </c>
      <c r="T315" s="76" t="s">
        <v>124</v>
      </c>
      <c r="U315" s="158"/>
    </row>
    <row r="316" spans="1:21" ht="45" x14ac:dyDescent="0.3">
      <c r="A316" s="263"/>
      <c r="B316" s="273"/>
      <c r="C316" s="33" t="s">
        <v>829</v>
      </c>
      <c r="D316" s="35" t="s">
        <v>837</v>
      </c>
      <c r="E316" s="35" t="s">
        <v>832</v>
      </c>
      <c r="F316" s="35" t="s">
        <v>829</v>
      </c>
      <c r="G316" s="74" t="s">
        <v>832</v>
      </c>
      <c r="H316" s="35"/>
      <c r="I316" s="5" t="s">
        <v>53</v>
      </c>
      <c r="J316" s="5"/>
      <c r="K316" s="10">
        <v>106</v>
      </c>
      <c r="L316" s="3" t="str">
        <f>VLOOKUP(K316,'GACETA 3'!$E$9:$F$75,2,0)</f>
        <v>Cuerpo de Bomberos</v>
      </c>
      <c r="M316" s="3" t="str">
        <f t="shared" si="4"/>
        <v>0107020102</v>
      </c>
      <c r="N316" s="3" t="str">
        <f>VLOOKUP(M316,GACETA!$A$1:$C$186,3,0)</f>
        <v>N</v>
      </c>
      <c r="O316" s="3" t="str">
        <f>VLOOKUP(M316,GACETA!$A$1:$C$186,2,0)</f>
        <v>Atención a emergencias por desastres naturales y antropogénicos</v>
      </c>
      <c r="P316" s="243"/>
      <c r="Q316" s="254"/>
      <c r="R316" s="193" t="s">
        <v>1307</v>
      </c>
      <c r="S316" s="7" t="s">
        <v>86</v>
      </c>
      <c r="T316" s="76" t="s">
        <v>402</v>
      </c>
      <c r="U316" s="158"/>
    </row>
    <row r="317" spans="1:21" ht="31.5" customHeight="1" x14ac:dyDescent="0.3">
      <c r="A317" s="263"/>
      <c r="B317" s="273"/>
      <c r="C317" s="33" t="s">
        <v>829</v>
      </c>
      <c r="D317" s="35" t="s">
        <v>837</v>
      </c>
      <c r="E317" s="35" t="s">
        <v>832</v>
      </c>
      <c r="F317" s="35" t="s">
        <v>829</v>
      </c>
      <c r="G317" s="74" t="s">
        <v>830</v>
      </c>
      <c r="H317" s="35"/>
      <c r="I317" s="5" t="s">
        <v>53</v>
      </c>
      <c r="J317" s="5"/>
      <c r="K317" s="10">
        <v>105</v>
      </c>
      <c r="L317" s="3" t="e">
        <f>VLOOKUP(K317,'GACETA 3'!$E$9:$F$75,2,0)</f>
        <v>#N/A</v>
      </c>
      <c r="M317" s="3" t="str">
        <f t="shared" si="4"/>
        <v>0107020103</v>
      </c>
      <c r="N317" s="3" t="str">
        <f>VLOOKUP(M317,GACETA!$A$1:$C$186,3,0)</f>
        <v>M</v>
      </c>
      <c r="O317" s="3" t="str">
        <f>VLOOKUP(M317,GACETA!$A$1:$C$186,2,0)</f>
        <v>Identificación, sistematización y atlas de riesgos</v>
      </c>
      <c r="P317" s="243"/>
      <c r="Q317" s="239" t="s">
        <v>620</v>
      </c>
      <c r="R317" s="147" t="s">
        <v>1309</v>
      </c>
      <c r="S317" s="7" t="s">
        <v>86</v>
      </c>
      <c r="T317" s="7" t="s">
        <v>622</v>
      </c>
      <c r="U317" s="158"/>
    </row>
    <row r="318" spans="1:21" ht="31.5" customHeight="1" x14ac:dyDescent="0.3">
      <c r="A318" s="263"/>
      <c r="B318" s="273"/>
      <c r="C318" s="33" t="s">
        <v>829</v>
      </c>
      <c r="D318" s="35" t="s">
        <v>837</v>
      </c>
      <c r="E318" s="35" t="s">
        <v>832</v>
      </c>
      <c r="F318" s="35" t="s">
        <v>829</v>
      </c>
      <c r="G318" s="74" t="s">
        <v>830</v>
      </c>
      <c r="H318" s="35"/>
      <c r="I318" s="5" t="s">
        <v>53</v>
      </c>
      <c r="J318" s="5"/>
      <c r="K318" s="10">
        <v>105</v>
      </c>
      <c r="L318" s="3" t="e">
        <f>VLOOKUP(K318,'GACETA 3'!$E$9:$F$75,2,0)</f>
        <v>#N/A</v>
      </c>
      <c r="M318" s="3" t="str">
        <f t="shared" si="4"/>
        <v>0107020103</v>
      </c>
      <c r="N318" s="3" t="str">
        <f>VLOOKUP(M318,GACETA!$A$1:$C$186,3,0)</f>
        <v>M</v>
      </c>
      <c r="O318" s="3" t="str">
        <f>VLOOKUP(M318,GACETA!$A$1:$C$186,2,0)</f>
        <v>Identificación, sistematización y atlas de riesgos</v>
      </c>
      <c r="P318" s="243"/>
      <c r="Q318" s="240"/>
      <c r="R318" s="147" t="s">
        <v>623</v>
      </c>
      <c r="S318" s="7" t="s">
        <v>86</v>
      </c>
      <c r="T318" s="7" t="s">
        <v>1310</v>
      </c>
      <c r="U318" s="158"/>
    </row>
    <row r="319" spans="1:21" ht="31.5" customHeight="1" x14ac:dyDescent="0.3">
      <c r="A319" s="263"/>
      <c r="B319" s="273"/>
      <c r="C319" s="33" t="s">
        <v>829</v>
      </c>
      <c r="D319" s="35" t="s">
        <v>837</v>
      </c>
      <c r="E319" s="35" t="s">
        <v>832</v>
      </c>
      <c r="F319" s="35" t="s">
        <v>829</v>
      </c>
      <c r="G319" s="74" t="s">
        <v>836</v>
      </c>
      <c r="H319" s="35"/>
      <c r="I319" s="5" t="s">
        <v>53</v>
      </c>
      <c r="J319" s="5"/>
      <c r="K319" s="10">
        <v>105</v>
      </c>
      <c r="L319" s="3" t="e">
        <f>VLOOKUP(K319,'GACETA 3'!$E$9:$F$75,2,0)</f>
        <v>#N/A</v>
      </c>
      <c r="M319" s="3" t="str">
        <f t="shared" si="4"/>
        <v>0107020104</v>
      </c>
      <c r="N319" s="3" t="str">
        <f>VLOOKUP(M319,GACETA!$A$1:$C$186,3,0)</f>
        <v>E</v>
      </c>
      <c r="O319" s="3" t="str">
        <f>VLOOKUP(M319,GACETA!$A$1:$C$186,2,0)</f>
        <v>Concertación para la protección civil</v>
      </c>
      <c r="P319" s="243"/>
      <c r="Q319" s="239" t="s">
        <v>594</v>
      </c>
      <c r="R319" s="202" t="s">
        <v>1311</v>
      </c>
      <c r="S319" s="7" t="s">
        <v>86</v>
      </c>
      <c r="T319" s="76" t="s">
        <v>1316</v>
      </c>
      <c r="U319" s="158"/>
    </row>
    <row r="320" spans="1:21" ht="31.5" customHeight="1" x14ac:dyDescent="0.3">
      <c r="A320" s="263"/>
      <c r="B320" s="273"/>
      <c r="C320" s="33" t="s">
        <v>829</v>
      </c>
      <c r="D320" s="35" t="s">
        <v>837</v>
      </c>
      <c r="E320" s="35" t="s">
        <v>832</v>
      </c>
      <c r="F320" s="35" t="s">
        <v>829</v>
      </c>
      <c r="G320" s="74" t="s">
        <v>836</v>
      </c>
      <c r="H320" s="35"/>
      <c r="I320" s="5" t="s">
        <v>53</v>
      </c>
      <c r="J320" s="5"/>
      <c r="K320" s="10">
        <v>105</v>
      </c>
      <c r="L320" s="3" t="e">
        <f>VLOOKUP(K320,'GACETA 3'!$E$9:$F$75,2,0)</f>
        <v>#N/A</v>
      </c>
      <c r="M320" s="3" t="str">
        <f t="shared" si="4"/>
        <v>0107020104</v>
      </c>
      <c r="N320" s="3" t="str">
        <f>VLOOKUP(M320,GACETA!$A$1:$C$186,3,0)</f>
        <v>E</v>
      </c>
      <c r="O320" s="3" t="str">
        <f>VLOOKUP(M320,GACETA!$A$1:$C$186,2,0)</f>
        <v>Concertación para la protección civil</v>
      </c>
      <c r="P320" s="243"/>
      <c r="Q320" s="243"/>
      <c r="R320" s="202" t="s">
        <v>1312</v>
      </c>
      <c r="S320" s="7" t="s">
        <v>86</v>
      </c>
      <c r="T320" s="76" t="s">
        <v>1317</v>
      </c>
      <c r="U320" s="158"/>
    </row>
    <row r="321" spans="1:21" ht="31.5" customHeight="1" x14ac:dyDescent="0.3">
      <c r="A321" s="263"/>
      <c r="B321" s="273"/>
      <c r="C321" s="33" t="s">
        <v>829</v>
      </c>
      <c r="D321" s="35" t="s">
        <v>837</v>
      </c>
      <c r="E321" s="35" t="s">
        <v>832</v>
      </c>
      <c r="F321" s="35" t="s">
        <v>829</v>
      </c>
      <c r="G321" s="74" t="s">
        <v>836</v>
      </c>
      <c r="H321" s="35"/>
      <c r="I321" s="5" t="s">
        <v>53</v>
      </c>
      <c r="J321" s="5"/>
      <c r="K321" s="10">
        <v>105</v>
      </c>
      <c r="L321" s="3" t="e">
        <f>VLOOKUP(K321,'GACETA 3'!$E$9:$F$75,2,0)</f>
        <v>#N/A</v>
      </c>
      <c r="M321" s="3" t="str">
        <f t="shared" si="4"/>
        <v>0107020104</v>
      </c>
      <c r="N321" s="3" t="str">
        <f>VLOOKUP(M321,GACETA!$A$1:$C$186,3,0)</f>
        <v>E</v>
      </c>
      <c r="O321" s="3" t="str">
        <f>VLOOKUP(M321,GACETA!$A$1:$C$186,2,0)</f>
        <v>Concertación para la protección civil</v>
      </c>
      <c r="P321" s="243"/>
      <c r="Q321" s="243"/>
      <c r="R321" s="193" t="s">
        <v>1313</v>
      </c>
      <c r="S321" s="7" t="s">
        <v>86</v>
      </c>
      <c r="T321" s="76" t="s">
        <v>1318</v>
      </c>
      <c r="U321" s="158"/>
    </row>
    <row r="322" spans="1:21" ht="31.5" customHeight="1" x14ac:dyDescent="0.3">
      <c r="A322" s="263"/>
      <c r="B322" s="273"/>
      <c r="C322" s="33" t="s">
        <v>829</v>
      </c>
      <c r="D322" s="35" t="s">
        <v>837</v>
      </c>
      <c r="E322" s="35" t="s">
        <v>832</v>
      </c>
      <c r="F322" s="35" t="s">
        <v>829</v>
      </c>
      <c r="G322" s="74" t="s">
        <v>836</v>
      </c>
      <c r="H322" s="35"/>
      <c r="I322" s="5" t="s">
        <v>53</v>
      </c>
      <c r="J322" s="5"/>
      <c r="K322" s="10">
        <v>105</v>
      </c>
      <c r="L322" s="3" t="e">
        <f>VLOOKUP(K322,'GACETA 3'!$E$9:$F$75,2,0)</f>
        <v>#N/A</v>
      </c>
      <c r="M322" s="3" t="str">
        <f t="shared" si="4"/>
        <v>0107020104</v>
      </c>
      <c r="N322" s="3" t="str">
        <f>VLOOKUP(M322,GACETA!$A$1:$C$186,3,0)</f>
        <v>E</v>
      </c>
      <c r="O322" s="3" t="str">
        <f>VLOOKUP(M322,GACETA!$A$1:$C$186,2,0)</f>
        <v>Concertación para la protección civil</v>
      </c>
      <c r="P322" s="243"/>
      <c r="Q322" s="243"/>
      <c r="R322" s="193" t="s">
        <v>1314</v>
      </c>
      <c r="S322" s="7" t="s">
        <v>86</v>
      </c>
      <c r="T322" s="76" t="s">
        <v>1319</v>
      </c>
      <c r="U322" s="158"/>
    </row>
    <row r="323" spans="1:21" ht="31.5" customHeight="1" x14ac:dyDescent="0.3">
      <c r="A323" s="263"/>
      <c r="B323" s="273"/>
      <c r="C323" s="33" t="s">
        <v>829</v>
      </c>
      <c r="D323" s="35" t="s">
        <v>837</v>
      </c>
      <c r="E323" s="35" t="s">
        <v>832</v>
      </c>
      <c r="F323" s="35" t="s">
        <v>829</v>
      </c>
      <c r="G323" s="74" t="s">
        <v>836</v>
      </c>
      <c r="H323" s="35"/>
      <c r="I323" s="5" t="s">
        <v>53</v>
      </c>
      <c r="J323" s="5"/>
      <c r="K323" s="10">
        <v>105</v>
      </c>
      <c r="L323" s="3" t="e">
        <f>VLOOKUP(K323,'GACETA 3'!$E$9:$F$75,2,0)</f>
        <v>#N/A</v>
      </c>
      <c r="M323" s="3" t="str">
        <f t="shared" ref="M323:M386" si="5">CONCATENATE(C323,D323,E323,F323,G323)</f>
        <v>0107020104</v>
      </c>
      <c r="N323" s="3" t="str">
        <f>VLOOKUP(M323,GACETA!$A$1:$C$186,3,0)</f>
        <v>E</v>
      </c>
      <c r="O323" s="3" t="str">
        <f>VLOOKUP(M323,GACETA!$A$1:$C$186,2,0)</f>
        <v>Concertación para la protección civil</v>
      </c>
      <c r="P323" s="243"/>
      <c r="Q323" s="240"/>
      <c r="R323" s="193" t="s">
        <v>1315</v>
      </c>
      <c r="S323" s="7" t="s">
        <v>86</v>
      </c>
      <c r="T323" s="76" t="s">
        <v>1319</v>
      </c>
      <c r="U323" s="158"/>
    </row>
    <row r="324" spans="1:21" ht="57.75" customHeight="1" x14ac:dyDescent="0.3">
      <c r="A324" s="263"/>
      <c r="B324" s="273"/>
      <c r="C324" s="33" t="s">
        <v>829</v>
      </c>
      <c r="D324" s="35" t="s">
        <v>837</v>
      </c>
      <c r="E324" s="35" t="s">
        <v>832</v>
      </c>
      <c r="F324" s="35" t="s">
        <v>829</v>
      </c>
      <c r="G324" s="74" t="s">
        <v>833</v>
      </c>
      <c r="H324" s="35"/>
      <c r="I324" s="5" t="s">
        <v>53</v>
      </c>
      <c r="J324" s="5"/>
      <c r="K324" s="10">
        <v>105</v>
      </c>
      <c r="L324" s="3" t="e">
        <f>VLOOKUP(K324,'GACETA 3'!$E$9:$F$75,2,0)</f>
        <v>#N/A</v>
      </c>
      <c r="M324" s="3" t="str">
        <f t="shared" si="5"/>
        <v>0107020105</v>
      </c>
      <c r="N324" s="3" t="str">
        <f>VLOOKUP(M324,GACETA!$A$1:$C$186,3,0)</f>
        <v>N</v>
      </c>
      <c r="O324" s="3" t="str">
        <f>VLOOKUP(M324,GACETA!$A$1:$C$186,2,0)</f>
        <v>Capacitación integral y actualización para la protección civil</v>
      </c>
      <c r="P324" s="243"/>
      <c r="Q324" s="239" t="s">
        <v>1300</v>
      </c>
      <c r="R324" s="202" t="s">
        <v>602</v>
      </c>
      <c r="S324" s="7" t="s">
        <v>86</v>
      </c>
      <c r="T324" s="76" t="s">
        <v>173</v>
      </c>
      <c r="U324" s="158"/>
    </row>
    <row r="325" spans="1:21" ht="57.75" customHeight="1" x14ac:dyDescent="0.3">
      <c r="A325" s="263"/>
      <c r="B325" s="273"/>
      <c r="C325" s="33" t="s">
        <v>829</v>
      </c>
      <c r="D325" s="35" t="s">
        <v>837</v>
      </c>
      <c r="E325" s="35" t="s">
        <v>832</v>
      </c>
      <c r="F325" s="35" t="s">
        <v>829</v>
      </c>
      <c r="G325" s="74" t="s">
        <v>833</v>
      </c>
      <c r="H325" s="35"/>
      <c r="I325" s="5" t="s">
        <v>53</v>
      </c>
      <c r="J325" s="5"/>
      <c r="K325" s="10">
        <v>105</v>
      </c>
      <c r="L325" s="3" t="e">
        <f>VLOOKUP(K325,'GACETA 3'!$E$9:$F$75,2,0)</f>
        <v>#N/A</v>
      </c>
      <c r="M325" s="3" t="str">
        <f t="shared" si="5"/>
        <v>0107020105</v>
      </c>
      <c r="N325" s="3" t="str">
        <f>VLOOKUP(M325,GACETA!$A$1:$C$186,3,0)</f>
        <v>N</v>
      </c>
      <c r="O325" s="3" t="str">
        <f>VLOOKUP(M325,GACETA!$A$1:$C$186,2,0)</f>
        <v>Capacitación integral y actualización para la protección civil</v>
      </c>
      <c r="P325" s="243"/>
      <c r="Q325" s="243"/>
      <c r="R325" s="202" t="s">
        <v>1320</v>
      </c>
      <c r="S325" s="7" t="s">
        <v>86</v>
      </c>
      <c r="T325" s="76" t="s">
        <v>173</v>
      </c>
      <c r="U325" s="158"/>
    </row>
    <row r="326" spans="1:21" ht="57.75" customHeight="1" x14ac:dyDescent="0.3">
      <c r="A326" s="263"/>
      <c r="B326" s="273"/>
      <c r="C326" s="33" t="s">
        <v>829</v>
      </c>
      <c r="D326" s="35" t="s">
        <v>837</v>
      </c>
      <c r="E326" s="35" t="s">
        <v>832</v>
      </c>
      <c r="F326" s="35" t="s">
        <v>829</v>
      </c>
      <c r="G326" s="74" t="s">
        <v>833</v>
      </c>
      <c r="H326" s="35"/>
      <c r="I326" s="5" t="s">
        <v>53</v>
      </c>
      <c r="J326" s="5"/>
      <c r="K326" s="10">
        <v>105</v>
      </c>
      <c r="L326" s="3" t="e">
        <f>VLOOKUP(K326,'GACETA 3'!$E$9:$F$75,2,0)</f>
        <v>#N/A</v>
      </c>
      <c r="M326" s="3" t="str">
        <f t="shared" si="5"/>
        <v>0107020105</v>
      </c>
      <c r="N326" s="3" t="str">
        <f>VLOOKUP(M326,GACETA!$A$1:$C$186,3,0)</f>
        <v>N</v>
      </c>
      <c r="O326" s="3" t="str">
        <f>VLOOKUP(M326,GACETA!$A$1:$C$186,2,0)</f>
        <v>Capacitación integral y actualización para la protección civil</v>
      </c>
      <c r="P326" s="243"/>
      <c r="Q326" s="243"/>
      <c r="R326" s="202" t="s">
        <v>1321</v>
      </c>
      <c r="S326" s="7" t="s">
        <v>86</v>
      </c>
      <c r="T326" s="76" t="s">
        <v>173</v>
      </c>
      <c r="U326" s="158"/>
    </row>
    <row r="327" spans="1:21" ht="57.75" customHeight="1" x14ac:dyDescent="0.3">
      <c r="A327" s="263"/>
      <c r="B327" s="273"/>
      <c r="C327" s="33" t="s">
        <v>829</v>
      </c>
      <c r="D327" s="35" t="s">
        <v>837</v>
      </c>
      <c r="E327" s="35" t="s">
        <v>832</v>
      </c>
      <c r="F327" s="35" t="s">
        <v>829</v>
      </c>
      <c r="G327" s="74" t="s">
        <v>833</v>
      </c>
      <c r="H327" s="35"/>
      <c r="I327" s="5" t="s">
        <v>53</v>
      </c>
      <c r="J327" s="5"/>
      <c r="K327" s="10">
        <v>105</v>
      </c>
      <c r="L327" s="3" t="e">
        <f>VLOOKUP(K327,'GACETA 3'!$E$9:$F$75,2,0)</f>
        <v>#N/A</v>
      </c>
      <c r="M327" s="3" t="str">
        <f t="shared" si="5"/>
        <v>0107020105</v>
      </c>
      <c r="N327" s="3" t="str">
        <f>VLOOKUP(M327,GACETA!$A$1:$C$186,3,0)</f>
        <v>N</v>
      </c>
      <c r="O327" s="3" t="str">
        <f>VLOOKUP(M327,GACETA!$A$1:$C$186,2,0)</f>
        <v>Capacitación integral y actualización para la protección civil</v>
      </c>
      <c r="P327" s="243"/>
      <c r="Q327" s="243"/>
      <c r="R327" s="202" t="s">
        <v>1322</v>
      </c>
      <c r="S327" s="7" t="s">
        <v>86</v>
      </c>
      <c r="T327" s="76" t="s">
        <v>173</v>
      </c>
      <c r="U327" s="158"/>
    </row>
    <row r="328" spans="1:21" ht="57.75" customHeight="1" x14ac:dyDescent="0.3">
      <c r="A328" s="263"/>
      <c r="B328" s="273"/>
      <c r="C328" s="33" t="s">
        <v>829</v>
      </c>
      <c r="D328" s="35" t="s">
        <v>837</v>
      </c>
      <c r="E328" s="35" t="s">
        <v>832</v>
      </c>
      <c r="F328" s="35" t="s">
        <v>829</v>
      </c>
      <c r="G328" s="74" t="s">
        <v>833</v>
      </c>
      <c r="H328" s="35"/>
      <c r="I328" s="5" t="s">
        <v>53</v>
      </c>
      <c r="J328" s="5"/>
      <c r="K328" s="10">
        <v>105</v>
      </c>
      <c r="L328" s="3" t="e">
        <f>VLOOKUP(K328,'GACETA 3'!$E$9:$F$75,2,0)</f>
        <v>#N/A</v>
      </c>
      <c r="M328" s="3" t="str">
        <f t="shared" si="5"/>
        <v>0107020105</v>
      </c>
      <c r="N328" s="3" t="str">
        <f>VLOOKUP(M328,GACETA!$A$1:$C$186,3,0)</f>
        <v>N</v>
      </c>
      <c r="O328" s="3" t="str">
        <f>VLOOKUP(M328,GACETA!$A$1:$C$186,2,0)</f>
        <v>Capacitación integral y actualización para la protección civil</v>
      </c>
      <c r="P328" s="243"/>
      <c r="Q328" s="243"/>
      <c r="R328" s="202" t="s">
        <v>1323</v>
      </c>
      <c r="S328" s="7" t="s">
        <v>86</v>
      </c>
      <c r="T328" s="76" t="s">
        <v>173</v>
      </c>
      <c r="U328" s="158"/>
    </row>
    <row r="329" spans="1:21" ht="57.75" customHeight="1" x14ac:dyDescent="0.3">
      <c r="A329" s="263"/>
      <c r="B329" s="273"/>
      <c r="C329" s="33" t="s">
        <v>829</v>
      </c>
      <c r="D329" s="35" t="s">
        <v>837</v>
      </c>
      <c r="E329" s="35" t="s">
        <v>832</v>
      </c>
      <c r="F329" s="35" t="s">
        <v>829</v>
      </c>
      <c r="G329" s="74" t="s">
        <v>833</v>
      </c>
      <c r="H329" s="35"/>
      <c r="I329" s="5" t="s">
        <v>53</v>
      </c>
      <c r="J329" s="5"/>
      <c r="K329" s="10">
        <v>105</v>
      </c>
      <c r="L329" s="3" t="e">
        <f>VLOOKUP(K329,'GACETA 3'!$E$9:$F$75,2,0)</f>
        <v>#N/A</v>
      </c>
      <c r="M329" s="3" t="str">
        <f t="shared" si="5"/>
        <v>0107020105</v>
      </c>
      <c r="N329" s="3" t="str">
        <f>VLOOKUP(M329,GACETA!$A$1:$C$186,3,0)</f>
        <v>N</v>
      </c>
      <c r="O329" s="3" t="str">
        <f>VLOOKUP(M329,GACETA!$A$1:$C$186,2,0)</f>
        <v>Capacitación integral y actualización para la protección civil</v>
      </c>
      <c r="P329" s="243"/>
      <c r="Q329" s="240"/>
      <c r="R329" s="202" t="s">
        <v>1324</v>
      </c>
      <c r="S329" s="7" t="s">
        <v>86</v>
      </c>
      <c r="T329" s="76" t="s">
        <v>1325</v>
      </c>
      <c r="U329" s="158"/>
    </row>
    <row r="330" spans="1:21" ht="53.25" customHeight="1" x14ac:dyDescent="0.3">
      <c r="A330" s="263"/>
      <c r="B330" s="273"/>
      <c r="C330" s="33" t="s">
        <v>829</v>
      </c>
      <c r="D330" s="35" t="s">
        <v>837</v>
      </c>
      <c r="E330" s="35" t="s">
        <v>832</v>
      </c>
      <c r="F330" s="35" t="s">
        <v>829</v>
      </c>
      <c r="G330" s="74" t="s">
        <v>835</v>
      </c>
      <c r="H330" s="35"/>
      <c r="I330" s="5" t="s">
        <v>53</v>
      </c>
      <c r="J330" s="5"/>
      <c r="K330" s="10">
        <v>105</v>
      </c>
      <c r="L330" s="3" t="e">
        <f>VLOOKUP(K330,'GACETA 3'!$E$9:$F$75,2,0)</f>
        <v>#N/A</v>
      </c>
      <c r="M330" s="3" t="str">
        <f t="shared" si="5"/>
        <v>0107020106</v>
      </c>
      <c r="N330" s="3" t="str">
        <f>VLOOKUP(M330,GACETA!$A$1:$C$186,3,0)</f>
        <v>N</v>
      </c>
      <c r="O330" s="3" t="str">
        <f>VLOOKUP(M330,GACETA!$A$1:$C$186,2,0)</f>
        <v>Difusión y comunicación para la protección civil</v>
      </c>
      <c r="P330" s="243"/>
      <c r="Q330" s="239" t="s">
        <v>1301</v>
      </c>
      <c r="R330" s="147" t="s">
        <v>1326</v>
      </c>
      <c r="S330" s="7" t="s">
        <v>86</v>
      </c>
      <c r="T330" s="7" t="s">
        <v>610</v>
      </c>
      <c r="U330" s="158"/>
    </row>
    <row r="331" spans="1:21" ht="53.25" customHeight="1" x14ac:dyDescent="0.3">
      <c r="A331" s="263"/>
      <c r="B331" s="273"/>
      <c r="C331" s="33" t="s">
        <v>829</v>
      </c>
      <c r="D331" s="35" t="s">
        <v>837</v>
      </c>
      <c r="E331" s="35" t="s">
        <v>832</v>
      </c>
      <c r="F331" s="35" t="s">
        <v>829</v>
      </c>
      <c r="G331" s="74" t="s">
        <v>835</v>
      </c>
      <c r="H331" s="35"/>
      <c r="I331" s="5" t="s">
        <v>53</v>
      </c>
      <c r="J331" s="5"/>
      <c r="K331" s="10">
        <v>105</v>
      </c>
      <c r="L331" s="3" t="e">
        <f>VLOOKUP(K331,'GACETA 3'!$E$9:$F$75,2,0)</f>
        <v>#N/A</v>
      </c>
      <c r="M331" s="3" t="str">
        <f t="shared" si="5"/>
        <v>0107020106</v>
      </c>
      <c r="N331" s="3" t="str">
        <f>VLOOKUP(M331,GACETA!$A$1:$C$186,3,0)</f>
        <v>N</v>
      </c>
      <c r="O331" s="3" t="str">
        <f>VLOOKUP(M331,GACETA!$A$1:$C$186,2,0)</f>
        <v>Difusión y comunicación para la protección civil</v>
      </c>
      <c r="P331" s="240"/>
      <c r="Q331" s="240"/>
      <c r="R331" s="147" t="s">
        <v>611</v>
      </c>
      <c r="S331" s="7" t="s">
        <v>86</v>
      </c>
      <c r="T331" s="7" t="s">
        <v>1327</v>
      </c>
      <c r="U331" s="158"/>
    </row>
    <row r="332" spans="1:21" ht="45" x14ac:dyDescent="0.3">
      <c r="A332" s="263"/>
      <c r="B332" s="273"/>
      <c r="C332" s="33" t="s">
        <v>830</v>
      </c>
      <c r="D332" s="41" t="s">
        <v>832</v>
      </c>
      <c r="E332" s="41" t="s">
        <v>832</v>
      </c>
      <c r="F332" s="41" t="s">
        <v>829</v>
      </c>
      <c r="G332" s="99" t="s">
        <v>833</v>
      </c>
      <c r="H332" s="41"/>
      <c r="I332" s="5" t="s">
        <v>53</v>
      </c>
      <c r="J332" s="5"/>
      <c r="K332" s="10">
        <v>106</v>
      </c>
      <c r="L332" s="3" t="str">
        <f>VLOOKUP(K332,'GACETA 3'!$E$9:$F$75,2,0)</f>
        <v>Cuerpo de Bomberos</v>
      </c>
      <c r="M332" s="3" t="str">
        <f t="shared" si="5"/>
        <v>0302020105</v>
      </c>
      <c r="N332" s="3" t="str">
        <f>VLOOKUP(M332,GACETA!$A$1:$C$186,3,0)</f>
        <v>V</v>
      </c>
      <c r="O332" s="3" t="str">
        <f>VLOOKUP(M332,GACETA!$A$1:$C$186,2,0)</f>
        <v>Protección de los ecosistemas forestales</v>
      </c>
      <c r="P332" s="254" t="s">
        <v>268</v>
      </c>
      <c r="Q332" s="254" t="s">
        <v>632</v>
      </c>
      <c r="R332" s="147" t="s">
        <v>633</v>
      </c>
      <c r="S332" s="7" t="s">
        <v>86</v>
      </c>
      <c r="T332" s="7" t="s">
        <v>634</v>
      </c>
      <c r="U332" s="158"/>
    </row>
    <row r="333" spans="1:21" ht="45" x14ac:dyDescent="0.3">
      <c r="A333" s="263"/>
      <c r="B333" s="273"/>
      <c r="C333" s="33" t="s">
        <v>830</v>
      </c>
      <c r="D333" s="41" t="s">
        <v>832</v>
      </c>
      <c r="E333" s="41" t="s">
        <v>832</v>
      </c>
      <c r="F333" s="41" t="s">
        <v>829</v>
      </c>
      <c r="G333" s="99" t="s">
        <v>833</v>
      </c>
      <c r="H333" s="41"/>
      <c r="I333" s="5" t="s">
        <v>53</v>
      </c>
      <c r="J333" s="5"/>
      <c r="K333" s="10">
        <v>106</v>
      </c>
      <c r="L333" s="3" t="str">
        <f>VLOOKUP(K333,'GACETA 3'!$E$9:$F$75,2,0)</f>
        <v>Cuerpo de Bomberos</v>
      </c>
      <c r="M333" s="3" t="str">
        <f t="shared" si="5"/>
        <v>0302020105</v>
      </c>
      <c r="N333" s="3" t="str">
        <f>VLOOKUP(M333,GACETA!$A$1:$C$186,3,0)</f>
        <v>V</v>
      </c>
      <c r="O333" s="3" t="str">
        <f>VLOOKUP(M333,GACETA!$A$1:$C$186,2,0)</f>
        <v>Protección de los ecosistemas forestales</v>
      </c>
      <c r="P333" s="254"/>
      <c r="Q333" s="254"/>
      <c r="R333" s="147" t="s">
        <v>635</v>
      </c>
      <c r="S333" s="7" t="s">
        <v>86</v>
      </c>
      <c r="T333" s="7" t="s">
        <v>173</v>
      </c>
      <c r="U333" s="158"/>
    </row>
    <row r="334" spans="1:21" ht="45" x14ac:dyDescent="0.3">
      <c r="A334" s="263"/>
      <c r="B334" s="273"/>
      <c r="C334" s="33" t="s">
        <v>830</v>
      </c>
      <c r="D334" s="41" t="s">
        <v>832</v>
      </c>
      <c r="E334" s="41" t="s">
        <v>832</v>
      </c>
      <c r="F334" s="41" t="s">
        <v>829</v>
      </c>
      <c r="G334" s="99" t="s">
        <v>833</v>
      </c>
      <c r="H334" s="41"/>
      <c r="I334" s="5" t="s">
        <v>53</v>
      </c>
      <c r="J334" s="5"/>
      <c r="K334" s="10">
        <v>106</v>
      </c>
      <c r="L334" s="3" t="str">
        <f>VLOOKUP(K334,'GACETA 3'!$E$9:$F$75,2,0)</f>
        <v>Cuerpo de Bomberos</v>
      </c>
      <c r="M334" s="3" t="str">
        <f t="shared" si="5"/>
        <v>0302020105</v>
      </c>
      <c r="N334" s="3" t="str">
        <f>VLOOKUP(M334,GACETA!$A$1:$C$186,3,0)</f>
        <v>V</v>
      </c>
      <c r="O334" s="3" t="str">
        <f>VLOOKUP(M334,GACETA!$A$1:$C$186,2,0)</f>
        <v>Protección de los ecosistemas forestales</v>
      </c>
      <c r="P334" s="254"/>
      <c r="Q334" s="254"/>
      <c r="R334" s="147" t="s">
        <v>636</v>
      </c>
      <c r="S334" s="7" t="s">
        <v>86</v>
      </c>
      <c r="T334" s="7" t="s">
        <v>126</v>
      </c>
      <c r="U334" s="158"/>
    </row>
    <row r="335" spans="1:21" ht="45" x14ac:dyDescent="0.3">
      <c r="A335" s="263"/>
      <c r="B335" s="273"/>
      <c r="C335" s="33" t="s">
        <v>830</v>
      </c>
      <c r="D335" s="41" t="s">
        <v>832</v>
      </c>
      <c r="E335" s="41" t="s">
        <v>832</v>
      </c>
      <c r="F335" s="41" t="s">
        <v>829</v>
      </c>
      <c r="G335" s="99" t="s">
        <v>833</v>
      </c>
      <c r="H335" s="41"/>
      <c r="I335" s="5" t="s">
        <v>53</v>
      </c>
      <c r="J335" s="5"/>
      <c r="K335" s="10">
        <v>106</v>
      </c>
      <c r="L335" s="3" t="str">
        <f>VLOOKUP(K335,'GACETA 3'!$E$9:$F$75,2,0)</f>
        <v>Cuerpo de Bomberos</v>
      </c>
      <c r="M335" s="3" t="str">
        <f t="shared" si="5"/>
        <v>0302020105</v>
      </c>
      <c r="N335" s="3" t="str">
        <f>VLOOKUP(M335,GACETA!$A$1:$C$186,3,0)</f>
        <v>V</v>
      </c>
      <c r="O335" s="3" t="str">
        <f>VLOOKUP(M335,GACETA!$A$1:$C$186,2,0)</f>
        <v>Protección de los ecosistemas forestales</v>
      </c>
      <c r="P335" s="254"/>
      <c r="Q335" s="254"/>
      <c r="R335" s="147" t="s">
        <v>637</v>
      </c>
      <c r="S335" s="7" t="s">
        <v>86</v>
      </c>
      <c r="T335" s="7" t="s">
        <v>638</v>
      </c>
      <c r="U335" s="158"/>
    </row>
    <row r="336" spans="1:21" ht="45" x14ac:dyDescent="0.3">
      <c r="A336" s="263"/>
      <c r="B336" s="273"/>
      <c r="C336" s="33" t="s">
        <v>830</v>
      </c>
      <c r="D336" s="41" t="s">
        <v>832</v>
      </c>
      <c r="E336" s="41" t="s">
        <v>832</v>
      </c>
      <c r="F336" s="41" t="s">
        <v>829</v>
      </c>
      <c r="G336" s="99" t="s">
        <v>833</v>
      </c>
      <c r="H336" s="41"/>
      <c r="I336" s="5" t="s">
        <v>53</v>
      </c>
      <c r="J336" s="5"/>
      <c r="K336" s="10">
        <v>106</v>
      </c>
      <c r="L336" s="3" t="str">
        <f>VLOOKUP(K336,'GACETA 3'!$E$9:$F$75,2,0)</f>
        <v>Cuerpo de Bomberos</v>
      </c>
      <c r="M336" s="3" t="str">
        <f t="shared" si="5"/>
        <v>0302020105</v>
      </c>
      <c r="N336" s="3" t="str">
        <f>VLOOKUP(M336,GACETA!$A$1:$C$186,3,0)</f>
        <v>V</v>
      </c>
      <c r="O336" s="3" t="str">
        <f>VLOOKUP(M336,GACETA!$A$1:$C$186,2,0)</f>
        <v>Protección de los ecosistemas forestales</v>
      </c>
      <c r="P336" s="254"/>
      <c r="Q336" s="254"/>
      <c r="R336" s="147" t="s">
        <v>639</v>
      </c>
      <c r="S336" s="7" t="s">
        <v>86</v>
      </c>
      <c r="T336" s="7" t="s">
        <v>610</v>
      </c>
      <c r="U336" s="158"/>
    </row>
    <row r="337" spans="1:21" ht="45" x14ac:dyDescent="0.3">
      <c r="A337" s="263"/>
      <c r="B337" s="274"/>
      <c r="C337" s="33" t="s">
        <v>830</v>
      </c>
      <c r="D337" s="41" t="s">
        <v>832</v>
      </c>
      <c r="E337" s="41" t="s">
        <v>832</v>
      </c>
      <c r="F337" s="41" t="s">
        <v>829</v>
      </c>
      <c r="G337" s="99" t="s">
        <v>833</v>
      </c>
      <c r="H337" s="41"/>
      <c r="I337" s="5" t="s">
        <v>53</v>
      </c>
      <c r="J337" s="5"/>
      <c r="K337" s="10">
        <v>106</v>
      </c>
      <c r="L337" s="3" t="str">
        <f>VLOOKUP(K337,'GACETA 3'!$E$9:$F$75,2,0)</f>
        <v>Cuerpo de Bomberos</v>
      </c>
      <c r="M337" s="3" t="str">
        <f t="shared" si="5"/>
        <v>0302020105</v>
      </c>
      <c r="N337" s="3" t="str">
        <f>VLOOKUP(M337,GACETA!$A$1:$C$186,3,0)</f>
        <v>V</v>
      </c>
      <c r="O337" s="3" t="str">
        <f>VLOOKUP(M337,GACETA!$A$1:$C$186,2,0)</f>
        <v>Protección de los ecosistemas forestales</v>
      </c>
      <c r="P337" s="254"/>
      <c r="Q337" s="254"/>
      <c r="R337" s="147" t="s">
        <v>640</v>
      </c>
      <c r="S337" s="7" t="s">
        <v>86</v>
      </c>
      <c r="T337" s="7" t="s">
        <v>612</v>
      </c>
      <c r="U337" s="158"/>
    </row>
    <row r="338" spans="1:21" ht="30" x14ac:dyDescent="0.3">
      <c r="A338" s="263" t="s">
        <v>49</v>
      </c>
      <c r="B338" s="291" t="s">
        <v>6</v>
      </c>
      <c r="C338" s="33" t="s">
        <v>832</v>
      </c>
      <c r="D338" s="34" t="s">
        <v>832</v>
      </c>
      <c r="E338" s="34" t="s">
        <v>829</v>
      </c>
      <c r="F338" s="34" t="s">
        <v>829</v>
      </c>
      <c r="G338" s="61" t="s">
        <v>969</v>
      </c>
      <c r="H338" s="34"/>
      <c r="I338" s="6" t="s">
        <v>49</v>
      </c>
      <c r="J338" s="6"/>
      <c r="K338" s="3">
        <v>125</v>
      </c>
      <c r="L338" s="3" t="str">
        <f>VLOOKUP(K338,'GACETA 3'!$E$9:$F$75,2,0)</f>
        <v>Servicios Públicos</v>
      </c>
      <c r="M338" s="3" t="str">
        <f t="shared" si="5"/>
        <v>0202010110</v>
      </c>
      <c r="N338" s="3" t="str">
        <f>VLOOKUP(M338,GACETA!$A$1:$C$186,3,0)</f>
        <v>K</v>
      </c>
      <c r="O338" s="3" t="str">
        <f>VLOOKUP(M338,GACETA!$A$1:$C$186,2,0)</f>
        <v>Rehabilitación de vialidades urbanas</v>
      </c>
      <c r="P338" s="258" t="s">
        <v>1210</v>
      </c>
      <c r="Q338" s="279" t="s">
        <v>1211</v>
      </c>
      <c r="R338" s="149"/>
      <c r="S338" s="7" t="s">
        <v>86</v>
      </c>
      <c r="T338" s="7" t="s">
        <v>197</v>
      </c>
      <c r="U338" s="194"/>
    </row>
    <row r="339" spans="1:21" ht="30" x14ac:dyDescent="0.3">
      <c r="A339" s="263"/>
      <c r="B339" s="291"/>
      <c r="C339" s="33" t="s">
        <v>832</v>
      </c>
      <c r="D339" s="34" t="s">
        <v>832</v>
      </c>
      <c r="E339" s="34" t="s">
        <v>829</v>
      </c>
      <c r="F339" s="34" t="s">
        <v>829</v>
      </c>
      <c r="G339" s="61" t="s">
        <v>969</v>
      </c>
      <c r="H339" s="34"/>
      <c r="I339" s="6" t="s">
        <v>49</v>
      </c>
      <c r="J339" s="6"/>
      <c r="K339" s="3">
        <v>125</v>
      </c>
      <c r="L339" s="3" t="str">
        <f>VLOOKUP(K339,'GACETA 3'!$E$9:$F$75,2,0)</f>
        <v>Servicios Públicos</v>
      </c>
      <c r="M339" s="3" t="str">
        <f t="shared" si="5"/>
        <v>0202010110</v>
      </c>
      <c r="N339" s="3" t="str">
        <f>VLOOKUP(M339,GACETA!$A$1:$C$186,3,0)</f>
        <v>K</v>
      </c>
      <c r="O339" s="3" t="str">
        <f>VLOOKUP(M339,GACETA!$A$1:$C$186,2,0)</f>
        <v>Rehabilitación de vialidades urbanas</v>
      </c>
      <c r="P339" s="258"/>
      <c r="Q339" s="279"/>
      <c r="R339" s="149"/>
      <c r="S339" s="7" t="s">
        <v>86</v>
      </c>
      <c r="T339" s="7" t="s">
        <v>200</v>
      </c>
      <c r="U339" s="194"/>
    </row>
    <row r="340" spans="1:21" ht="30" x14ac:dyDescent="0.3">
      <c r="A340" s="263"/>
      <c r="B340" s="291"/>
      <c r="C340" s="33" t="s">
        <v>832</v>
      </c>
      <c r="D340" s="34" t="s">
        <v>832</v>
      </c>
      <c r="E340" s="34" t="s">
        <v>829</v>
      </c>
      <c r="F340" s="34" t="s">
        <v>829</v>
      </c>
      <c r="G340" s="61" t="s">
        <v>969</v>
      </c>
      <c r="H340" s="34"/>
      <c r="I340" s="6" t="s">
        <v>49</v>
      </c>
      <c r="J340" s="6"/>
      <c r="K340" s="3">
        <v>125</v>
      </c>
      <c r="L340" s="3" t="str">
        <f>VLOOKUP(K340,'GACETA 3'!$E$9:$F$75,2,0)</f>
        <v>Servicios Públicos</v>
      </c>
      <c r="M340" s="3" t="str">
        <f t="shared" si="5"/>
        <v>0202010110</v>
      </c>
      <c r="N340" s="3" t="str">
        <f>VLOOKUP(M340,GACETA!$A$1:$C$186,3,0)</f>
        <v>K</v>
      </c>
      <c r="O340" s="3" t="str">
        <f>VLOOKUP(M340,GACETA!$A$1:$C$186,2,0)</f>
        <v>Rehabilitación de vialidades urbanas</v>
      </c>
      <c r="P340" s="258"/>
      <c r="Q340" s="279"/>
      <c r="R340" s="149"/>
      <c r="S340" s="7" t="s">
        <v>86</v>
      </c>
      <c r="T340" s="7" t="s">
        <v>200</v>
      </c>
      <c r="U340" s="194"/>
    </row>
    <row r="341" spans="1:21" ht="30" x14ac:dyDescent="0.3">
      <c r="A341" s="263"/>
      <c r="B341" s="291"/>
      <c r="C341" s="33" t="s">
        <v>832</v>
      </c>
      <c r="D341" s="34" t="s">
        <v>832</v>
      </c>
      <c r="E341" s="34" t="s">
        <v>829</v>
      </c>
      <c r="F341" s="34" t="s">
        <v>829</v>
      </c>
      <c r="G341" s="61" t="s">
        <v>969</v>
      </c>
      <c r="H341" s="34"/>
      <c r="I341" s="6" t="s">
        <v>49</v>
      </c>
      <c r="J341" s="6"/>
      <c r="K341" s="3">
        <v>125</v>
      </c>
      <c r="L341" s="3" t="str">
        <f>VLOOKUP(K341,'GACETA 3'!$E$9:$F$75,2,0)</f>
        <v>Servicios Públicos</v>
      </c>
      <c r="M341" s="3" t="str">
        <f t="shared" si="5"/>
        <v>0202010110</v>
      </c>
      <c r="N341" s="3" t="str">
        <f>VLOOKUP(M341,GACETA!$A$1:$C$186,3,0)</f>
        <v>K</v>
      </c>
      <c r="O341" s="3" t="str">
        <f>VLOOKUP(M341,GACETA!$A$1:$C$186,2,0)</f>
        <v>Rehabilitación de vialidades urbanas</v>
      </c>
      <c r="P341" s="258"/>
      <c r="Q341" s="279"/>
      <c r="R341" s="149"/>
      <c r="S341" s="7" t="s">
        <v>86</v>
      </c>
      <c r="T341" s="7" t="s">
        <v>197</v>
      </c>
      <c r="U341" s="194"/>
    </row>
    <row r="342" spans="1:21" ht="30" x14ac:dyDescent="0.3">
      <c r="A342" s="263"/>
      <c r="B342" s="291"/>
      <c r="C342" s="33" t="s">
        <v>832</v>
      </c>
      <c r="D342" s="34" t="s">
        <v>829</v>
      </c>
      <c r="E342" s="34" t="s">
        <v>829</v>
      </c>
      <c r="F342" s="34" t="s">
        <v>829</v>
      </c>
      <c r="G342" s="61" t="s">
        <v>829</v>
      </c>
      <c r="H342" s="34"/>
      <c r="I342" s="6" t="s">
        <v>49</v>
      </c>
      <c r="J342" s="6"/>
      <c r="K342" s="3">
        <v>125</v>
      </c>
      <c r="L342" s="3" t="str">
        <f>VLOOKUP(K342,'GACETA 3'!$E$9:$F$75,2,0)</f>
        <v>Servicios Públicos</v>
      </c>
      <c r="M342" s="3" t="str">
        <f t="shared" si="5"/>
        <v>0201010101</v>
      </c>
      <c r="N342" s="3" t="str">
        <f>VLOOKUP(M342,GACETA!$A$1:$C$186,3,0)</f>
        <v>V</v>
      </c>
      <c r="O342" s="3" t="str">
        <f>VLOOKUP(M342,GACETA!$A$1:$C$186,2,0)</f>
        <v>Manejo integral de residuos sólidos</v>
      </c>
      <c r="P342" s="279" t="s">
        <v>280</v>
      </c>
      <c r="Q342" s="279" t="s">
        <v>1212</v>
      </c>
      <c r="R342" s="149"/>
      <c r="S342" s="7" t="s">
        <v>86</v>
      </c>
      <c r="T342" s="7" t="s">
        <v>283</v>
      </c>
      <c r="U342" s="194"/>
    </row>
    <row r="343" spans="1:21" ht="30" x14ac:dyDescent="0.3">
      <c r="A343" s="263"/>
      <c r="B343" s="291"/>
      <c r="C343" s="33" t="s">
        <v>832</v>
      </c>
      <c r="D343" s="34" t="s">
        <v>829</v>
      </c>
      <c r="E343" s="34" t="s">
        <v>829</v>
      </c>
      <c r="F343" s="34" t="s">
        <v>829</v>
      </c>
      <c r="G343" s="61" t="s">
        <v>829</v>
      </c>
      <c r="H343" s="34"/>
      <c r="I343" s="6" t="s">
        <v>49</v>
      </c>
      <c r="J343" s="6"/>
      <c r="K343" s="3">
        <v>125</v>
      </c>
      <c r="L343" s="3" t="str">
        <f>VLOOKUP(K343,'GACETA 3'!$E$9:$F$75,2,0)</f>
        <v>Servicios Públicos</v>
      </c>
      <c r="M343" s="3" t="str">
        <f t="shared" si="5"/>
        <v>0201010101</v>
      </c>
      <c r="N343" s="3" t="str">
        <f>VLOOKUP(M343,GACETA!$A$1:$C$186,3,0)</f>
        <v>V</v>
      </c>
      <c r="O343" s="3" t="str">
        <f>VLOOKUP(M343,GACETA!$A$1:$C$186,2,0)</f>
        <v>Manejo integral de residuos sólidos</v>
      </c>
      <c r="P343" s="279"/>
      <c r="Q343" s="279"/>
      <c r="R343" s="149"/>
      <c r="S343" s="7" t="s">
        <v>86</v>
      </c>
      <c r="T343" s="7" t="s">
        <v>285</v>
      </c>
      <c r="U343" s="194"/>
    </row>
    <row r="344" spans="1:21" ht="30" x14ac:dyDescent="0.3">
      <c r="A344" s="263"/>
      <c r="B344" s="291"/>
      <c r="C344" s="33" t="s">
        <v>832</v>
      </c>
      <c r="D344" s="34" t="s">
        <v>829</v>
      </c>
      <c r="E344" s="34" t="s">
        <v>829</v>
      </c>
      <c r="F344" s="34" t="s">
        <v>829</v>
      </c>
      <c r="G344" s="61" t="s">
        <v>829</v>
      </c>
      <c r="H344" s="34"/>
      <c r="I344" s="6" t="s">
        <v>49</v>
      </c>
      <c r="J344" s="6"/>
      <c r="K344" s="3">
        <v>125</v>
      </c>
      <c r="L344" s="3" t="str">
        <f>VLOOKUP(K344,'GACETA 3'!$E$9:$F$75,2,0)</f>
        <v>Servicios Públicos</v>
      </c>
      <c r="M344" s="3" t="str">
        <f t="shared" si="5"/>
        <v>0201010101</v>
      </c>
      <c r="N344" s="3" t="str">
        <f>VLOOKUP(M344,GACETA!$A$1:$C$186,3,0)</f>
        <v>V</v>
      </c>
      <c r="O344" s="3" t="str">
        <f>VLOOKUP(M344,GACETA!$A$1:$C$186,2,0)</f>
        <v>Manejo integral de residuos sólidos</v>
      </c>
      <c r="P344" s="279"/>
      <c r="Q344" s="279"/>
      <c r="R344" s="149"/>
      <c r="S344" s="7" t="s">
        <v>86</v>
      </c>
      <c r="T344" s="7" t="s">
        <v>283</v>
      </c>
      <c r="U344" s="194"/>
    </row>
    <row r="345" spans="1:21" ht="60" x14ac:dyDescent="0.3">
      <c r="A345" s="263"/>
      <c r="B345" s="291"/>
      <c r="C345" s="33" t="s">
        <v>832</v>
      </c>
      <c r="D345" s="34" t="s">
        <v>829</v>
      </c>
      <c r="E345" s="34" t="s">
        <v>829</v>
      </c>
      <c r="F345" s="34" t="s">
        <v>829</v>
      </c>
      <c r="G345" s="61" t="s">
        <v>832</v>
      </c>
      <c r="H345" s="34"/>
      <c r="I345" s="6" t="s">
        <v>49</v>
      </c>
      <c r="J345" s="6"/>
      <c r="K345" s="3">
        <v>126</v>
      </c>
      <c r="L345" s="3" t="str">
        <f>VLOOKUP(K345,'GACETA 3'!$E$9:$F$75,2,0)</f>
        <v>Limpia</v>
      </c>
      <c r="M345" s="3" t="str">
        <f t="shared" si="5"/>
        <v>0201010102</v>
      </c>
      <c r="N345" s="3" t="str">
        <f>VLOOKUP(M345,GACETA!$A$1:$C$186,3,0)</f>
        <v>E</v>
      </c>
      <c r="O345" s="3" t="str">
        <f>VLOOKUP(M345,GACETA!$A$1:$C$186,2,0)</f>
        <v>Coordinación para servicios de limpia y recolección de desechos sólidos</v>
      </c>
      <c r="P345" s="279"/>
      <c r="Q345" s="279" t="s">
        <v>287</v>
      </c>
      <c r="R345" s="149"/>
      <c r="S345" s="7" t="s">
        <v>86</v>
      </c>
      <c r="T345" s="7" t="s">
        <v>283</v>
      </c>
      <c r="U345" s="194"/>
    </row>
    <row r="346" spans="1:21" ht="60" x14ac:dyDescent="0.3">
      <c r="A346" s="263"/>
      <c r="B346" s="291"/>
      <c r="C346" s="33" t="s">
        <v>832</v>
      </c>
      <c r="D346" s="34" t="s">
        <v>829</v>
      </c>
      <c r="E346" s="34" t="s">
        <v>829</v>
      </c>
      <c r="F346" s="34" t="s">
        <v>829</v>
      </c>
      <c r="G346" s="61" t="s">
        <v>832</v>
      </c>
      <c r="H346" s="34"/>
      <c r="I346" s="6" t="s">
        <v>49</v>
      </c>
      <c r="J346" s="6"/>
      <c r="K346" s="3">
        <v>126</v>
      </c>
      <c r="L346" s="3" t="str">
        <f>VLOOKUP(K346,'GACETA 3'!$E$9:$F$75,2,0)</f>
        <v>Limpia</v>
      </c>
      <c r="M346" s="3" t="str">
        <f t="shared" si="5"/>
        <v>0201010102</v>
      </c>
      <c r="N346" s="3" t="str">
        <f>VLOOKUP(M346,GACETA!$A$1:$C$186,3,0)</f>
        <v>E</v>
      </c>
      <c r="O346" s="3" t="str">
        <f>VLOOKUP(M346,GACETA!$A$1:$C$186,2,0)</f>
        <v>Coordinación para servicios de limpia y recolección de desechos sólidos</v>
      </c>
      <c r="P346" s="279"/>
      <c r="Q346" s="279"/>
      <c r="R346" s="149"/>
      <c r="S346" s="7" t="s">
        <v>86</v>
      </c>
      <c r="T346" s="7" t="s">
        <v>283</v>
      </c>
      <c r="U346" s="194"/>
    </row>
    <row r="347" spans="1:21" ht="61.5" customHeight="1" x14ac:dyDescent="0.3">
      <c r="A347" s="263"/>
      <c r="B347" s="291"/>
      <c r="C347" s="33" t="s">
        <v>830</v>
      </c>
      <c r="D347" s="34" t="s">
        <v>830</v>
      </c>
      <c r="E347" s="34" t="s">
        <v>833</v>
      </c>
      <c r="F347" s="34" t="s">
        <v>829</v>
      </c>
      <c r="G347" s="61" t="s">
        <v>829</v>
      </c>
      <c r="H347" s="34"/>
      <c r="I347" s="6" t="s">
        <v>49</v>
      </c>
      <c r="J347" s="6"/>
      <c r="K347" s="3">
        <v>127</v>
      </c>
      <c r="L347" s="3" t="str">
        <f>VLOOKUP(K347,'GACETA 3'!$E$9:$F$75,2,0)</f>
        <v>Alumbrado Público</v>
      </c>
      <c r="M347" s="3" t="str">
        <f t="shared" si="5"/>
        <v>0303050101</v>
      </c>
      <c r="N347" s="3" t="str">
        <f>VLOOKUP(M347,GACETA!$A$1:$C$186,3,0)</f>
        <v>E</v>
      </c>
      <c r="O347" s="3" t="str">
        <f>VLOOKUP(M347,GACETA!$A$1:$C$186,2,0)</f>
        <v>Apoyo y asesoría en la gestión de servicios de electrificación y alumbrado público</v>
      </c>
      <c r="P347" s="244" t="s">
        <v>1213</v>
      </c>
      <c r="Q347" s="7" t="s">
        <v>1214</v>
      </c>
      <c r="R347" s="149"/>
      <c r="S347" s="7" t="s">
        <v>86</v>
      </c>
      <c r="T347" s="7" t="s">
        <v>291</v>
      </c>
      <c r="U347" s="194"/>
    </row>
    <row r="348" spans="1:21" ht="44.25" customHeight="1" x14ac:dyDescent="0.3">
      <c r="A348" s="263"/>
      <c r="B348" s="291"/>
      <c r="C348" s="33" t="s">
        <v>830</v>
      </c>
      <c r="D348" s="34" t="s">
        <v>830</v>
      </c>
      <c r="E348" s="34" t="s">
        <v>833</v>
      </c>
      <c r="F348" s="34" t="s">
        <v>829</v>
      </c>
      <c r="G348" s="61" t="s">
        <v>830</v>
      </c>
      <c r="H348" s="34"/>
      <c r="I348" s="6" t="s">
        <v>49</v>
      </c>
      <c r="J348" s="6"/>
      <c r="K348" s="3">
        <v>127</v>
      </c>
      <c r="L348" s="3" t="str">
        <f>VLOOKUP(K348,'GACETA 3'!$E$9:$F$75,2,0)</f>
        <v>Alumbrado Público</v>
      </c>
      <c r="M348" s="3" t="str">
        <f t="shared" si="5"/>
        <v>0303050103</v>
      </c>
      <c r="N348" s="3" t="str">
        <f>VLOOKUP(M348,GACETA!$A$1:$C$186,3,0)</f>
        <v>E</v>
      </c>
      <c r="O348" s="3" t="str">
        <f>VLOOKUP(M348,GACETA!$A$1:$C$186,2,0)</f>
        <v>Ahorro de energía</v>
      </c>
      <c r="P348" s="245"/>
      <c r="Q348" s="7" t="s">
        <v>306</v>
      </c>
      <c r="R348" s="149"/>
      <c r="S348" s="7" t="s">
        <v>86</v>
      </c>
      <c r="T348" s="7" t="s">
        <v>291</v>
      </c>
      <c r="U348" s="194"/>
    </row>
    <row r="349" spans="1:21" ht="44.25" customHeight="1" x14ac:dyDescent="0.3">
      <c r="A349" s="263"/>
      <c r="B349" s="291"/>
      <c r="C349" s="33" t="s">
        <v>830</v>
      </c>
      <c r="D349" s="34" t="s">
        <v>830</v>
      </c>
      <c r="E349" s="34" t="s">
        <v>833</v>
      </c>
      <c r="F349" s="34" t="s">
        <v>829</v>
      </c>
      <c r="G349" s="61" t="s">
        <v>836</v>
      </c>
      <c r="H349" s="34"/>
      <c r="I349" s="6" t="s">
        <v>49</v>
      </c>
      <c r="J349" s="6"/>
      <c r="K349" s="3">
        <v>127</v>
      </c>
      <c r="L349" s="3" t="str">
        <f>VLOOKUP(K349,'GACETA 3'!$E$9:$F$75,2,0)</f>
        <v>Alumbrado Público</v>
      </c>
      <c r="M349" s="3" t="str">
        <f t="shared" si="5"/>
        <v>0303050104</v>
      </c>
      <c r="N349" s="3" t="str">
        <f>VLOOKUP(M349,GACETA!$A$1:$C$186,3,0)</f>
        <v>E</v>
      </c>
      <c r="O349" s="3" t="str">
        <f>VLOOKUP(M349,GACETA!$A$1:$C$186,2,0)</f>
        <v>Electrificación urbana</v>
      </c>
      <c r="P349" s="246"/>
      <c r="Q349" s="7" t="s">
        <v>842</v>
      </c>
      <c r="R349" s="149"/>
      <c r="S349" s="7"/>
      <c r="T349" s="7"/>
      <c r="U349" s="194"/>
    </row>
    <row r="350" spans="1:21" ht="31.5" customHeight="1" x14ac:dyDescent="0.3">
      <c r="A350" s="263"/>
      <c r="B350" s="291"/>
      <c r="C350" s="33" t="s">
        <v>832</v>
      </c>
      <c r="D350" s="34" t="s">
        <v>832</v>
      </c>
      <c r="E350" s="34" t="s">
        <v>835</v>
      </c>
      <c r="F350" s="34" t="s">
        <v>829</v>
      </c>
      <c r="G350" s="61" t="s">
        <v>830</v>
      </c>
      <c r="H350" s="34"/>
      <c r="I350" s="6" t="s">
        <v>49</v>
      </c>
      <c r="J350" s="6"/>
      <c r="K350" s="3">
        <v>128</v>
      </c>
      <c r="L350" s="3" t="str">
        <f>VLOOKUP(K350,'GACETA 3'!$E$9:$F$75,2,0)</f>
        <v>Calles, parques, jardines, áreas verdes y recreativas</v>
      </c>
      <c r="M350" s="3" t="str">
        <f t="shared" si="5"/>
        <v>0202060103</v>
      </c>
      <c r="N350" s="3" t="str">
        <f>VLOOKUP(M350,GACETA!$A$1:$C$186,3,0)</f>
        <v>E</v>
      </c>
      <c r="O350" s="3" t="str">
        <f>VLOOKUP(M350,GACETA!$A$1:$C$186,2,0)</f>
        <v>Coordinación para la conservación de parques y jardines</v>
      </c>
      <c r="P350" s="279" t="s">
        <v>293</v>
      </c>
      <c r="Q350" s="279" t="s">
        <v>294</v>
      </c>
      <c r="R350" s="149"/>
      <c r="S350" s="7" t="s">
        <v>86</v>
      </c>
      <c r="T350" s="7" t="s">
        <v>197</v>
      </c>
      <c r="U350" s="194"/>
    </row>
    <row r="351" spans="1:21" ht="27.75" customHeight="1" x14ac:dyDescent="0.3">
      <c r="A351" s="263"/>
      <c r="B351" s="291"/>
      <c r="C351" s="33" t="s">
        <v>832</v>
      </c>
      <c r="D351" s="34" t="s">
        <v>832</v>
      </c>
      <c r="E351" s="34" t="s">
        <v>835</v>
      </c>
      <c r="F351" s="34" t="s">
        <v>829</v>
      </c>
      <c r="G351" s="61" t="s">
        <v>830</v>
      </c>
      <c r="H351" s="34"/>
      <c r="I351" s="6" t="s">
        <v>49</v>
      </c>
      <c r="J351" s="6"/>
      <c r="K351" s="3">
        <v>128</v>
      </c>
      <c r="L351" s="3" t="str">
        <f>VLOOKUP(K351,'GACETA 3'!$E$9:$F$75,2,0)</f>
        <v>Calles, parques, jardines, áreas verdes y recreativas</v>
      </c>
      <c r="M351" s="3" t="str">
        <f t="shared" si="5"/>
        <v>0202060103</v>
      </c>
      <c r="N351" s="3" t="str">
        <f>VLOOKUP(M351,GACETA!$A$1:$C$186,3,0)</f>
        <v>E</v>
      </c>
      <c r="O351" s="3" t="str">
        <f>VLOOKUP(M351,GACETA!$A$1:$C$186,2,0)</f>
        <v>Coordinación para la conservación de parques y jardines</v>
      </c>
      <c r="P351" s="279"/>
      <c r="Q351" s="279"/>
      <c r="R351" s="149"/>
      <c r="S351" s="7" t="s">
        <v>86</v>
      </c>
      <c r="T351" s="7" t="s">
        <v>297</v>
      </c>
      <c r="U351" s="194"/>
    </row>
    <row r="352" spans="1:21" ht="60" x14ac:dyDescent="0.3">
      <c r="A352" s="263"/>
      <c r="B352" s="291"/>
      <c r="C352" s="33" t="s">
        <v>832</v>
      </c>
      <c r="D352" s="34" t="s">
        <v>832</v>
      </c>
      <c r="E352" s="34" t="s">
        <v>835</v>
      </c>
      <c r="F352" s="34" t="s">
        <v>829</v>
      </c>
      <c r="G352" s="61" t="s">
        <v>836</v>
      </c>
      <c r="H352" s="34"/>
      <c r="I352" s="6" t="s">
        <v>49</v>
      </c>
      <c r="J352" s="6"/>
      <c r="K352" s="3">
        <v>145</v>
      </c>
      <c r="L352" s="3" t="str">
        <f>VLOOKUP(K352,'GACETA 3'!$E$9:$F$75,2,0)</f>
        <v>Panteones</v>
      </c>
      <c r="M352" s="3" t="str">
        <f t="shared" si="5"/>
        <v>0202060104</v>
      </c>
      <c r="N352" s="3" t="str">
        <f>VLOOKUP(M352,GACETA!$A$1:$C$186,3,0)</f>
        <v>E</v>
      </c>
      <c r="O352" s="3" t="str">
        <f>VLOOKUP(M352,GACETA!$A$1:$C$186,2,0)</f>
        <v>Coordinación para servicios de administración y mantenimiento de panteones</v>
      </c>
      <c r="P352" s="279"/>
      <c r="Q352" s="279" t="s">
        <v>1215</v>
      </c>
      <c r="R352" s="149"/>
      <c r="S352" s="7" t="s">
        <v>86</v>
      </c>
      <c r="T352" s="7" t="s">
        <v>300</v>
      </c>
      <c r="U352" s="194"/>
    </row>
    <row r="353" spans="1:21" ht="60" x14ac:dyDescent="0.3">
      <c r="A353" s="263"/>
      <c r="B353" s="291"/>
      <c r="C353" s="33" t="s">
        <v>832</v>
      </c>
      <c r="D353" s="34" t="s">
        <v>832</v>
      </c>
      <c r="E353" s="34" t="s">
        <v>835</v>
      </c>
      <c r="F353" s="34" t="s">
        <v>829</v>
      </c>
      <c r="G353" s="61" t="s">
        <v>836</v>
      </c>
      <c r="H353" s="34"/>
      <c r="I353" s="6" t="s">
        <v>49</v>
      </c>
      <c r="J353" s="6"/>
      <c r="K353" s="3">
        <v>145</v>
      </c>
      <c r="L353" s="3" t="str">
        <f>VLOOKUP(K353,'GACETA 3'!$E$9:$F$75,2,0)</f>
        <v>Panteones</v>
      </c>
      <c r="M353" s="3" t="str">
        <f t="shared" si="5"/>
        <v>0202060104</v>
      </c>
      <c r="N353" s="3" t="str">
        <f>VLOOKUP(M353,GACETA!$A$1:$C$186,3,0)</f>
        <v>E</v>
      </c>
      <c r="O353" s="3" t="str">
        <f>VLOOKUP(M353,GACETA!$A$1:$C$186,2,0)</f>
        <v>Coordinación para servicios de administración y mantenimiento de panteones</v>
      </c>
      <c r="P353" s="279"/>
      <c r="Q353" s="279"/>
      <c r="R353" s="149"/>
      <c r="S353" s="7" t="s">
        <v>86</v>
      </c>
      <c r="T353" s="7" t="s">
        <v>302</v>
      </c>
      <c r="U353" s="194"/>
    </row>
    <row r="354" spans="1:21" ht="60" x14ac:dyDescent="0.3">
      <c r="A354" s="263"/>
      <c r="B354" s="291"/>
      <c r="C354" s="33" t="s">
        <v>832</v>
      </c>
      <c r="D354" s="34" t="s">
        <v>832</v>
      </c>
      <c r="E354" s="34" t="s">
        <v>835</v>
      </c>
      <c r="F354" s="34" t="s">
        <v>829</v>
      </c>
      <c r="G354" s="61" t="s">
        <v>836</v>
      </c>
      <c r="H354" s="34"/>
      <c r="I354" s="6" t="s">
        <v>49</v>
      </c>
      <c r="J354" s="6"/>
      <c r="K354" s="3">
        <v>145</v>
      </c>
      <c r="L354" s="3" t="str">
        <f>VLOOKUP(K354,'GACETA 3'!$E$9:$F$75,2,0)</f>
        <v>Panteones</v>
      </c>
      <c r="M354" s="3" t="str">
        <f t="shared" si="5"/>
        <v>0202060104</v>
      </c>
      <c r="N354" s="3" t="str">
        <f>VLOOKUP(M354,GACETA!$A$1:$C$186,3,0)</f>
        <v>E</v>
      </c>
      <c r="O354" s="3" t="str">
        <f>VLOOKUP(M354,GACETA!$A$1:$C$186,2,0)</f>
        <v>Coordinación para servicios de administración y mantenimiento de panteones</v>
      </c>
      <c r="P354" s="279"/>
      <c r="Q354" s="279"/>
      <c r="R354" s="149"/>
      <c r="S354" s="7" t="s">
        <v>86</v>
      </c>
      <c r="T354" s="7" t="s">
        <v>304</v>
      </c>
      <c r="U354" s="194"/>
    </row>
    <row r="355" spans="1:21" ht="45" x14ac:dyDescent="0.3">
      <c r="A355" s="263" t="s">
        <v>48</v>
      </c>
      <c r="B355" s="289" t="s">
        <v>705</v>
      </c>
      <c r="C355" s="33" t="s">
        <v>829</v>
      </c>
      <c r="D355" s="36" t="s">
        <v>837</v>
      </c>
      <c r="E355" s="36" t="s">
        <v>829</v>
      </c>
      <c r="F355" s="36" t="s">
        <v>829</v>
      </c>
      <c r="G355" s="74" t="s">
        <v>829</v>
      </c>
      <c r="H355" s="36"/>
      <c r="I355" s="2" t="s">
        <v>48</v>
      </c>
      <c r="J355" s="2"/>
      <c r="K355" s="4">
        <v>104</v>
      </c>
      <c r="L355" s="3" t="e">
        <f>VLOOKUP(K355,'GACETA 3'!$E$9:$F$75,2,0)</f>
        <v>#N/A</v>
      </c>
      <c r="M355" s="3" t="str">
        <f t="shared" si="5"/>
        <v>0107010101</v>
      </c>
      <c r="N355" s="3" t="str">
        <f>VLOOKUP(M355,GACETA!$A$1:$C$186,3,0)</f>
        <v>E</v>
      </c>
      <c r="O355" s="3" t="str">
        <f>VLOOKUP(M355,GACETA!$A$1:$C$186,2,0)</f>
        <v>Operación y vigilancia para la seguridad y prevención del delito</v>
      </c>
      <c r="P355" s="290" t="s">
        <v>226</v>
      </c>
      <c r="Q355" s="2" t="s">
        <v>592</v>
      </c>
      <c r="R355" s="195" t="s">
        <v>591</v>
      </c>
      <c r="S355" s="7" t="s">
        <v>86</v>
      </c>
      <c r="T355" s="7" t="s">
        <v>590</v>
      </c>
    </row>
    <row r="356" spans="1:21" ht="51.75" customHeight="1" x14ac:dyDescent="0.3">
      <c r="A356" s="263"/>
      <c r="B356" s="289"/>
      <c r="C356" s="33" t="s">
        <v>829</v>
      </c>
      <c r="D356" s="36" t="s">
        <v>837</v>
      </c>
      <c r="E356" s="36" t="s">
        <v>829</v>
      </c>
      <c r="F356" s="36" t="s">
        <v>829</v>
      </c>
      <c r="G356" s="74" t="s">
        <v>832</v>
      </c>
      <c r="H356" s="36"/>
      <c r="I356" s="2" t="s">
        <v>48</v>
      </c>
      <c r="J356" s="2"/>
      <c r="K356" s="4">
        <v>104</v>
      </c>
      <c r="L356" s="3" t="e">
        <f>VLOOKUP(K356,'GACETA 3'!$E$9:$F$75,2,0)</f>
        <v>#N/A</v>
      </c>
      <c r="M356" s="3" t="str">
        <f t="shared" si="5"/>
        <v>0107010102</v>
      </c>
      <c r="N356" s="3" t="str">
        <f>VLOOKUP(M356,GACETA!$A$1:$C$186,3,0)</f>
        <v>M</v>
      </c>
      <c r="O356" s="3" t="str">
        <f>VLOOKUP(M356,GACETA!$A$1:$C$186,2,0)</f>
        <v>Tecnología, inteligencia e investigación para la prevención y combate al delito</v>
      </c>
      <c r="P356" s="290"/>
      <c r="Q356" s="239" t="s">
        <v>589</v>
      </c>
      <c r="R356" s="187" t="s">
        <v>588</v>
      </c>
      <c r="S356" s="7" t="s">
        <v>86</v>
      </c>
      <c r="T356" s="76" t="s">
        <v>587</v>
      </c>
    </row>
    <row r="357" spans="1:21" ht="60" x14ac:dyDescent="0.3">
      <c r="A357" s="263"/>
      <c r="B357" s="289"/>
      <c r="C357" s="33" t="s">
        <v>829</v>
      </c>
      <c r="D357" s="36" t="s">
        <v>837</v>
      </c>
      <c r="E357" s="36" t="s">
        <v>829</v>
      </c>
      <c r="F357" s="36" t="s">
        <v>829</v>
      </c>
      <c r="G357" s="74" t="s">
        <v>832</v>
      </c>
      <c r="H357" s="36"/>
      <c r="I357" s="2" t="s">
        <v>48</v>
      </c>
      <c r="J357" s="2"/>
      <c r="K357" s="4">
        <v>104</v>
      </c>
      <c r="L357" s="3" t="e">
        <f>VLOOKUP(K357,'GACETA 3'!$E$9:$F$75,2,0)</f>
        <v>#N/A</v>
      </c>
      <c r="M357" s="3" t="str">
        <f t="shared" si="5"/>
        <v>0107010102</v>
      </c>
      <c r="N357" s="3" t="str">
        <f>VLOOKUP(M357,GACETA!$A$1:$C$186,3,0)</f>
        <v>M</v>
      </c>
      <c r="O357" s="3" t="str">
        <f>VLOOKUP(M357,GACETA!$A$1:$C$186,2,0)</f>
        <v>Tecnología, inteligencia e investigación para la prevención y combate al delito</v>
      </c>
      <c r="P357" s="290"/>
      <c r="Q357" s="243"/>
      <c r="R357" s="187" t="s">
        <v>586</v>
      </c>
      <c r="S357" s="7" t="s">
        <v>86</v>
      </c>
      <c r="T357" s="76" t="s">
        <v>253</v>
      </c>
    </row>
    <row r="358" spans="1:21" ht="60" x14ac:dyDescent="0.3">
      <c r="A358" s="263"/>
      <c r="B358" s="289"/>
      <c r="C358" s="33" t="s">
        <v>829</v>
      </c>
      <c r="D358" s="36" t="s">
        <v>837</v>
      </c>
      <c r="E358" s="36" t="s">
        <v>829</v>
      </c>
      <c r="F358" s="36" t="s">
        <v>829</v>
      </c>
      <c r="G358" s="74" t="s">
        <v>832</v>
      </c>
      <c r="H358" s="36"/>
      <c r="I358" s="2" t="s">
        <v>48</v>
      </c>
      <c r="J358" s="2"/>
      <c r="K358" s="4">
        <v>104</v>
      </c>
      <c r="L358" s="3" t="e">
        <f>VLOOKUP(K358,'GACETA 3'!$E$9:$F$75,2,0)</f>
        <v>#N/A</v>
      </c>
      <c r="M358" s="3" t="str">
        <f t="shared" si="5"/>
        <v>0107010102</v>
      </c>
      <c r="N358" s="3" t="str">
        <f>VLOOKUP(M358,GACETA!$A$1:$C$186,3,0)</f>
        <v>M</v>
      </c>
      <c r="O358" s="3" t="str">
        <f>VLOOKUP(M358,GACETA!$A$1:$C$186,2,0)</f>
        <v>Tecnología, inteligencia e investigación para la prevención y combate al delito</v>
      </c>
      <c r="P358" s="290"/>
      <c r="Q358" s="243"/>
      <c r="R358" s="187" t="s">
        <v>585</v>
      </c>
      <c r="S358" s="7" t="s">
        <v>86</v>
      </c>
      <c r="T358" s="76" t="s">
        <v>583</v>
      </c>
    </row>
    <row r="359" spans="1:21" ht="60" x14ac:dyDescent="0.3">
      <c r="A359" s="263"/>
      <c r="B359" s="289"/>
      <c r="C359" s="33" t="s">
        <v>829</v>
      </c>
      <c r="D359" s="36" t="s">
        <v>837</v>
      </c>
      <c r="E359" s="36" t="s">
        <v>829</v>
      </c>
      <c r="F359" s="36" t="s">
        <v>829</v>
      </c>
      <c r="G359" s="74" t="s">
        <v>832</v>
      </c>
      <c r="H359" s="36"/>
      <c r="I359" s="2" t="s">
        <v>48</v>
      </c>
      <c r="J359" s="2"/>
      <c r="K359" s="4">
        <v>104</v>
      </c>
      <c r="L359" s="3" t="e">
        <f>VLOOKUP(K359,'GACETA 3'!$E$9:$F$75,2,0)</f>
        <v>#N/A</v>
      </c>
      <c r="M359" s="3" t="str">
        <f t="shared" si="5"/>
        <v>0107010102</v>
      </c>
      <c r="N359" s="3" t="str">
        <f>VLOOKUP(M359,GACETA!$A$1:$C$186,3,0)</f>
        <v>M</v>
      </c>
      <c r="O359" s="3" t="str">
        <f>VLOOKUP(M359,GACETA!$A$1:$C$186,2,0)</f>
        <v>Tecnología, inteligencia e investigación para la prevención y combate al delito</v>
      </c>
      <c r="P359" s="290"/>
      <c r="Q359" s="243"/>
      <c r="R359" s="187" t="s">
        <v>1110</v>
      </c>
      <c r="S359" s="7" t="s">
        <v>86</v>
      </c>
      <c r="T359" s="76" t="s">
        <v>583</v>
      </c>
    </row>
    <row r="360" spans="1:21" ht="60" x14ac:dyDescent="0.3">
      <c r="A360" s="263"/>
      <c r="B360" s="289"/>
      <c r="C360" s="33" t="s">
        <v>829</v>
      </c>
      <c r="D360" s="36" t="s">
        <v>837</v>
      </c>
      <c r="E360" s="36" t="s">
        <v>829</v>
      </c>
      <c r="F360" s="36" t="s">
        <v>829</v>
      </c>
      <c r="G360" s="74" t="s">
        <v>832</v>
      </c>
      <c r="H360" s="36"/>
      <c r="I360" s="2" t="s">
        <v>48</v>
      </c>
      <c r="J360" s="2"/>
      <c r="K360" s="4">
        <v>104</v>
      </c>
      <c r="L360" s="3" t="e">
        <f>VLOOKUP(K360,'GACETA 3'!$E$9:$F$75,2,0)</f>
        <v>#N/A</v>
      </c>
      <c r="M360" s="3" t="str">
        <f t="shared" si="5"/>
        <v>0107010102</v>
      </c>
      <c r="N360" s="3" t="str">
        <f>VLOOKUP(M360,GACETA!$A$1:$C$186,3,0)</f>
        <v>M</v>
      </c>
      <c r="O360" s="3" t="str">
        <f>VLOOKUP(M360,GACETA!$A$1:$C$186,2,0)</f>
        <v>Tecnología, inteligencia e investigación para la prevención y combate al delito</v>
      </c>
      <c r="P360" s="290"/>
      <c r="Q360" s="243"/>
      <c r="R360" s="187" t="s">
        <v>1111</v>
      </c>
      <c r="S360" s="7" t="s">
        <v>86</v>
      </c>
      <c r="T360" s="76" t="s">
        <v>253</v>
      </c>
    </row>
    <row r="361" spans="1:21" ht="60" x14ac:dyDescent="0.3">
      <c r="A361" s="263"/>
      <c r="B361" s="289"/>
      <c r="C361" s="33" t="s">
        <v>829</v>
      </c>
      <c r="D361" s="36" t="s">
        <v>837</v>
      </c>
      <c r="E361" s="36" t="s">
        <v>829</v>
      </c>
      <c r="F361" s="36" t="s">
        <v>829</v>
      </c>
      <c r="G361" s="74" t="s">
        <v>832</v>
      </c>
      <c r="H361" s="36"/>
      <c r="I361" s="2" t="s">
        <v>48</v>
      </c>
      <c r="J361" s="2"/>
      <c r="K361" s="4">
        <v>104</v>
      </c>
      <c r="L361" s="3" t="e">
        <f>VLOOKUP(K361,'GACETA 3'!$E$9:$F$75,2,0)</f>
        <v>#N/A</v>
      </c>
      <c r="M361" s="3" t="str">
        <f t="shared" si="5"/>
        <v>0107010102</v>
      </c>
      <c r="N361" s="3" t="str">
        <f>VLOOKUP(M361,GACETA!$A$1:$C$186,3,0)</f>
        <v>M</v>
      </c>
      <c r="O361" s="3" t="str">
        <f>VLOOKUP(M361,GACETA!$A$1:$C$186,2,0)</f>
        <v>Tecnología, inteligencia e investigación para la prevención y combate al delito</v>
      </c>
      <c r="P361" s="290"/>
      <c r="Q361" s="243"/>
      <c r="R361" s="187" t="s">
        <v>1112</v>
      </c>
      <c r="S361" s="7" t="s">
        <v>86</v>
      </c>
      <c r="T361" s="76" t="s">
        <v>253</v>
      </c>
    </row>
    <row r="362" spans="1:21" ht="60" x14ac:dyDescent="0.3">
      <c r="A362" s="263"/>
      <c r="B362" s="289"/>
      <c r="C362" s="33" t="s">
        <v>829</v>
      </c>
      <c r="D362" s="36" t="s">
        <v>837</v>
      </c>
      <c r="E362" s="36" t="s">
        <v>829</v>
      </c>
      <c r="F362" s="36" t="s">
        <v>829</v>
      </c>
      <c r="G362" s="74" t="s">
        <v>832</v>
      </c>
      <c r="H362" s="36"/>
      <c r="I362" s="2" t="s">
        <v>48</v>
      </c>
      <c r="J362" s="2"/>
      <c r="K362" s="4">
        <v>104</v>
      </c>
      <c r="L362" s="3" t="e">
        <f>VLOOKUP(K362,'GACETA 3'!$E$9:$F$75,2,0)</f>
        <v>#N/A</v>
      </c>
      <c r="M362" s="3" t="str">
        <f t="shared" si="5"/>
        <v>0107010102</v>
      </c>
      <c r="N362" s="3" t="str">
        <f>VLOOKUP(M362,GACETA!$A$1:$C$186,3,0)</f>
        <v>M</v>
      </c>
      <c r="O362" s="3" t="str">
        <f>VLOOKUP(M362,GACETA!$A$1:$C$186,2,0)</f>
        <v>Tecnología, inteligencia e investigación para la prevención y combate al delito</v>
      </c>
      <c r="P362" s="290"/>
      <c r="Q362" s="243"/>
      <c r="R362" s="187" t="s">
        <v>580</v>
      </c>
      <c r="S362" s="7" t="s">
        <v>86</v>
      </c>
      <c r="T362" s="76" t="s">
        <v>124</v>
      </c>
    </row>
    <row r="363" spans="1:21" ht="60" x14ac:dyDescent="0.3">
      <c r="A363" s="263"/>
      <c r="B363" s="289"/>
      <c r="C363" s="33" t="s">
        <v>829</v>
      </c>
      <c r="D363" s="36" t="s">
        <v>837</v>
      </c>
      <c r="E363" s="36" t="s">
        <v>829</v>
      </c>
      <c r="F363" s="36" t="s">
        <v>829</v>
      </c>
      <c r="G363" s="74" t="s">
        <v>832</v>
      </c>
      <c r="H363" s="36"/>
      <c r="I363" s="2" t="s">
        <v>48</v>
      </c>
      <c r="J363" s="2"/>
      <c r="K363" s="4">
        <v>104</v>
      </c>
      <c r="L363" s="3" t="e">
        <f>VLOOKUP(K363,'GACETA 3'!$E$9:$F$75,2,0)</f>
        <v>#N/A</v>
      </c>
      <c r="M363" s="3" t="str">
        <f t="shared" si="5"/>
        <v>0107010102</v>
      </c>
      <c r="N363" s="3" t="str">
        <f>VLOOKUP(M363,GACETA!$A$1:$C$186,3,0)</f>
        <v>M</v>
      </c>
      <c r="O363" s="3" t="str">
        <f>VLOOKUP(M363,GACETA!$A$1:$C$186,2,0)</f>
        <v>Tecnología, inteligencia e investigación para la prevención y combate al delito</v>
      </c>
      <c r="P363" s="290"/>
      <c r="Q363" s="243"/>
      <c r="R363" s="187" t="s">
        <v>1113</v>
      </c>
      <c r="S363" s="7" t="s">
        <v>86</v>
      </c>
      <c r="T363" s="76" t="s">
        <v>578</v>
      </c>
    </row>
    <row r="364" spans="1:21" ht="60" x14ac:dyDescent="0.3">
      <c r="A364" s="263"/>
      <c r="B364" s="289"/>
      <c r="C364" s="33" t="s">
        <v>829</v>
      </c>
      <c r="D364" s="36" t="s">
        <v>837</v>
      </c>
      <c r="E364" s="36" t="s">
        <v>829</v>
      </c>
      <c r="F364" s="36" t="s">
        <v>829</v>
      </c>
      <c r="G364" s="74" t="s">
        <v>832</v>
      </c>
      <c r="H364" s="36"/>
      <c r="I364" s="2" t="s">
        <v>48</v>
      </c>
      <c r="J364" s="2"/>
      <c r="K364" s="4">
        <v>104</v>
      </c>
      <c r="L364" s="3" t="e">
        <f>VLOOKUP(K364,'GACETA 3'!$E$9:$F$75,2,0)</f>
        <v>#N/A</v>
      </c>
      <c r="M364" s="3" t="str">
        <f t="shared" si="5"/>
        <v>0107010102</v>
      </c>
      <c r="N364" s="3" t="str">
        <f>VLOOKUP(M364,GACETA!$A$1:$C$186,3,0)</f>
        <v>M</v>
      </c>
      <c r="O364" s="3" t="str">
        <f>VLOOKUP(M364,GACETA!$A$1:$C$186,2,0)</f>
        <v>Tecnología, inteligencia e investigación para la prevención y combate al delito</v>
      </c>
      <c r="P364" s="290"/>
      <c r="Q364" s="243"/>
      <c r="R364" s="187" t="s">
        <v>1114</v>
      </c>
      <c r="S364" s="7" t="s">
        <v>86</v>
      </c>
      <c r="T364" s="76" t="s">
        <v>576</v>
      </c>
    </row>
    <row r="365" spans="1:21" ht="60" x14ac:dyDescent="0.3">
      <c r="A365" s="263"/>
      <c r="B365" s="289"/>
      <c r="C365" s="33" t="s">
        <v>829</v>
      </c>
      <c r="D365" s="36" t="s">
        <v>837</v>
      </c>
      <c r="E365" s="36" t="s">
        <v>829</v>
      </c>
      <c r="F365" s="36" t="s">
        <v>829</v>
      </c>
      <c r="G365" s="74" t="s">
        <v>832</v>
      </c>
      <c r="H365" s="36"/>
      <c r="I365" s="2" t="s">
        <v>48</v>
      </c>
      <c r="J365" s="2"/>
      <c r="K365" s="4">
        <v>104</v>
      </c>
      <c r="L365" s="3" t="e">
        <f>VLOOKUP(K365,'GACETA 3'!$E$9:$F$75,2,0)</f>
        <v>#N/A</v>
      </c>
      <c r="M365" s="3" t="str">
        <f t="shared" si="5"/>
        <v>0107010102</v>
      </c>
      <c r="N365" s="3" t="str">
        <f>VLOOKUP(M365,GACETA!$A$1:$C$186,3,0)</f>
        <v>M</v>
      </c>
      <c r="O365" s="3" t="str">
        <f>VLOOKUP(M365,GACETA!$A$1:$C$186,2,0)</f>
        <v>Tecnología, inteligencia e investigación para la prevención y combate al delito</v>
      </c>
      <c r="P365" s="290"/>
      <c r="Q365" s="243"/>
      <c r="R365" s="187" t="s">
        <v>575</v>
      </c>
      <c r="S365" s="7" t="s">
        <v>86</v>
      </c>
      <c r="T365" s="76" t="s">
        <v>124</v>
      </c>
    </row>
    <row r="366" spans="1:21" ht="60" x14ac:dyDescent="0.3">
      <c r="A366" s="263"/>
      <c r="B366" s="289"/>
      <c r="C366" s="33" t="s">
        <v>829</v>
      </c>
      <c r="D366" s="36" t="s">
        <v>837</v>
      </c>
      <c r="E366" s="36" t="s">
        <v>829</v>
      </c>
      <c r="F366" s="36" t="s">
        <v>829</v>
      </c>
      <c r="G366" s="74" t="s">
        <v>832</v>
      </c>
      <c r="H366" s="36"/>
      <c r="I366" s="2" t="s">
        <v>48</v>
      </c>
      <c r="J366" s="2"/>
      <c r="K366" s="4">
        <v>104</v>
      </c>
      <c r="L366" s="3" t="e">
        <f>VLOOKUP(K366,'GACETA 3'!$E$9:$F$75,2,0)</f>
        <v>#N/A</v>
      </c>
      <c r="M366" s="3" t="str">
        <f t="shared" si="5"/>
        <v>0107010102</v>
      </c>
      <c r="N366" s="3" t="str">
        <f>VLOOKUP(M366,GACETA!$A$1:$C$186,3,0)</f>
        <v>M</v>
      </c>
      <c r="O366" s="3" t="str">
        <f>VLOOKUP(M366,GACETA!$A$1:$C$186,2,0)</f>
        <v>Tecnología, inteligencia e investigación para la prevención y combate al delito</v>
      </c>
      <c r="P366" s="290"/>
      <c r="Q366" s="243"/>
      <c r="R366" s="187" t="s">
        <v>574</v>
      </c>
      <c r="S366" s="7" t="s">
        <v>86</v>
      </c>
      <c r="T366" s="76" t="s">
        <v>149</v>
      </c>
    </row>
    <row r="367" spans="1:21" ht="60" x14ac:dyDescent="0.3">
      <c r="A367" s="263"/>
      <c r="B367" s="289"/>
      <c r="C367" s="33" t="s">
        <v>829</v>
      </c>
      <c r="D367" s="36" t="s">
        <v>837</v>
      </c>
      <c r="E367" s="36" t="s">
        <v>829</v>
      </c>
      <c r="F367" s="36" t="s">
        <v>829</v>
      </c>
      <c r="G367" s="74" t="s">
        <v>832</v>
      </c>
      <c r="H367" s="36"/>
      <c r="I367" s="2" t="s">
        <v>48</v>
      </c>
      <c r="J367" s="2"/>
      <c r="K367" s="4">
        <v>104</v>
      </c>
      <c r="L367" s="3" t="e">
        <f>VLOOKUP(K367,'GACETA 3'!$E$9:$F$75,2,0)</f>
        <v>#N/A</v>
      </c>
      <c r="M367" s="3" t="str">
        <f t="shared" si="5"/>
        <v>0107010102</v>
      </c>
      <c r="N367" s="3" t="str">
        <f>VLOOKUP(M367,GACETA!$A$1:$C$186,3,0)</f>
        <v>M</v>
      </c>
      <c r="O367" s="3" t="str">
        <f>VLOOKUP(M367,GACETA!$A$1:$C$186,2,0)</f>
        <v>Tecnología, inteligencia e investigación para la prevención y combate al delito</v>
      </c>
      <c r="P367" s="290"/>
      <c r="Q367" s="243"/>
      <c r="R367" s="187" t="s">
        <v>1115</v>
      </c>
      <c r="S367" s="7" t="s">
        <v>86</v>
      </c>
      <c r="T367" s="76" t="s">
        <v>124</v>
      </c>
    </row>
    <row r="368" spans="1:21" ht="34.5" customHeight="1" x14ac:dyDescent="0.3">
      <c r="A368" s="263"/>
      <c r="B368" s="289"/>
      <c r="C368" s="33" t="s">
        <v>829</v>
      </c>
      <c r="D368" s="36" t="s">
        <v>837</v>
      </c>
      <c r="E368" s="36" t="s">
        <v>829</v>
      </c>
      <c r="F368" s="36" t="s">
        <v>829</v>
      </c>
      <c r="G368" s="74" t="s">
        <v>830</v>
      </c>
      <c r="H368" s="36"/>
      <c r="I368" s="2" t="s">
        <v>48</v>
      </c>
      <c r="J368" s="2"/>
      <c r="K368" s="4">
        <v>104</v>
      </c>
      <c r="L368" s="3" t="e">
        <f>VLOOKUP(K368,'GACETA 3'!$E$9:$F$75,2,0)</f>
        <v>#N/A</v>
      </c>
      <c r="M368" s="3" t="str">
        <f t="shared" si="5"/>
        <v>0107010103</v>
      </c>
      <c r="N368" s="3" t="str">
        <f>VLOOKUP(M368,GACETA!$A$1:$C$186,3,0)</f>
        <v>P</v>
      </c>
      <c r="O368" s="3" t="str">
        <f>VLOOKUP(M368,GACETA!$A$1:$C$186,2,0)</f>
        <v>Formación profesional especializada para personas servidoras públicas de</v>
      </c>
      <c r="P368" s="290"/>
      <c r="Q368" s="307" t="s">
        <v>844</v>
      </c>
      <c r="R368" s="187" t="s">
        <v>573</v>
      </c>
      <c r="S368" s="7" t="s">
        <v>86</v>
      </c>
      <c r="T368" s="76" t="s">
        <v>1120</v>
      </c>
    </row>
    <row r="369" spans="1:20" ht="60" x14ac:dyDescent="0.3">
      <c r="A369" s="263"/>
      <c r="B369" s="289"/>
      <c r="C369" s="33" t="s">
        <v>829</v>
      </c>
      <c r="D369" s="36" t="s">
        <v>837</v>
      </c>
      <c r="E369" s="36" t="s">
        <v>829</v>
      </c>
      <c r="F369" s="36" t="s">
        <v>829</v>
      </c>
      <c r="G369" s="74" t="s">
        <v>830</v>
      </c>
      <c r="H369" s="36"/>
      <c r="I369" s="2" t="s">
        <v>48</v>
      </c>
      <c r="J369" s="2"/>
      <c r="K369" s="4">
        <v>104</v>
      </c>
      <c r="L369" s="3" t="e">
        <f>VLOOKUP(K369,'GACETA 3'!$E$9:$F$75,2,0)</f>
        <v>#N/A</v>
      </c>
      <c r="M369" s="3" t="str">
        <f t="shared" si="5"/>
        <v>0107010103</v>
      </c>
      <c r="N369" s="3" t="str">
        <f>VLOOKUP(M369,GACETA!$A$1:$C$186,3,0)</f>
        <v>P</v>
      </c>
      <c r="O369" s="3" t="str">
        <f>VLOOKUP(M369,GACETA!$A$1:$C$186,2,0)</f>
        <v>Formación profesional especializada para personas servidoras públicas de</v>
      </c>
      <c r="P369" s="290"/>
      <c r="Q369" s="308"/>
      <c r="R369" s="187" t="s">
        <v>1116</v>
      </c>
      <c r="S369" s="7" t="s">
        <v>86</v>
      </c>
      <c r="T369" s="76" t="s">
        <v>1121</v>
      </c>
    </row>
    <row r="370" spans="1:20" ht="60" x14ac:dyDescent="0.3">
      <c r="A370" s="263"/>
      <c r="B370" s="289"/>
      <c r="C370" s="33" t="s">
        <v>829</v>
      </c>
      <c r="D370" s="36" t="s">
        <v>837</v>
      </c>
      <c r="E370" s="36" t="s">
        <v>829</v>
      </c>
      <c r="F370" s="36" t="s">
        <v>829</v>
      </c>
      <c r="G370" s="74" t="s">
        <v>830</v>
      </c>
      <c r="H370" s="36"/>
      <c r="I370" s="2" t="s">
        <v>48</v>
      </c>
      <c r="J370" s="2"/>
      <c r="K370" s="4">
        <v>104</v>
      </c>
      <c r="L370" s="3" t="e">
        <f>VLOOKUP(K370,'GACETA 3'!$E$9:$F$75,2,0)</f>
        <v>#N/A</v>
      </c>
      <c r="M370" s="3" t="str">
        <f t="shared" si="5"/>
        <v>0107010103</v>
      </c>
      <c r="N370" s="3" t="str">
        <f>VLOOKUP(M370,GACETA!$A$1:$C$186,3,0)</f>
        <v>P</v>
      </c>
      <c r="O370" s="3" t="str">
        <f>VLOOKUP(M370,GACETA!$A$1:$C$186,2,0)</f>
        <v>Formación profesional especializada para personas servidoras públicas de</v>
      </c>
      <c r="P370" s="290"/>
      <c r="Q370" s="308"/>
      <c r="R370" s="187" t="s">
        <v>1117</v>
      </c>
      <c r="S370" s="7" t="s">
        <v>86</v>
      </c>
      <c r="T370" s="76" t="s">
        <v>169</v>
      </c>
    </row>
    <row r="371" spans="1:20" ht="60" x14ac:dyDescent="0.3">
      <c r="A371" s="263"/>
      <c r="B371" s="289"/>
      <c r="C371" s="33" t="s">
        <v>829</v>
      </c>
      <c r="D371" s="36" t="s">
        <v>837</v>
      </c>
      <c r="E371" s="36" t="s">
        <v>829</v>
      </c>
      <c r="F371" s="36" t="s">
        <v>829</v>
      </c>
      <c r="G371" s="74" t="s">
        <v>830</v>
      </c>
      <c r="H371" s="36"/>
      <c r="I371" s="2" t="s">
        <v>48</v>
      </c>
      <c r="J371" s="2"/>
      <c r="K371" s="4">
        <v>104</v>
      </c>
      <c r="L371" s="3" t="e">
        <f>VLOOKUP(K371,'GACETA 3'!$E$9:$F$75,2,0)</f>
        <v>#N/A</v>
      </c>
      <c r="M371" s="3" t="str">
        <f t="shared" si="5"/>
        <v>0107010103</v>
      </c>
      <c r="N371" s="3" t="str">
        <f>VLOOKUP(M371,GACETA!$A$1:$C$186,3,0)</f>
        <v>P</v>
      </c>
      <c r="O371" s="3" t="str">
        <f>VLOOKUP(M371,GACETA!$A$1:$C$186,2,0)</f>
        <v>Formación profesional especializada para personas servidoras públicas de</v>
      </c>
      <c r="P371" s="290"/>
      <c r="Q371" s="308"/>
      <c r="R371" s="187" t="s">
        <v>1118</v>
      </c>
      <c r="S371" s="7" t="s">
        <v>86</v>
      </c>
      <c r="T371" s="76" t="s">
        <v>568</v>
      </c>
    </row>
    <row r="372" spans="1:20" ht="60" x14ac:dyDescent="0.3">
      <c r="A372" s="263"/>
      <c r="B372" s="289"/>
      <c r="C372" s="33" t="s">
        <v>829</v>
      </c>
      <c r="D372" s="36" t="s">
        <v>837</v>
      </c>
      <c r="E372" s="36" t="s">
        <v>829</v>
      </c>
      <c r="F372" s="36" t="s">
        <v>829</v>
      </c>
      <c r="G372" s="74" t="s">
        <v>830</v>
      </c>
      <c r="H372" s="36"/>
      <c r="I372" s="2" t="s">
        <v>48</v>
      </c>
      <c r="J372" s="2"/>
      <c r="K372" s="4">
        <v>104</v>
      </c>
      <c r="L372" s="3" t="e">
        <f>VLOOKUP(K372,'GACETA 3'!$E$9:$F$75,2,0)</f>
        <v>#N/A</v>
      </c>
      <c r="M372" s="3" t="str">
        <f t="shared" si="5"/>
        <v>0107010103</v>
      </c>
      <c r="N372" s="3" t="str">
        <f>VLOOKUP(M372,GACETA!$A$1:$C$186,3,0)</f>
        <v>P</v>
      </c>
      <c r="O372" s="3" t="str">
        <f>VLOOKUP(M372,GACETA!$A$1:$C$186,2,0)</f>
        <v>Formación profesional especializada para personas servidoras públicas de</v>
      </c>
      <c r="P372" s="290"/>
      <c r="Q372" s="309"/>
      <c r="R372" s="187" t="s">
        <v>1119</v>
      </c>
      <c r="S372" s="7" t="s">
        <v>86</v>
      </c>
      <c r="T372" s="76" t="s">
        <v>169</v>
      </c>
    </row>
    <row r="373" spans="1:20" ht="30" x14ac:dyDescent="0.3">
      <c r="A373" s="263"/>
      <c r="B373" s="289"/>
      <c r="C373" s="33" t="s">
        <v>829</v>
      </c>
      <c r="D373" s="36" t="s">
        <v>837</v>
      </c>
      <c r="E373" s="36" t="s">
        <v>829</v>
      </c>
      <c r="F373" s="36" t="s">
        <v>829</v>
      </c>
      <c r="G373" s="74" t="s">
        <v>833</v>
      </c>
      <c r="H373" s="36"/>
      <c r="I373" s="2" t="s">
        <v>48</v>
      </c>
      <c r="J373" s="2"/>
      <c r="K373" s="4">
        <v>104</v>
      </c>
      <c r="L373" s="3" t="e">
        <f>VLOOKUP(K373,'GACETA 3'!$E$9:$F$75,2,0)</f>
        <v>#N/A</v>
      </c>
      <c r="M373" s="3" t="str">
        <f t="shared" si="5"/>
        <v>0107010105</v>
      </c>
      <c r="N373" s="3" t="e">
        <f>VLOOKUP(M373,GACETA!$A$1:$C$186,3,0)</f>
        <v>#N/A</v>
      </c>
      <c r="O373" s="3" t="e">
        <f>VLOOKUP(M373,GACETA!$A$1:$C$186,2,0)</f>
        <v>#N/A</v>
      </c>
      <c r="P373" s="290"/>
      <c r="Q373" s="290" t="s">
        <v>843</v>
      </c>
      <c r="R373" s="187" t="s">
        <v>1122</v>
      </c>
      <c r="S373" s="7" t="s">
        <v>86</v>
      </c>
      <c r="T373" s="76" t="s">
        <v>1126</v>
      </c>
    </row>
    <row r="374" spans="1:20" ht="30" x14ac:dyDescent="0.3">
      <c r="A374" s="263"/>
      <c r="B374" s="289"/>
      <c r="C374" s="33" t="s">
        <v>829</v>
      </c>
      <c r="D374" s="36" t="s">
        <v>837</v>
      </c>
      <c r="E374" s="36" t="s">
        <v>829</v>
      </c>
      <c r="F374" s="36" t="s">
        <v>829</v>
      </c>
      <c r="G374" s="74" t="s">
        <v>833</v>
      </c>
      <c r="H374" s="36"/>
      <c r="I374" s="2" t="s">
        <v>48</v>
      </c>
      <c r="J374" s="2"/>
      <c r="K374" s="4">
        <v>104</v>
      </c>
      <c r="L374" s="3" t="e">
        <f>VLOOKUP(K374,'GACETA 3'!$E$9:$F$75,2,0)</f>
        <v>#N/A</v>
      </c>
      <c r="M374" s="3" t="str">
        <f t="shared" si="5"/>
        <v>0107010105</v>
      </c>
      <c r="N374" s="3" t="e">
        <f>VLOOKUP(M374,GACETA!$A$1:$C$186,3,0)</f>
        <v>#N/A</v>
      </c>
      <c r="O374" s="3" t="e">
        <f>VLOOKUP(M374,GACETA!$A$1:$C$186,2,0)</f>
        <v>#N/A</v>
      </c>
      <c r="P374" s="290"/>
      <c r="Q374" s="290"/>
      <c r="R374" s="187" t="s">
        <v>566</v>
      </c>
      <c r="S374" s="7" t="s">
        <v>86</v>
      </c>
      <c r="T374" s="76" t="s">
        <v>1126</v>
      </c>
    </row>
    <row r="375" spans="1:20" ht="34.5" customHeight="1" x14ac:dyDescent="0.3">
      <c r="A375" s="263"/>
      <c r="B375" s="289"/>
      <c r="C375" s="33" t="s">
        <v>829</v>
      </c>
      <c r="D375" s="36" t="s">
        <v>837</v>
      </c>
      <c r="E375" s="36" t="s">
        <v>829</v>
      </c>
      <c r="F375" s="36" t="s">
        <v>829</v>
      </c>
      <c r="G375" s="74" t="s">
        <v>833</v>
      </c>
      <c r="H375" s="36"/>
      <c r="I375" s="2" t="s">
        <v>48</v>
      </c>
      <c r="J375" s="2"/>
      <c r="K375" s="4">
        <v>104</v>
      </c>
      <c r="L375" s="3" t="e">
        <f>VLOOKUP(K375,'GACETA 3'!$E$9:$F$75,2,0)</f>
        <v>#N/A</v>
      </c>
      <c r="M375" s="3" t="str">
        <f t="shared" si="5"/>
        <v>0107010105</v>
      </c>
      <c r="N375" s="3" t="e">
        <f>VLOOKUP(M375,GACETA!$A$1:$C$186,3,0)</f>
        <v>#N/A</v>
      </c>
      <c r="O375" s="3" t="e">
        <f>VLOOKUP(M375,GACETA!$A$1:$C$186,2,0)</f>
        <v>#N/A</v>
      </c>
      <c r="P375" s="290"/>
      <c r="Q375" s="290"/>
      <c r="R375" s="187" t="s">
        <v>565</v>
      </c>
      <c r="S375" s="7" t="s">
        <v>86</v>
      </c>
      <c r="T375" s="76" t="s">
        <v>414</v>
      </c>
    </row>
    <row r="376" spans="1:20" ht="34.5" customHeight="1" x14ac:dyDescent="0.3">
      <c r="A376" s="263"/>
      <c r="B376" s="289"/>
      <c r="C376" s="33" t="s">
        <v>829</v>
      </c>
      <c r="D376" s="36" t="s">
        <v>837</v>
      </c>
      <c r="E376" s="36" t="s">
        <v>829</v>
      </c>
      <c r="F376" s="36" t="s">
        <v>829</v>
      </c>
      <c r="G376" s="74" t="s">
        <v>833</v>
      </c>
      <c r="H376" s="36"/>
      <c r="I376" s="2" t="s">
        <v>48</v>
      </c>
      <c r="J376" s="2"/>
      <c r="K376" s="4">
        <v>104</v>
      </c>
      <c r="L376" s="3" t="e">
        <f>VLOOKUP(K376,'GACETA 3'!$E$9:$F$75,2,0)</f>
        <v>#N/A</v>
      </c>
      <c r="M376" s="3" t="str">
        <f t="shared" si="5"/>
        <v>0107010105</v>
      </c>
      <c r="N376" s="3" t="e">
        <f>VLOOKUP(M376,GACETA!$A$1:$C$186,3,0)</f>
        <v>#N/A</v>
      </c>
      <c r="O376" s="3" t="e">
        <f>VLOOKUP(M376,GACETA!$A$1:$C$186,2,0)</f>
        <v>#N/A</v>
      </c>
      <c r="P376" s="290"/>
      <c r="Q376" s="290"/>
      <c r="R376" s="187" t="s">
        <v>564</v>
      </c>
      <c r="S376" s="7" t="s">
        <v>86</v>
      </c>
      <c r="T376" s="76" t="s">
        <v>228</v>
      </c>
    </row>
    <row r="377" spans="1:20" ht="34.5" customHeight="1" x14ac:dyDescent="0.3">
      <c r="A377" s="263"/>
      <c r="B377" s="289"/>
      <c r="C377" s="33" t="s">
        <v>829</v>
      </c>
      <c r="D377" s="36" t="s">
        <v>837</v>
      </c>
      <c r="E377" s="36" t="s">
        <v>829</v>
      </c>
      <c r="F377" s="36" t="s">
        <v>829</v>
      </c>
      <c r="G377" s="74" t="s">
        <v>833</v>
      </c>
      <c r="H377" s="36"/>
      <c r="I377" s="2" t="s">
        <v>48</v>
      </c>
      <c r="J377" s="2"/>
      <c r="K377" s="4">
        <v>104</v>
      </c>
      <c r="L377" s="3" t="e">
        <f>VLOOKUP(K377,'GACETA 3'!$E$9:$F$75,2,0)</f>
        <v>#N/A</v>
      </c>
      <c r="M377" s="3" t="str">
        <f t="shared" si="5"/>
        <v>0107010105</v>
      </c>
      <c r="N377" s="3" t="e">
        <f>VLOOKUP(M377,GACETA!$A$1:$C$186,3,0)</f>
        <v>#N/A</v>
      </c>
      <c r="O377" s="3" t="e">
        <f>VLOOKUP(M377,GACETA!$A$1:$C$186,2,0)</f>
        <v>#N/A</v>
      </c>
      <c r="P377" s="290"/>
      <c r="Q377" s="290"/>
      <c r="R377" s="187" t="s">
        <v>1123</v>
      </c>
      <c r="S377" s="7"/>
      <c r="T377" s="76" t="s">
        <v>1127</v>
      </c>
    </row>
    <row r="378" spans="1:20" ht="34.5" customHeight="1" x14ac:dyDescent="0.3">
      <c r="A378" s="263"/>
      <c r="B378" s="289"/>
      <c r="C378" s="33" t="s">
        <v>829</v>
      </c>
      <c r="D378" s="36" t="s">
        <v>837</v>
      </c>
      <c r="E378" s="36" t="s">
        <v>829</v>
      </c>
      <c r="F378" s="36" t="s">
        <v>829</v>
      </c>
      <c r="G378" s="74" t="s">
        <v>833</v>
      </c>
      <c r="H378" s="36"/>
      <c r="I378" s="2" t="s">
        <v>48</v>
      </c>
      <c r="J378" s="2"/>
      <c r="K378" s="4">
        <v>104</v>
      </c>
      <c r="L378" s="3" t="e">
        <f>VLOOKUP(K378,'GACETA 3'!$E$9:$F$75,2,0)</f>
        <v>#N/A</v>
      </c>
      <c r="M378" s="3" t="str">
        <f t="shared" si="5"/>
        <v>0107010105</v>
      </c>
      <c r="N378" s="3" t="e">
        <f>VLOOKUP(M378,GACETA!$A$1:$C$186,3,0)</f>
        <v>#N/A</v>
      </c>
      <c r="O378" s="3" t="e">
        <f>VLOOKUP(M378,GACETA!$A$1:$C$186,2,0)</f>
        <v>#N/A</v>
      </c>
      <c r="P378" s="290"/>
      <c r="Q378" s="290"/>
      <c r="R378" s="187" t="s">
        <v>1124</v>
      </c>
      <c r="S378" s="7" t="s">
        <v>86</v>
      </c>
      <c r="T378" s="76" t="s">
        <v>246</v>
      </c>
    </row>
    <row r="379" spans="1:20" ht="45" x14ac:dyDescent="0.3">
      <c r="A379" s="263"/>
      <c r="B379" s="289"/>
      <c r="C379" s="33" t="s">
        <v>829</v>
      </c>
      <c r="D379" s="36" t="s">
        <v>837</v>
      </c>
      <c r="E379" s="36" t="s">
        <v>829</v>
      </c>
      <c r="F379" s="36" t="s">
        <v>829</v>
      </c>
      <c r="G379" s="74" t="s">
        <v>833</v>
      </c>
      <c r="H379" s="36"/>
      <c r="I379" s="2" t="s">
        <v>48</v>
      </c>
      <c r="J379" s="2"/>
      <c r="K379" s="4">
        <v>104</v>
      </c>
      <c r="L379" s="3" t="e">
        <f>VLOOKUP(K379,'GACETA 3'!$E$9:$F$75,2,0)</f>
        <v>#N/A</v>
      </c>
      <c r="M379" s="3" t="str">
        <f t="shared" si="5"/>
        <v>0107010105</v>
      </c>
      <c r="N379" s="3" t="e">
        <f>VLOOKUP(M379,GACETA!$A$1:$C$186,3,0)</f>
        <v>#N/A</v>
      </c>
      <c r="O379" s="3" t="e">
        <f>VLOOKUP(M379,GACETA!$A$1:$C$186,2,0)</f>
        <v>#N/A</v>
      </c>
      <c r="P379" s="290"/>
      <c r="Q379" s="290"/>
      <c r="R379" s="187" t="s">
        <v>1125</v>
      </c>
      <c r="S379" s="7" t="s">
        <v>86</v>
      </c>
      <c r="T379" s="76" t="s">
        <v>228</v>
      </c>
    </row>
    <row r="380" spans="1:20" ht="30" x14ac:dyDescent="0.3">
      <c r="A380" s="263"/>
      <c r="B380" s="289"/>
      <c r="C380" s="33" t="s">
        <v>829</v>
      </c>
      <c r="D380" s="36" t="s">
        <v>837</v>
      </c>
      <c r="E380" s="36" t="s">
        <v>829</v>
      </c>
      <c r="F380" s="36" t="s">
        <v>829</v>
      </c>
      <c r="G380" s="74" t="s">
        <v>834</v>
      </c>
      <c r="H380" s="35"/>
      <c r="I380" s="2" t="s">
        <v>48</v>
      </c>
      <c r="J380" s="2"/>
      <c r="K380" s="4">
        <v>158</v>
      </c>
      <c r="L380" s="3" t="str">
        <f>VLOOKUP(K380,'GACETA 3'!$E$9:$F$75,2,0)</f>
        <v>Tránsito</v>
      </c>
      <c r="M380" s="3" t="str">
        <f t="shared" si="5"/>
        <v>0107010108</v>
      </c>
      <c r="N380" s="3" t="e">
        <f>VLOOKUP(M380,GACETA!$A$1:$C$186,3,0)</f>
        <v>#N/A</v>
      </c>
      <c r="O380" s="3" t="e">
        <f>VLOOKUP(M380,GACETA!$A$1:$C$186,2,0)</f>
        <v>#N/A</v>
      </c>
      <c r="P380" s="290"/>
      <c r="Q380" s="254" t="s">
        <v>563</v>
      </c>
      <c r="R380" s="195" t="s">
        <v>562</v>
      </c>
      <c r="S380" s="7" t="s">
        <v>86</v>
      </c>
      <c r="T380" s="7" t="s">
        <v>561</v>
      </c>
    </row>
    <row r="381" spans="1:20" ht="30" x14ac:dyDescent="0.3">
      <c r="A381" s="263"/>
      <c r="B381" s="289"/>
      <c r="C381" s="33" t="s">
        <v>829</v>
      </c>
      <c r="D381" s="36" t="s">
        <v>837</v>
      </c>
      <c r="E381" s="36" t="s">
        <v>829</v>
      </c>
      <c r="F381" s="36" t="s">
        <v>829</v>
      </c>
      <c r="G381" s="74" t="s">
        <v>834</v>
      </c>
      <c r="H381" s="35"/>
      <c r="I381" s="2" t="s">
        <v>48</v>
      </c>
      <c r="J381" s="2"/>
      <c r="K381" s="4">
        <v>158</v>
      </c>
      <c r="L381" s="3" t="str">
        <f>VLOOKUP(K381,'GACETA 3'!$E$9:$F$75,2,0)</f>
        <v>Tránsito</v>
      </c>
      <c r="M381" s="3" t="str">
        <f t="shared" si="5"/>
        <v>0107010108</v>
      </c>
      <c r="N381" s="3" t="e">
        <f>VLOOKUP(M381,GACETA!$A$1:$C$186,3,0)</f>
        <v>#N/A</v>
      </c>
      <c r="O381" s="3" t="e">
        <f>VLOOKUP(M381,GACETA!$A$1:$C$186,2,0)</f>
        <v>#N/A</v>
      </c>
      <c r="P381" s="290"/>
      <c r="Q381" s="254"/>
      <c r="R381" s="195" t="s">
        <v>560</v>
      </c>
      <c r="S381" s="7" t="s">
        <v>86</v>
      </c>
      <c r="T381" s="7" t="s">
        <v>119</v>
      </c>
    </row>
    <row r="382" spans="1:20" x14ac:dyDescent="0.3">
      <c r="A382" s="263"/>
      <c r="B382" s="289"/>
      <c r="C382" s="33" t="s">
        <v>829</v>
      </c>
      <c r="D382" s="36" t="s">
        <v>837</v>
      </c>
      <c r="E382" s="36" t="s">
        <v>829</v>
      </c>
      <c r="F382" s="36" t="s">
        <v>829</v>
      </c>
      <c r="G382" s="74" t="s">
        <v>834</v>
      </c>
      <c r="H382" s="35"/>
      <c r="I382" s="2" t="s">
        <v>48</v>
      </c>
      <c r="J382" s="2"/>
      <c r="K382" s="4">
        <v>158</v>
      </c>
      <c r="L382" s="3" t="str">
        <f>VLOOKUP(K382,'GACETA 3'!$E$9:$F$75,2,0)</f>
        <v>Tránsito</v>
      </c>
      <c r="M382" s="3" t="str">
        <f t="shared" si="5"/>
        <v>0107010108</v>
      </c>
      <c r="N382" s="3" t="e">
        <f>VLOOKUP(M382,GACETA!$A$1:$C$186,3,0)</f>
        <v>#N/A</v>
      </c>
      <c r="O382" s="3" t="e">
        <f>VLOOKUP(M382,GACETA!$A$1:$C$186,2,0)</f>
        <v>#N/A</v>
      </c>
      <c r="P382" s="290"/>
      <c r="Q382" s="254"/>
      <c r="R382" s="195" t="s">
        <v>559</v>
      </c>
      <c r="S382" s="7" t="s">
        <v>86</v>
      </c>
      <c r="T382" s="7" t="s">
        <v>246</v>
      </c>
    </row>
    <row r="383" spans="1:20" x14ac:dyDescent="0.3">
      <c r="A383" s="263"/>
      <c r="B383" s="289"/>
      <c r="C383" s="33" t="s">
        <v>829</v>
      </c>
      <c r="D383" s="36" t="s">
        <v>837</v>
      </c>
      <c r="E383" s="36" t="s">
        <v>829</v>
      </c>
      <c r="F383" s="36" t="s">
        <v>829</v>
      </c>
      <c r="G383" s="74" t="s">
        <v>834</v>
      </c>
      <c r="H383" s="35"/>
      <c r="I383" s="2" t="s">
        <v>48</v>
      </c>
      <c r="J383" s="2"/>
      <c r="K383" s="4">
        <v>158</v>
      </c>
      <c r="L383" s="3" t="str">
        <f>VLOOKUP(K383,'GACETA 3'!$E$9:$F$75,2,0)</f>
        <v>Tránsito</v>
      </c>
      <c r="M383" s="3" t="str">
        <f t="shared" si="5"/>
        <v>0107010108</v>
      </c>
      <c r="N383" s="3" t="e">
        <f>VLOOKUP(M383,GACETA!$A$1:$C$186,3,0)</f>
        <v>#N/A</v>
      </c>
      <c r="O383" s="3" t="e">
        <f>VLOOKUP(M383,GACETA!$A$1:$C$186,2,0)</f>
        <v>#N/A</v>
      </c>
      <c r="P383" s="290"/>
      <c r="Q383" s="254"/>
      <c r="R383" s="195" t="s">
        <v>558</v>
      </c>
      <c r="S383" s="7" t="s">
        <v>86</v>
      </c>
      <c r="T383" s="7" t="s">
        <v>246</v>
      </c>
    </row>
    <row r="384" spans="1:20" ht="45" x14ac:dyDescent="0.3">
      <c r="A384" s="263"/>
      <c r="B384" s="289"/>
      <c r="C384" s="33" t="s">
        <v>829</v>
      </c>
      <c r="D384" s="36" t="s">
        <v>837</v>
      </c>
      <c r="E384" s="36" t="s">
        <v>836</v>
      </c>
      <c r="F384" s="36" t="s">
        <v>829</v>
      </c>
      <c r="G384" s="74" t="s">
        <v>829</v>
      </c>
      <c r="H384" s="35"/>
      <c r="I384" s="2" t="s">
        <v>48</v>
      </c>
      <c r="J384" s="2"/>
      <c r="K384" s="4">
        <v>104</v>
      </c>
      <c r="L384" s="3" t="e">
        <f>VLOOKUP(K384,'GACETA 3'!$E$9:$F$75,2,0)</f>
        <v>#N/A</v>
      </c>
      <c r="M384" s="3" t="str">
        <f t="shared" si="5"/>
        <v>0107040101</v>
      </c>
      <c r="N384" s="3" t="str">
        <f>VLOOKUP(M384,GACETA!$A$1:$C$186,3,0)</f>
        <v>S</v>
      </c>
      <c r="O384" s="3" t="str">
        <f>VLOOKUP(M384,GACETA!$A$1:$C$186,2,0)</f>
        <v>Acciones del programa nacional de seguridad pública</v>
      </c>
      <c r="P384" s="290" t="s">
        <v>557</v>
      </c>
      <c r="Q384" s="290" t="s">
        <v>845</v>
      </c>
      <c r="R384" s="147" t="s">
        <v>1103</v>
      </c>
      <c r="S384" s="7" t="s">
        <v>86</v>
      </c>
      <c r="T384" s="7" t="s">
        <v>554</v>
      </c>
    </row>
    <row r="385" spans="1:20" ht="45" x14ac:dyDescent="0.3">
      <c r="A385" s="263"/>
      <c r="B385" s="289"/>
      <c r="C385" s="33" t="s">
        <v>829</v>
      </c>
      <c r="D385" s="36" t="s">
        <v>837</v>
      </c>
      <c r="E385" s="36" t="s">
        <v>836</v>
      </c>
      <c r="F385" s="36" t="s">
        <v>829</v>
      </c>
      <c r="G385" s="74" t="s">
        <v>829</v>
      </c>
      <c r="H385" s="35"/>
      <c r="I385" s="2" t="s">
        <v>48</v>
      </c>
      <c r="J385" s="2"/>
      <c r="K385" s="4">
        <v>104</v>
      </c>
      <c r="L385" s="3" t="e">
        <f>VLOOKUP(K385,'GACETA 3'!$E$9:$F$75,2,0)</f>
        <v>#N/A</v>
      </c>
      <c r="M385" s="3" t="str">
        <f t="shared" si="5"/>
        <v>0107040101</v>
      </c>
      <c r="N385" s="3" t="str">
        <f>VLOOKUP(M385,GACETA!$A$1:$C$186,3,0)</f>
        <v>S</v>
      </c>
      <c r="O385" s="3" t="str">
        <f>VLOOKUP(M385,GACETA!$A$1:$C$186,2,0)</f>
        <v>Acciones del programa nacional de seguridad pública</v>
      </c>
      <c r="P385" s="290"/>
      <c r="Q385" s="290"/>
      <c r="R385" s="147" t="s">
        <v>1104</v>
      </c>
      <c r="S385" s="7" t="s">
        <v>86</v>
      </c>
      <c r="T385" s="7" t="s">
        <v>599</v>
      </c>
    </row>
    <row r="386" spans="1:20" ht="45" x14ac:dyDescent="0.3">
      <c r="A386" s="263"/>
      <c r="B386" s="289"/>
      <c r="C386" s="33" t="s">
        <v>829</v>
      </c>
      <c r="D386" s="36" t="s">
        <v>837</v>
      </c>
      <c r="E386" s="36" t="s">
        <v>836</v>
      </c>
      <c r="F386" s="36" t="s">
        <v>829</v>
      </c>
      <c r="G386" s="74" t="s">
        <v>829</v>
      </c>
      <c r="H386" s="35"/>
      <c r="I386" s="2" t="s">
        <v>48</v>
      </c>
      <c r="J386" s="2"/>
      <c r="K386" s="4">
        <v>104</v>
      </c>
      <c r="L386" s="3" t="e">
        <f>VLOOKUP(K386,'GACETA 3'!$E$9:$F$75,2,0)</f>
        <v>#N/A</v>
      </c>
      <c r="M386" s="3" t="str">
        <f t="shared" si="5"/>
        <v>0107040101</v>
      </c>
      <c r="N386" s="3" t="str">
        <f>VLOOKUP(M386,GACETA!$A$1:$C$186,3,0)</f>
        <v>S</v>
      </c>
      <c r="O386" s="3" t="str">
        <f>VLOOKUP(M386,GACETA!$A$1:$C$186,2,0)</f>
        <v>Acciones del programa nacional de seguridad pública</v>
      </c>
      <c r="P386" s="290"/>
      <c r="Q386" s="290"/>
      <c r="R386" s="147" t="s">
        <v>1105</v>
      </c>
      <c r="S386" s="7" t="s">
        <v>86</v>
      </c>
      <c r="T386" s="7" t="s">
        <v>554</v>
      </c>
    </row>
    <row r="387" spans="1:20" ht="45" x14ac:dyDescent="0.3">
      <c r="A387" s="263"/>
      <c r="B387" s="289"/>
      <c r="C387" s="33" t="s">
        <v>829</v>
      </c>
      <c r="D387" s="36" t="s">
        <v>837</v>
      </c>
      <c r="E387" s="36" t="s">
        <v>836</v>
      </c>
      <c r="F387" s="36" t="s">
        <v>829</v>
      </c>
      <c r="G387" s="74" t="s">
        <v>829</v>
      </c>
      <c r="H387" s="35"/>
      <c r="I387" s="2" t="s">
        <v>48</v>
      </c>
      <c r="J387" s="2"/>
      <c r="K387" s="4">
        <v>104</v>
      </c>
      <c r="L387" s="3" t="e">
        <f>VLOOKUP(K387,'GACETA 3'!$E$9:$F$75,2,0)</f>
        <v>#N/A</v>
      </c>
      <c r="M387" s="3" t="str">
        <f t="shared" ref="M387:M450" si="6">CONCATENATE(C387,D387,E387,F387,G387)</f>
        <v>0107040101</v>
      </c>
      <c r="N387" s="3" t="str">
        <f>VLOOKUP(M387,GACETA!$A$1:$C$186,3,0)</f>
        <v>S</v>
      </c>
      <c r="O387" s="3" t="str">
        <f>VLOOKUP(M387,GACETA!$A$1:$C$186,2,0)</f>
        <v>Acciones del programa nacional de seguridad pública</v>
      </c>
      <c r="P387" s="290"/>
      <c r="Q387" s="290"/>
      <c r="R387" s="147" t="s">
        <v>1106</v>
      </c>
      <c r="S387" s="7" t="s">
        <v>86</v>
      </c>
      <c r="T387" s="7" t="s">
        <v>599</v>
      </c>
    </row>
    <row r="388" spans="1:20" ht="45" x14ac:dyDescent="0.3">
      <c r="A388" s="263"/>
      <c r="B388" s="289"/>
      <c r="C388" s="33" t="s">
        <v>829</v>
      </c>
      <c r="D388" s="36" t="s">
        <v>837</v>
      </c>
      <c r="E388" s="36" t="s">
        <v>836</v>
      </c>
      <c r="F388" s="36" t="s">
        <v>829</v>
      </c>
      <c r="G388" s="74" t="s">
        <v>829</v>
      </c>
      <c r="H388" s="35"/>
      <c r="I388" s="2" t="s">
        <v>48</v>
      </c>
      <c r="J388" s="2"/>
      <c r="K388" s="4">
        <v>104</v>
      </c>
      <c r="L388" s="3" t="e">
        <f>VLOOKUP(K388,'GACETA 3'!$E$9:$F$75,2,0)</f>
        <v>#N/A</v>
      </c>
      <c r="M388" s="3" t="str">
        <f t="shared" si="6"/>
        <v>0107040101</v>
      </c>
      <c r="N388" s="3" t="str">
        <f>VLOOKUP(M388,GACETA!$A$1:$C$186,3,0)</f>
        <v>S</v>
      </c>
      <c r="O388" s="3" t="str">
        <f>VLOOKUP(M388,GACETA!$A$1:$C$186,2,0)</f>
        <v>Acciones del programa nacional de seguridad pública</v>
      </c>
      <c r="P388" s="290"/>
      <c r="Q388" s="290"/>
      <c r="R388" s="147" t="s">
        <v>1107</v>
      </c>
      <c r="S388" s="7" t="s">
        <v>86</v>
      </c>
      <c r="T388" s="7" t="s">
        <v>504</v>
      </c>
    </row>
    <row r="389" spans="1:20" ht="45" x14ac:dyDescent="0.3">
      <c r="A389" s="263"/>
      <c r="B389" s="289"/>
      <c r="C389" s="33" t="s">
        <v>829</v>
      </c>
      <c r="D389" s="36" t="s">
        <v>837</v>
      </c>
      <c r="E389" s="36" t="s">
        <v>836</v>
      </c>
      <c r="F389" s="36" t="s">
        <v>829</v>
      </c>
      <c r="G389" s="74" t="s">
        <v>829</v>
      </c>
      <c r="H389" s="35"/>
      <c r="I389" s="2" t="s">
        <v>48</v>
      </c>
      <c r="J389" s="2"/>
      <c r="K389" s="4">
        <v>104</v>
      </c>
      <c r="L389" s="3" t="e">
        <f>VLOOKUP(K389,'GACETA 3'!$E$9:$F$75,2,0)</f>
        <v>#N/A</v>
      </c>
      <c r="M389" s="3" t="str">
        <f t="shared" si="6"/>
        <v>0107040101</v>
      </c>
      <c r="N389" s="3" t="str">
        <f>VLOOKUP(M389,GACETA!$A$1:$C$186,3,0)</f>
        <v>S</v>
      </c>
      <c r="O389" s="3" t="str">
        <f>VLOOKUP(M389,GACETA!$A$1:$C$186,2,0)</f>
        <v>Acciones del programa nacional de seguridad pública</v>
      </c>
      <c r="P389" s="290"/>
      <c r="Q389" s="290"/>
      <c r="R389" s="147" t="s">
        <v>1108</v>
      </c>
      <c r="S389" s="7" t="s">
        <v>86</v>
      </c>
      <c r="T389" s="7" t="s">
        <v>124</v>
      </c>
    </row>
    <row r="390" spans="1:20" ht="45" x14ac:dyDescent="0.3">
      <c r="A390" s="263"/>
      <c r="B390" s="289"/>
      <c r="C390" s="33" t="s">
        <v>829</v>
      </c>
      <c r="D390" s="36" t="s">
        <v>837</v>
      </c>
      <c r="E390" s="36" t="s">
        <v>836</v>
      </c>
      <c r="F390" s="36" t="s">
        <v>829</v>
      </c>
      <c r="G390" s="74" t="s">
        <v>829</v>
      </c>
      <c r="H390" s="35"/>
      <c r="I390" s="2" t="s">
        <v>48</v>
      </c>
      <c r="J390" s="2"/>
      <c r="K390" s="4">
        <v>104</v>
      </c>
      <c r="L390" s="3" t="e">
        <f>VLOOKUP(K390,'GACETA 3'!$E$9:$F$75,2,0)</f>
        <v>#N/A</v>
      </c>
      <c r="M390" s="3" t="str">
        <f t="shared" si="6"/>
        <v>0107040101</v>
      </c>
      <c r="N390" s="3" t="str">
        <f>VLOOKUP(M390,GACETA!$A$1:$C$186,3,0)</f>
        <v>S</v>
      </c>
      <c r="O390" s="3" t="str">
        <f>VLOOKUP(M390,GACETA!$A$1:$C$186,2,0)</f>
        <v>Acciones del programa nacional de seguridad pública</v>
      </c>
      <c r="P390" s="290"/>
      <c r="Q390" s="290"/>
      <c r="R390" s="147" t="s">
        <v>1109</v>
      </c>
      <c r="S390" s="7" t="s">
        <v>86</v>
      </c>
      <c r="T390" s="7" t="s">
        <v>124</v>
      </c>
    </row>
    <row r="391" spans="1:20" ht="24" customHeight="1" x14ac:dyDescent="0.3">
      <c r="A391" s="295" t="s">
        <v>62</v>
      </c>
      <c r="B391" s="264" t="s">
        <v>706</v>
      </c>
      <c r="C391" s="33" t="s">
        <v>832</v>
      </c>
      <c r="D391" s="34" t="s">
        <v>830</v>
      </c>
      <c r="E391" s="34" t="s">
        <v>829</v>
      </c>
      <c r="F391" s="34" t="s">
        <v>829</v>
      </c>
      <c r="G391" s="61" t="s">
        <v>834</v>
      </c>
      <c r="H391" s="34"/>
      <c r="I391" s="3" t="s">
        <v>62</v>
      </c>
      <c r="J391" s="3"/>
      <c r="K391" s="3">
        <v>153</v>
      </c>
      <c r="L391" s="3" t="str">
        <f>VLOOKUP(K391,'GACETA 3'!$E$9:$F$75,2,0)</f>
        <v>Atención a la Salud</v>
      </c>
      <c r="M391" s="3" t="str">
        <f t="shared" si="6"/>
        <v>0203010108</v>
      </c>
      <c r="N391" s="3" t="str">
        <f>VLOOKUP(M391,GACETA!$A$1:$C$186,3,0)</f>
        <v>E</v>
      </c>
      <c r="O391" s="3" t="str">
        <f>VLOOKUP(M391,GACETA!$A$1:$C$186,2,0)</f>
        <v>Promoción de la salud</v>
      </c>
      <c r="P391" s="279" t="s">
        <v>745</v>
      </c>
      <c r="Q391" s="244" t="s">
        <v>744</v>
      </c>
      <c r="R391" s="196" t="s">
        <v>1148</v>
      </c>
      <c r="S391" s="7" t="s">
        <v>86</v>
      </c>
      <c r="T391" s="98" t="s">
        <v>1153</v>
      </c>
    </row>
    <row r="392" spans="1:20" ht="30" x14ac:dyDescent="0.3">
      <c r="A392" s="280"/>
      <c r="B392" s="265"/>
      <c r="C392" s="33" t="s">
        <v>832</v>
      </c>
      <c r="D392" s="34" t="s">
        <v>830</v>
      </c>
      <c r="E392" s="34" t="s">
        <v>829</v>
      </c>
      <c r="F392" s="34" t="s">
        <v>829</v>
      </c>
      <c r="G392" s="61" t="s">
        <v>834</v>
      </c>
      <c r="H392" s="34"/>
      <c r="I392" s="3" t="s">
        <v>62</v>
      </c>
      <c r="J392" s="3"/>
      <c r="K392" s="3">
        <v>153</v>
      </c>
      <c r="L392" s="3" t="str">
        <f>VLOOKUP(K392,'GACETA 3'!$E$9:$F$75,2,0)</f>
        <v>Atención a la Salud</v>
      </c>
      <c r="M392" s="3" t="str">
        <f t="shared" si="6"/>
        <v>0203010108</v>
      </c>
      <c r="N392" s="3" t="str">
        <f>VLOOKUP(M392,GACETA!$A$1:$C$186,3,0)</f>
        <v>E</v>
      </c>
      <c r="O392" s="3" t="str">
        <f>VLOOKUP(M392,GACETA!$A$1:$C$186,2,0)</f>
        <v>Promoción de la salud</v>
      </c>
      <c r="P392" s="279"/>
      <c r="Q392" s="245"/>
      <c r="R392" s="196" t="s">
        <v>1149</v>
      </c>
      <c r="S392" s="7" t="s">
        <v>86</v>
      </c>
      <c r="T392" s="98" t="s">
        <v>1154</v>
      </c>
    </row>
    <row r="393" spans="1:20" ht="30" x14ac:dyDescent="0.3">
      <c r="A393" s="280"/>
      <c r="B393" s="265"/>
      <c r="C393" s="33" t="s">
        <v>832</v>
      </c>
      <c r="D393" s="34" t="s">
        <v>830</v>
      </c>
      <c r="E393" s="34" t="s">
        <v>829</v>
      </c>
      <c r="F393" s="34" t="s">
        <v>829</v>
      </c>
      <c r="G393" s="61" t="s">
        <v>834</v>
      </c>
      <c r="H393" s="34"/>
      <c r="I393" s="3" t="s">
        <v>62</v>
      </c>
      <c r="J393" s="3"/>
      <c r="K393" s="3">
        <v>153</v>
      </c>
      <c r="L393" s="3" t="str">
        <f>VLOOKUP(K393,'GACETA 3'!$E$9:$F$75,2,0)</f>
        <v>Atención a la Salud</v>
      </c>
      <c r="M393" s="3" t="str">
        <f t="shared" si="6"/>
        <v>0203010108</v>
      </c>
      <c r="N393" s="3" t="str">
        <f>VLOOKUP(M393,GACETA!$A$1:$C$186,3,0)</f>
        <v>E</v>
      </c>
      <c r="O393" s="3" t="str">
        <f>VLOOKUP(M393,GACETA!$A$1:$C$186,2,0)</f>
        <v>Promoción de la salud</v>
      </c>
      <c r="P393" s="279"/>
      <c r="Q393" s="245"/>
      <c r="R393" s="196" t="s">
        <v>1150</v>
      </c>
      <c r="S393" s="7" t="s">
        <v>86</v>
      </c>
      <c r="T393" s="98" t="s">
        <v>1155</v>
      </c>
    </row>
    <row r="394" spans="1:20" ht="30" x14ac:dyDescent="0.3">
      <c r="A394" s="280"/>
      <c r="B394" s="265"/>
      <c r="C394" s="33" t="s">
        <v>832</v>
      </c>
      <c r="D394" s="34" t="s">
        <v>830</v>
      </c>
      <c r="E394" s="34" t="s">
        <v>829</v>
      </c>
      <c r="F394" s="34" t="s">
        <v>829</v>
      </c>
      <c r="G394" s="61" t="s">
        <v>834</v>
      </c>
      <c r="H394" s="34"/>
      <c r="I394" s="3" t="s">
        <v>62</v>
      </c>
      <c r="J394" s="3"/>
      <c r="K394" s="3">
        <v>153</v>
      </c>
      <c r="L394" s="3" t="str">
        <f>VLOOKUP(K394,'GACETA 3'!$E$9:$F$75,2,0)</f>
        <v>Atención a la Salud</v>
      </c>
      <c r="M394" s="3" t="str">
        <f t="shared" si="6"/>
        <v>0203010108</v>
      </c>
      <c r="N394" s="3" t="str">
        <f>VLOOKUP(M394,GACETA!$A$1:$C$186,3,0)</f>
        <v>E</v>
      </c>
      <c r="O394" s="3" t="str">
        <f>VLOOKUP(M394,GACETA!$A$1:$C$186,2,0)</f>
        <v>Promoción de la salud</v>
      </c>
      <c r="P394" s="279"/>
      <c r="Q394" s="245"/>
      <c r="R394" s="196" t="s">
        <v>1151</v>
      </c>
      <c r="S394" s="7" t="s">
        <v>86</v>
      </c>
      <c r="T394" s="98" t="s">
        <v>1132</v>
      </c>
    </row>
    <row r="395" spans="1:20" ht="30" x14ac:dyDescent="0.3">
      <c r="A395" s="280"/>
      <c r="B395" s="265"/>
      <c r="C395" s="33" t="s">
        <v>832</v>
      </c>
      <c r="D395" s="34" t="s">
        <v>830</v>
      </c>
      <c r="E395" s="34" t="s">
        <v>829</v>
      </c>
      <c r="F395" s="34" t="s">
        <v>829</v>
      </c>
      <c r="G395" s="61" t="s">
        <v>834</v>
      </c>
      <c r="H395" s="34"/>
      <c r="I395" s="3" t="s">
        <v>62</v>
      </c>
      <c r="J395" s="3"/>
      <c r="K395" s="3">
        <v>153</v>
      </c>
      <c r="L395" s="3" t="str">
        <f>VLOOKUP(K395,'GACETA 3'!$E$9:$F$75,2,0)</f>
        <v>Atención a la Salud</v>
      </c>
      <c r="M395" s="3" t="str">
        <f t="shared" si="6"/>
        <v>0203010108</v>
      </c>
      <c r="N395" s="3" t="str">
        <f>VLOOKUP(M395,GACETA!$A$1:$C$186,3,0)</f>
        <v>E</v>
      </c>
      <c r="O395" s="3" t="str">
        <f>VLOOKUP(M395,GACETA!$A$1:$C$186,2,0)</f>
        <v>Promoción de la salud</v>
      </c>
      <c r="P395" s="279"/>
      <c r="Q395" s="246"/>
      <c r="R395" s="187" t="s">
        <v>1152</v>
      </c>
      <c r="S395" s="7" t="s">
        <v>86</v>
      </c>
      <c r="T395" s="76" t="s">
        <v>1156</v>
      </c>
    </row>
    <row r="396" spans="1:20" ht="45" x14ac:dyDescent="0.3">
      <c r="A396" s="280"/>
      <c r="B396" s="265"/>
      <c r="C396" s="33" t="s">
        <v>832</v>
      </c>
      <c r="D396" s="34" t="s">
        <v>830</v>
      </c>
      <c r="E396" s="34" t="s">
        <v>832</v>
      </c>
      <c r="F396" s="34" t="s">
        <v>829</v>
      </c>
      <c r="G396" s="61" t="s">
        <v>1134</v>
      </c>
      <c r="H396" s="34"/>
      <c r="I396" s="3" t="s">
        <v>62</v>
      </c>
      <c r="J396" s="3"/>
      <c r="K396" s="3">
        <v>153</v>
      </c>
      <c r="L396" s="3" t="str">
        <f>VLOOKUP(K396,'GACETA 3'!$E$9:$F$75,2,0)</f>
        <v>Atención a la Salud</v>
      </c>
      <c r="M396" s="3" t="str">
        <f t="shared" si="6"/>
        <v>0203020115</v>
      </c>
      <c r="N396" s="3" t="str">
        <f>VLOOKUP(M396,GACETA!$A$1:$C$186,3,0)</f>
        <v>S</v>
      </c>
      <c r="O396" s="3" t="str">
        <f>VLOOKUP(M396,GACETA!$A$1:$C$186,2,0)</f>
        <v>Apoyo municipal a la prestación de servicios de salud para las personas</v>
      </c>
      <c r="P396" s="244" t="s">
        <v>1136</v>
      </c>
      <c r="Q396" s="270" t="s">
        <v>1135</v>
      </c>
      <c r="R396" s="147" t="s">
        <v>1173</v>
      </c>
      <c r="S396" s="7" t="s">
        <v>86</v>
      </c>
      <c r="T396" s="7" t="s">
        <v>126</v>
      </c>
    </row>
    <row r="397" spans="1:20" ht="45" x14ac:dyDescent="0.3">
      <c r="A397" s="280"/>
      <c r="B397" s="265"/>
      <c r="C397" s="33" t="s">
        <v>832</v>
      </c>
      <c r="D397" s="34" t="s">
        <v>830</v>
      </c>
      <c r="E397" s="34" t="s">
        <v>832</v>
      </c>
      <c r="F397" s="34" t="s">
        <v>829</v>
      </c>
      <c r="G397" s="61" t="s">
        <v>1134</v>
      </c>
      <c r="H397" s="34"/>
      <c r="I397" s="3" t="s">
        <v>62</v>
      </c>
      <c r="J397" s="3"/>
      <c r="K397" s="3">
        <v>153</v>
      </c>
      <c r="L397" s="3" t="str">
        <f>VLOOKUP(K397,'GACETA 3'!$E$9:$F$75,2,0)</f>
        <v>Atención a la Salud</v>
      </c>
      <c r="M397" s="3" t="str">
        <f t="shared" si="6"/>
        <v>0203020115</v>
      </c>
      <c r="N397" s="3" t="str">
        <f>VLOOKUP(M397,GACETA!$A$1:$C$186,3,0)</f>
        <v>S</v>
      </c>
      <c r="O397" s="3" t="str">
        <f>VLOOKUP(M397,GACETA!$A$1:$C$186,2,0)</f>
        <v>Apoyo municipal a la prestación de servicios de salud para las personas</v>
      </c>
      <c r="P397" s="246"/>
      <c r="Q397" s="271"/>
      <c r="R397" s="147" t="s">
        <v>1174</v>
      </c>
      <c r="S397" s="7" t="s">
        <v>86</v>
      </c>
      <c r="T397" s="7" t="s">
        <v>86</v>
      </c>
    </row>
    <row r="398" spans="1:20" ht="34.5" customHeight="1" x14ac:dyDescent="0.3">
      <c r="A398" s="280"/>
      <c r="B398" s="265"/>
      <c r="C398" s="96" t="s">
        <v>832</v>
      </c>
      <c r="D398" s="96" t="s">
        <v>829</v>
      </c>
      <c r="E398" s="96" t="s">
        <v>833</v>
      </c>
      <c r="F398" s="96" t="s">
        <v>832</v>
      </c>
      <c r="G398" s="61" t="s">
        <v>829</v>
      </c>
      <c r="H398" s="96"/>
      <c r="I398" s="95" t="s">
        <v>62</v>
      </c>
      <c r="J398" s="95"/>
      <c r="K398" s="95">
        <v>129</v>
      </c>
      <c r="L398" s="3" t="str">
        <f>VLOOKUP(K398,'GACETA 3'!$E$9:$F$75,2,0)</f>
        <v>Control Antirrábico y Bienestar Animal</v>
      </c>
      <c r="M398" s="3" t="str">
        <f t="shared" si="6"/>
        <v>0201050201</v>
      </c>
      <c r="N398" s="3" t="str">
        <f>VLOOKUP(M398,GACETA!$A$1:$C$186,3,0)</f>
        <v>E</v>
      </c>
      <c r="O398" s="3" t="str">
        <f>VLOOKUP(M398,GACETA!$A$1:$C$186,2,0)</f>
        <v>Concientización y canalización Animal</v>
      </c>
      <c r="P398" s="301" t="s">
        <v>964</v>
      </c>
      <c r="Q398" s="301" t="s">
        <v>965</v>
      </c>
      <c r="R398" s="187" t="s">
        <v>1158</v>
      </c>
      <c r="S398" s="7" t="s">
        <v>86</v>
      </c>
      <c r="T398" s="76" t="s">
        <v>126</v>
      </c>
    </row>
    <row r="399" spans="1:20" ht="75" x14ac:dyDescent="0.3">
      <c r="A399" s="280"/>
      <c r="B399" s="265"/>
      <c r="C399" s="96" t="s">
        <v>832</v>
      </c>
      <c r="D399" s="96" t="s">
        <v>829</v>
      </c>
      <c r="E399" s="96" t="s">
        <v>833</v>
      </c>
      <c r="F399" s="96" t="s">
        <v>832</v>
      </c>
      <c r="G399" s="61" t="s">
        <v>829</v>
      </c>
      <c r="H399" s="96"/>
      <c r="I399" s="95" t="s">
        <v>62</v>
      </c>
      <c r="J399" s="95"/>
      <c r="K399" s="95">
        <v>129</v>
      </c>
      <c r="L399" s="3" t="str">
        <f>VLOOKUP(K399,'GACETA 3'!$E$9:$F$75,2,0)</f>
        <v>Control Antirrábico y Bienestar Animal</v>
      </c>
      <c r="M399" s="3" t="str">
        <f t="shared" si="6"/>
        <v>0201050201</v>
      </c>
      <c r="N399" s="3" t="str">
        <f>VLOOKUP(M399,GACETA!$A$1:$C$186,3,0)</f>
        <v>E</v>
      </c>
      <c r="O399" s="3" t="str">
        <f>VLOOKUP(M399,GACETA!$A$1:$C$186,2,0)</f>
        <v>Concientización y canalización Animal</v>
      </c>
      <c r="P399" s="302"/>
      <c r="Q399" s="302"/>
      <c r="R399" s="187" t="s">
        <v>1159</v>
      </c>
      <c r="S399" s="7" t="s">
        <v>86</v>
      </c>
      <c r="T399" s="76" t="s">
        <v>130</v>
      </c>
    </row>
    <row r="400" spans="1:20" ht="75" x14ac:dyDescent="0.3">
      <c r="A400" s="280"/>
      <c r="B400" s="265"/>
      <c r="C400" s="96" t="s">
        <v>832</v>
      </c>
      <c r="D400" s="96" t="s">
        <v>829</v>
      </c>
      <c r="E400" s="96" t="s">
        <v>833</v>
      </c>
      <c r="F400" s="96" t="s">
        <v>832</v>
      </c>
      <c r="G400" s="61" t="s">
        <v>829</v>
      </c>
      <c r="H400" s="96"/>
      <c r="I400" s="95" t="s">
        <v>62</v>
      </c>
      <c r="J400" s="95"/>
      <c r="K400" s="95">
        <v>129</v>
      </c>
      <c r="L400" s="3" t="str">
        <f>VLOOKUP(K400,'GACETA 3'!$E$9:$F$75,2,0)</f>
        <v>Control Antirrábico y Bienestar Animal</v>
      </c>
      <c r="M400" s="3" t="str">
        <f t="shared" si="6"/>
        <v>0201050201</v>
      </c>
      <c r="N400" s="3" t="str">
        <f>VLOOKUP(M400,GACETA!$A$1:$C$186,3,0)</f>
        <v>E</v>
      </c>
      <c r="O400" s="3" t="str">
        <f>VLOOKUP(M400,GACETA!$A$1:$C$186,2,0)</f>
        <v>Concientización y canalización Animal</v>
      </c>
      <c r="P400" s="302"/>
      <c r="Q400" s="303"/>
      <c r="R400" s="187" t="s">
        <v>1160</v>
      </c>
      <c r="S400" s="7" t="s">
        <v>86</v>
      </c>
      <c r="T400" s="76" t="s">
        <v>1161</v>
      </c>
    </row>
    <row r="401" spans="1:21" ht="75" x14ac:dyDescent="0.3">
      <c r="A401" s="280"/>
      <c r="B401" s="265"/>
      <c r="C401" s="96" t="s">
        <v>832</v>
      </c>
      <c r="D401" s="96" t="s">
        <v>829</v>
      </c>
      <c r="E401" s="96" t="s">
        <v>833</v>
      </c>
      <c r="F401" s="96" t="s">
        <v>832</v>
      </c>
      <c r="G401" s="61" t="s">
        <v>832</v>
      </c>
      <c r="H401" s="96"/>
      <c r="I401" s="95" t="s">
        <v>62</v>
      </c>
      <c r="J401" s="95"/>
      <c r="K401" s="95">
        <v>129</v>
      </c>
      <c r="L401" s="3" t="str">
        <f>VLOOKUP(K401,'GACETA 3'!$E$9:$F$75,2,0)</f>
        <v>Control Antirrábico y Bienestar Animal</v>
      </c>
      <c r="M401" s="3" t="str">
        <f t="shared" si="6"/>
        <v>0201050202</v>
      </c>
      <c r="N401" s="3" t="str">
        <f>VLOOKUP(M401,GACETA!$A$1:$C$186,3,0)</f>
        <v>E</v>
      </c>
      <c r="O401" s="3" t="str">
        <f>VLOOKUP(M401,GACETA!$A$1:$C$186,2,0)</f>
        <v>Control Poblacional Animal</v>
      </c>
      <c r="P401" s="302"/>
      <c r="Q401" s="97" t="s">
        <v>1157</v>
      </c>
      <c r="R401" s="147" t="s">
        <v>1162</v>
      </c>
      <c r="S401" s="7" t="s">
        <v>86</v>
      </c>
      <c r="T401" s="7" t="s">
        <v>1163</v>
      </c>
    </row>
    <row r="402" spans="1:21" ht="34.5" customHeight="1" x14ac:dyDescent="0.3">
      <c r="A402" s="280"/>
      <c r="B402" s="265"/>
      <c r="C402" s="96" t="s">
        <v>832</v>
      </c>
      <c r="D402" s="96" t="s">
        <v>829</v>
      </c>
      <c r="E402" s="96" t="s">
        <v>833</v>
      </c>
      <c r="F402" s="96" t="s">
        <v>832</v>
      </c>
      <c r="G402" s="61" t="s">
        <v>830</v>
      </c>
      <c r="H402" s="96"/>
      <c r="I402" s="95" t="s">
        <v>62</v>
      </c>
      <c r="J402" s="95"/>
      <c r="K402" s="95">
        <v>129</v>
      </c>
      <c r="L402" s="3" t="str">
        <f>VLOOKUP(K402,'GACETA 3'!$E$9:$F$75,2,0)</f>
        <v>Control Antirrábico y Bienestar Animal</v>
      </c>
      <c r="M402" s="3" t="str">
        <f t="shared" si="6"/>
        <v>0201050203</v>
      </c>
      <c r="N402" s="3" t="str">
        <f>VLOOKUP(M402,GACETA!$A$1:$C$186,3,0)</f>
        <v>E</v>
      </c>
      <c r="O402" s="3" t="str">
        <f>VLOOKUP(M402,GACETA!$A$1:$C$186,2,0)</f>
        <v>Servicios de Atención médico veterinaria</v>
      </c>
      <c r="P402" s="302"/>
      <c r="Q402" s="301" t="s">
        <v>966</v>
      </c>
      <c r="R402" s="187" t="s">
        <v>1164</v>
      </c>
      <c r="S402" s="7" t="s">
        <v>86</v>
      </c>
      <c r="T402" s="76" t="s">
        <v>1170</v>
      </c>
    </row>
    <row r="403" spans="1:21" ht="75" x14ac:dyDescent="0.3">
      <c r="A403" s="280"/>
      <c r="B403" s="265"/>
      <c r="C403" s="96" t="s">
        <v>832</v>
      </c>
      <c r="D403" s="96" t="s">
        <v>829</v>
      </c>
      <c r="E403" s="96" t="s">
        <v>833</v>
      </c>
      <c r="F403" s="96" t="s">
        <v>832</v>
      </c>
      <c r="G403" s="61" t="s">
        <v>830</v>
      </c>
      <c r="H403" s="96"/>
      <c r="I403" s="95" t="s">
        <v>62</v>
      </c>
      <c r="J403" s="95"/>
      <c r="K403" s="95">
        <v>129</v>
      </c>
      <c r="L403" s="3" t="str">
        <f>VLOOKUP(K403,'GACETA 3'!$E$9:$F$75,2,0)</f>
        <v>Control Antirrábico y Bienestar Animal</v>
      </c>
      <c r="M403" s="3" t="str">
        <f t="shared" si="6"/>
        <v>0201050203</v>
      </c>
      <c r="N403" s="3" t="str">
        <f>VLOOKUP(M403,GACETA!$A$1:$C$186,3,0)</f>
        <v>E</v>
      </c>
      <c r="O403" s="3" t="str">
        <f>VLOOKUP(M403,GACETA!$A$1:$C$186,2,0)</f>
        <v>Servicios de Atención médico veterinaria</v>
      </c>
      <c r="P403" s="302"/>
      <c r="Q403" s="302"/>
      <c r="R403" s="187" t="s">
        <v>1165</v>
      </c>
      <c r="S403" s="7" t="s">
        <v>86</v>
      </c>
      <c r="T403" s="76" t="s">
        <v>583</v>
      </c>
    </row>
    <row r="404" spans="1:21" ht="75" x14ac:dyDescent="0.3">
      <c r="A404" s="280"/>
      <c r="B404" s="265"/>
      <c r="C404" s="96" t="s">
        <v>832</v>
      </c>
      <c r="D404" s="96" t="s">
        <v>829</v>
      </c>
      <c r="E404" s="96" t="s">
        <v>833</v>
      </c>
      <c r="F404" s="96" t="s">
        <v>832</v>
      </c>
      <c r="G404" s="61" t="s">
        <v>830</v>
      </c>
      <c r="H404" s="96"/>
      <c r="I404" s="95" t="s">
        <v>62</v>
      </c>
      <c r="J404" s="95"/>
      <c r="K404" s="95">
        <v>129</v>
      </c>
      <c r="L404" s="3" t="str">
        <f>VLOOKUP(K404,'GACETA 3'!$E$9:$F$75,2,0)</f>
        <v>Control Antirrábico y Bienestar Animal</v>
      </c>
      <c r="M404" s="3" t="str">
        <f t="shared" si="6"/>
        <v>0201050203</v>
      </c>
      <c r="N404" s="3" t="str">
        <f>VLOOKUP(M404,GACETA!$A$1:$C$186,3,0)</f>
        <v>E</v>
      </c>
      <c r="O404" s="3" t="str">
        <f>VLOOKUP(M404,GACETA!$A$1:$C$186,2,0)</f>
        <v>Servicios de Atención médico veterinaria</v>
      </c>
      <c r="P404" s="302"/>
      <c r="Q404" s="302"/>
      <c r="R404" s="187" t="s">
        <v>1166</v>
      </c>
      <c r="S404" s="7" t="s">
        <v>86</v>
      </c>
      <c r="T404" s="76" t="s">
        <v>1171</v>
      </c>
    </row>
    <row r="405" spans="1:21" ht="75" x14ac:dyDescent="0.3">
      <c r="A405" s="280"/>
      <c r="B405" s="265"/>
      <c r="C405" s="96" t="s">
        <v>832</v>
      </c>
      <c r="D405" s="96" t="s">
        <v>829</v>
      </c>
      <c r="E405" s="96" t="s">
        <v>833</v>
      </c>
      <c r="F405" s="96" t="s">
        <v>832</v>
      </c>
      <c r="G405" s="61" t="s">
        <v>830</v>
      </c>
      <c r="H405" s="96"/>
      <c r="I405" s="95" t="s">
        <v>62</v>
      </c>
      <c r="J405" s="95"/>
      <c r="K405" s="95">
        <v>129</v>
      </c>
      <c r="L405" s="3" t="str">
        <f>VLOOKUP(K405,'GACETA 3'!$E$9:$F$75,2,0)</f>
        <v>Control Antirrábico y Bienestar Animal</v>
      </c>
      <c r="M405" s="3" t="str">
        <f t="shared" si="6"/>
        <v>0201050203</v>
      </c>
      <c r="N405" s="3" t="str">
        <f>VLOOKUP(M405,GACETA!$A$1:$C$186,3,0)</f>
        <v>E</v>
      </c>
      <c r="O405" s="3" t="str">
        <f>VLOOKUP(M405,GACETA!$A$1:$C$186,2,0)</f>
        <v>Servicios de Atención médico veterinaria</v>
      </c>
      <c r="P405" s="302"/>
      <c r="Q405" s="302"/>
      <c r="R405" s="187" t="s">
        <v>1167</v>
      </c>
      <c r="S405" s="7" t="s">
        <v>86</v>
      </c>
      <c r="T405" s="76" t="s">
        <v>126</v>
      </c>
    </row>
    <row r="406" spans="1:21" ht="75" x14ac:dyDescent="0.3">
      <c r="A406" s="280"/>
      <c r="B406" s="265"/>
      <c r="C406" s="96" t="s">
        <v>832</v>
      </c>
      <c r="D406" s="96" t="s">
        <v>829</v>
      </c>
      <c r="E406" s="96" t="s">
        <v>833</v>
      </c>
      <c r="F406" s="96" t="s">
        <v>832</v>
      </c>
      <c r="G406" s="61" t="s">
        <v>830</v>
      </c>
      <c r="H406" s="96"/>
      <c r="I406" s="95" t="s">
        <v>62</v>
      </c>
      <c r="J406" s="95"/>
      <c r="K406" s="95">
        <v>129</v>
      </c>
      <c r="L406" s="3" t="str">
        <f>VLOOKUP(K406,'GACETA 3'!$E$9:$F$75,2,0)</f>
        <v>Control Antirrábico y Bienestar Animal</v>
      </c>
      <c r="M406" s="3" t="str">
        <f t="shared" si="6"/>
        <v>0201050203</v>
      </c>
      <c r="N406" s="3" t="str">
        <f>VLOOKUP(M406,GACETA!$A$1:$C$186,3,0)</f>
        <v>E</v>
      </c>
      <c r="O406" s="3" t="str">
        <f>VLOOKUP(M406,GACETA!$A$1:$C$186,2,0)</f>
        <v>Servicios de Atención médico veterinaria</v>
      </c>
      <c r="P406" s="302"/>
      <c r="Q406" s="302"/>
      <c r="R406" s="187" t="s">
        <v>1168</v>
      </c>
      <c r="S406" s="7" t="s">
        <v>86</v>
      </c>
      <c r="T406" s="76" t="s">
        <v>1170</v>
      </c>
    </row>
    <row r="407" spans="1:21" ht="75" x14ac:dyDescent="0.3">
      <c r="A407" s="280"/>
      <c r="B407" s="265"/>
      <c r="C407" s="96" t="s">
        <v>832</v>
      </c>
      <c r="D407" s="96" t="s">
        <v>829</v>
      </c>
      <c r="E407" s="96" t="s">
        <v>833</v>
      </c>
      <c r="F407" s="96" t="s">
        <v>832</v>
      </c>
      <c r="G407" s="61" t="s">
        <v>830</v>
      </c>
      <c r="H407" s="96"/>
      <c r="I407" s="95" t="s">
        <v>62</v>
      </c>
      <c r="J407" s="95"/>
      <c r="K407" s="95">
        <v>129</v>
      </c>
      <c r="L407" s="3" t="str">
        <f>VLOOKUP(K407,'GACETA 3'!$E$9:$F$75,2,0)</f>
        <v>Control Antirrábico y Bienestar Animal</v>
      </c>
      <c r="M407" s="3" t="str">
        <f t="shared" si="6"/>
        <v>0201050203</v>
      </c>
      <c r="N407" s="3" t="str">
        <f>VLOOKUP(M407,GACETA!$A$1:$C$186,3,0)</f>
        <v>E</v>
      </c>
      <c r="O407" s="3" t="str">
        <f>VLOOKUP(M407,GACETA!$A$1:$C$186,2,0)</f>
        <v>Servicios de Atención médico veterinaria</v>
      </c>
      <c r="P407" s="303"/>
      <c r="Q407" s="303"/>
      <c r="R407" s="187" t="s">
        <v>1169</v>
      </c>
      <c r="S407" s="7" t="s">
        <v>86</v>
      </c>
      <c r="T407" s="76" t="s">
        <v>1172</v>
      </c>
    </row>
    <row r="408" spans="1:21" ht="49.5" customHeight="1" x14ac:dyDescent="0.3">
      <c r="A408" s="280"/>
      <c r="B408" s="265"/>
      <c r="C408" s="93" t="s">
        <v>832</v>
      </c>
      <c r="D408" s="93" t="s">
        <v>835</v>
      </c>
      <c r="E408" s="93" t="s">
        <v>834</v>
      </c>
      <c r="F408" s="93" t="s">
        <v>833</v>
      </c>
      <c r="G408" s="61" t="s">
        <v>832</v>
      </c>
      <c r="H408" s="93"/>
      <c r="I408" s="95" t="s">
        <v>62</v>
      </c>
      <c r="J408" s="95"/>
      <c r="K408" s="94">
        <v>153</v>
      </c>
      <c r="L408" s="3" t="str">
        <f>VLOOKUP(K408,'GACETA 3'!$E$9:$F$75,2,0)</f>
        <v>Atención a la Salud</v>
      </c>
      <c r="M408" s="3" t="str">
        <f t="shared" si="6"/>
        <v>0206080502</v>
      </c>
      <c r="N408" s="3" t="str">
        <f>VLOOKUP(M408,GACETA!$A$1:$C$186,3,0)</f>
        <v>S</v>
      </c>
      <c r="O408" s="3" t="str">
        <f>VLOOKUP(M408,GACETA!$A$1:$C$186,2,0)</f>
        <v>Cultura de igualdad entre la mujer y el hombre; y población LGBTTTIQ+, para la prevención de la violencia de género</v>
      </c>
      <c r="P408" s="310" t="s">
        <v>847</v>
      </c>
      <c r="Q408" s="310" t="s">
        <v>848</v>
      </c>
      <c r="R408" s="147" t="s">
        <v>1140</v>
      </c>
      <c r="S408" s="7" t="s">
        <v>86</v>
      </c>
      <c r="T408" s="7" t="s">
        <v>181</v>
      </c>
    </row>
    <row r="409" spans="1:21" ht="75" x14ac:dyDescent="0.3">
      <c r="A409" s="280"/>
      <c r="B409" s="265"/>
      <c r="C409" s="93" t="s">
        <v>832</v>
      </c>
      <c r="D409" s="93" t="s">
        <v>835</v>
      </c>
      <c r="E409" s="93" t="s">
        <v>834</v>
      </c>
      <c r="F409" s="93" t="s">
        <v>833</v>
      </c>
      <c r="G409" s="61" t="s">
        <v>832</v>
      </c>
      <c r="H409" s="93"/>
      <c r="I409" s="95" t="s">
        <v>62</v>
      </c>
      <c r="J409" s="95"/>
      <c r="K409" s="94">
        <v>153</v>
      </c>
      <c r="L409" s="3" t="str">
        <f>VLOOKUP(K409,'GACETA 3'!$E$9:$F$75,2,0)</f>
        <v>Atención a la Salud</v>
      </c>
      <c r="M409" s="3" t="str">
        <f t="shared" si="6"/>
        <v>0206080502</v>
      </c>
      <c r="N409" s="3" t="str">
        <f>VLOOKUP(M409,GACETA!$A$1:$C$186,3,0)</f>
        <v>S</v>
      </c>
      <c r="O409" s="3" t="str">
        <f>VLOOKUP(M409,GACETA!$A$1:$C$186,2,0)</f>
        <v>Cultura de igualdad entre la mujer y el hombre; y población LGBTTTIQ+, para la prevención de la violencia de género</v>
      </c>
      <c r="P409" s="314"/>
      <c r="Q409" s="314"/>
      <c r="R409" s="147" t="s">
        <v>1141</v>
      </c>
      <c r="S409" s="7" t="s">
        <v>86</v>
      </c>
      <c r="T409" s="7" t="s">
        <v>104</v>
      </c>
    </row>
    <row r="410" spans="1:21" ht="75" x14ac:dyDescent="0.3">
      <c r="A410" s="280"/>
      <c r="B410" s="265"/>
      <c r="C410" s="93" t="s">
        <v>832</v>
      </c>
      <c r="D410" s="93" t="s">
        <v>835</v>
      </c>
      <c r="E410" s="93" t="s">
        <v>834</v>
      </c>
      <c r="F410" s="93" t="s">
        <v>833</v>
      </c>
      <c r="G410" s="61" t="s">
        <v>832</v>
      </c>
      <c r="H410" s="93"/>
      <c r="I410" s="95" t="s">
        <v>62</v>
      </c>
      <c r="J410" s="95"/>
      <c r="K410" s="94">
        <v>153</v>
      </c>
      <c r="L410" s="3" t="str">
        <f>VLOOKUP(K410,'GACETA 3'!$E$9:$F$75,2,0)</f>
        <v>Atención a la Salud</v>
      </c>
      <c r="M410" s="3" t="str">
        <f t="shared" si="6"/>
        <v>0206080502</v>
      </c>
      <c r="N410" s="3" t="str">
        <f>VLOOKUP(M410,GACETA!$A$1:$C$186,3,0)</f>
        <v>S</v>
      </c>
      <c r="O410" s="3" t="str">
        <f>VLOOKUP(M410,GACETA!$A$1:$C$186,2,0)</f>
        <v>Cultura de igualdad entre la mujer y el hombre; y población LGBTTTIQ+, para la prevención de la violencia de género</v>
      </c>
      <c r="P410" s="314"/>
      <c r="Q410" s="311"/>
      <c r="R410" s="147" t="s">
        <v>1142</v>
      </c>
      <c r="S410" s="7" t="s">
        <v>86</v>
      </c>
      <c r="T410" s="7" t="s">
        <v>337</v>
      </c>
    </row>
    <row r="411" spans="1:21" ht="60" x14ac:dyDescent="0.3">
      <c r="A411" s="280"/>
      <c r="B411" s="265"/>
      <c r="C411" s="93" t="s">
        <v>832</v>
      </c>
      <c r="D411" s="93" t="s">
        <v>835</v>
      </c>
      <c r="E411" s="93" t="s">
        <v>834</v>
      </c>
      <c r="F411" s="93" t="s">
        <v>833</v>
      </c>
      <c r="G411" s="61" t="s">
        <v>830</v>
      </c>
      <c r="H411" s="93"/>
      <c r="I411" s="95" t="s">
        <v>62</v>
      </c>
      <c r="J411" s="95"/>
      <c r="K411" s="94">
        <v>153</v>
      </c>
      <c r="L411" s="3" t="str">
        <f>VLOOKUP(K411,'GACETA 3'!$E$9:$F$75,2,0)</f>
        <v>Atención a la Salud</v>
      </c>
      <c r="M411" s="3" t="str">
        <f t="shared" si="6"/>
        <v>0206080503</v>
      </c>
      <c r="N411" s="3" t="str">
        <f>VLOOKUP(M411,GACETA!$A$1:$C$186,3,0)</f>
        <v>E</v>
      </c>
      <c r="O411" s="3" t="str">
        <f>VLOOKUP(M411,GACETA!$A$1:$C$186,2,0)</f>
        <v>Apoyo social para el empoderamiento y bienestar económico de la mujer</v>
      </c>
      <c r="P411" s="314"/>
      <c r="Q411" s="310" t="s">
        <v>849</v>
      </c>
      <c r="R411" s="147" t="s">
        <v>1143</v>
      </c>
      <c r="S411" s="7" t="s">
        <v>86</v>
      </c>
      <c r="T411" s="7" t="s">
        <v>1145</v>
      </c>
    </row>
    <row r="412" spans="1:21" ht="60" x14ac:dyDescent="0.3">
      <c r="A412" s="280"/>
      <c r="B412" s="265"/>
      <c r="C412" s="93" t="s">
        <v>832</v>
      </c>
      <c r="D412" s="93" t="s">
        <v>835</v>
      </c>
      <c r="E412" s="93" t="s">
        <v>834</v>
      </c>
      <c r="F412" s="93" t="s">
        <v>833</v>
      </c>
      <c r="G412" s="61" t="s">
        <v>830</v>
      </c>
      <c r="H412" s="93"/>
      <c r="I412" s="95" t="s">
        <v>62</v>
      </c>
      <c r="J412" s="95"/>
      <c r="K412" s="94">
        <v>153</v>
      </c>
      <c r="L412" s="3" t="str">
        <f>VLOOKUP(K412,'GACETA 3'!$E$9:$F$75,2,0)</f>
        <v>Atención a la Salud</v>
      </c>
      <c r="M412" s="3" t="str">
        <f t="shared" si="6"/>
        <v>0206080503</v>
      </c>
      <c r="N412" s="3" t="str">
        <f>VLOOKUP(M412,GACETA!$A$1:$C$186,3,0)</f>
        <v>E</v>
      </c>
      <c r="O412" s="3" t="str">
        <f>VLOOKUP(M412,GACETA!$A$1:$C$186,2,0)</f>
        <v>Apoyo social para el empoderamiento y bienestar económico de la mujer</v>
      </c>
      <c r="P412" s="314"/>
      <c r="Q412" s="311"/>
      <c r="R412" s="147" t="s">
        <v>1144</v>
      </c>
      <c r="S412" s="7" t="s">
        <v>86</v>
      </c>
      <c r="T412" s="7" t="s">
        <v>228</v>
      </c>
    </row>
    <row r="413" spans="1:21" ht="90" x14ac:dyDescent="0.3">
      <c r="A413" s="280"/>
      <c r="B413" s="265"/>
      <c r="C413" s="93" t="s">
        <v>832</v>
      </c>
      <c r="D413" s="93" t="s">
        <v>835</v>
      </c>
      <c r="E413" s="93" t="s">
        <v>834</v>
      </c>
      <c r="F413" s="93" t="s">
        <v>833</v>
      </c>
      <c r="G413" s="61" t="s">
        <v>836</v>
      </c>
      <c r="H413" s="93"/>
      <c r="I413" s="95" t="s">
        <v>62</v>
      </c>
      <c r="J413" s="95"/>
      <c r="K413" s="94">
        <v>153</v>
      </c>
      <c r="L413" s="3" t="str">
        <f>VLOOKUP(K413,'GACETA 3'!$E$9:$F$75,2,0)</f>
        <v>Atención a la Salud</v>
      </c>
      <c r="M413" s="3" t="str">
        <f t="shared" si="6"/>
        <v>0206080504</v>
      </c>
      <c r="N413" s="3" t="str">
        <f>VLOOKUP(M413,GACETA!$A$1:$C$186,3,0)</f>
        <v>E</v>
      </c>
      <c r="O413" s="3" t="str">
        <f>VLOOKUP(M413,GACETA!$A$1:$C$186,2,0)</f>
        <v>Coordinación interinstitucional para garantizar el goce, respeto, protección y promoción de los derechos de niñas, niños y adolescentes</v>
      </c>
      <c r="P413" s="314"/>
      <c r="Q413" s="310" t="s">
        <v>328</v>
      </c>
      <c r="R413" s="147" t="s">
        <v>1137</v>
      </c>
      <c r="S413" s="7" t="s">
        <v>86</v>
      </c>
      <c r="T413" s="7" t="s">
        <v>1146</v>
      </c>
    </row>
    <row r="414" spans="1:21" ht="90" x14ac:dyDescent="0.3">
      <c r="A414" s="280"/>
      <c r="B414" s="265"/>
      <c r="C414" s="93" t="s">
        <v>832</v>
      </c>
      <c r="D414" s="93" t="s">
        <v>835</v>
      </c>
      <c r="E414" s="93" t="s">
        <v>834</v>
      </c>
      <c r="F414" s="93" t="s">
        <v>833</v>
      </c>
      <c r="G414" s="61" t="s">
        <v>836</v>
      </c>
      <c r="H414" s="93"/>
      <c r="I414" s="95" t="s">
        <v>62</v>
      </c>
      <c r="J414" s="95"/>
      <c r="K414" s="94">
        <v>153</v>
      </c>
      <c r="L414" s="3" t="str">
        <f>VLOOKUP(K414,'GACETA 3'!$E$9:$F$75,2,0)</f>
        <v>Atención a la Salud</v>
      </c>
      <c r="M414" s="3" t="str">
        <f t="shared" si="6"/>
        <v>0206080504</v>
      </c>
      <c r="N414" s="3" t="str">
        <f>VLOOKUP(M414,GACETA!$A$1:$C$186,3,0)</f>
        <v>E</v>
      </c>
      <c r="O414" s="3" t="str">
        <f>VLOOKUP(M414,GACETA!$A$1:$C$186,2,0)</f>
        <v>Coordinación interinstitucional para garantizar el goce, respeto, protección y promoción de los derechos de niñas, niños y adolescentes</v>
      </c>
      <c r="P414" s="314"/>
      <c r="Q414" s="314"/>
      <c r="R414" s="147" t="s">
        <v>1138</v>
      </c>
      <c r="S414" s="7" t="s">
        <v>86</v>
      </c>
      <c r="T414" s="7" t="s">
        <v>459</v>
      </c>
    </row>
    <row r="415" spans="1:21" ht="90" x14ac:dyDescent="0.3">
      <c r="A415" s="280"/>
      <c r="B415" s="265"/>
      <c r="C415" s="93" t="s">
        <v>832</v>
      </c>
      <c r="D415" s="93" t="s">
        <v>835</v>
      </c>
      <c r="E415" s="93" t="s">
        <v>834</v>
      </c>
      <c r="F415" s="93" t="s">
        <v>833</v>
      </c>
      <c r="G415" s="61" t="s">
        <v>836</v>
      </c>
      <c r="H415" s="93"/>
      <c r="I415" s="95" t="s">
        <v>62</v>
      </c>
      <c r="J415" s="95"/>
      <c r="K415" s="94">
        <v>153</v>
      </c>
      <c r="L415" s="3" t="str">
        <f>VLOOKUP(K415,'GACETA 3'!$E$9:$F$75,2,0)</f>
        <v>Atención a la Salud</v>
      </c>
      <c r="M415" s="3" t="str">
        <f t="shared" si="6"/>
        <v>0206080504</v>
      </c>
      <c r="N415" s="3" t="str">
        <f>VLOOKUP(M415,GACETA!$A$1:$C$186,3,0)</f>
        <v>E</v>
      </c>
      <c r="O415" s="3" t="str">
        <f>VLOOKUP(M415,GACETA!$A$1:$C$186,2,0)</f>
        <v>Coordinación interinstitucional para garantizar el goce, respeto, protección y promoción de los derechos de niñas, niños y adolescentes</v>
      </c>
      <c r="P415" s="311"/>
      <c r="Q415" s="311"/>
      <c r="R415" s="147" t="s">
        <v>1139</v>
      </c>
      <c r="S415" s="7" t="s">
        <v>86</v>
      </c>
      <c r="T415" s="7" t="s">
        <v>1147</v>
      </c>
    </row>
    <row r="416" spans="1:21" ht="45" x14ac:dyDescent="0.3">
      <c r="A416" s="268" t="s">
        <v>58</v>
      </c>
      <c r="B416" s="289" t="s">
        <v>1</v>
      </c>
      <c r="C416" s="33" t="s">
        <v>832</v>
      </c>
      <c r="D416" s="42" t="s">
        <v>835</v>
      </c>
      <c r="E416" s="42" t="s">
        <v>834</v>
      </c>
      <c r="F416" s="42" t="s">
        <v>835</v>
      </c>
      <c r="G416" s="61" t="s">
        <v>832</v>
      </c>
      <c r="H416" s="42"/>
      <c r="I416" s="16" t="s">
        <v>58</v>
      </c>
      <c r="J416" s="16"/>
      <c r="K416" s="15">
        <v>143</v>
      </c>
      <c r="L416" s="3" t="str">
        <f>VLOOKUP(K416,'GACETA 3'!$E$9:$F$75,2,0)</f>
        <v>Atención a la Juventud</v>
      </c>
      <c r="M416" s="3" t="str">
        <f t="shared" si="6"/>
        <v>0206080602</v>
      </c>
      <c r="N416" s="3" t="str">
        <f>VLOOKUP(M416,GACETA!$A$1:$C$186,3,0)</f>
        <v>E</v>
      </c>
      <c r="O416" s="3" t="str">
        <f>VLOOKUP(M416,GACETA!$A$1:$C$186,2,0)</f>
        <v>Promoción del bienestar adolescente y juvenil</v>
      </c>
      <c r="P416" s="269" t="s">
        <v>847</v>
      </c>
      <c r="Q416" s="269" t="s">
        <v>848</v>
      </c>
      <c r="R416" s="186" t="s">
        <v>1328</v>
      </c>
      <c r="S416" s="7" t="s">
        <v>86</v>
      </c>
      <c r="T416" s="76" t="s">
        <v>130</v>
      </c>
      <c r="U416" s="158"/>
    </row>
    <row r="417" spans="1:21" ht="45" x14ac:dyDescent="0.3">
      <c r="A417" s="268"/>
      <c r="B417" s="289"/>
      <c r="C417" s="33" t="s">
        <v>832</v>
      </c>
      <c r="D417" s="42" t="s">
        <v>835</v>
      </c>
      <c r="E417" s="42" t="s">
        <v>834</v>
      </c>
      <c r="F417" s="42" t="s">
        <v>835</v>
      </c>
      <c r="G417" s="61" t="s">
        <v>832</v>
      </c>
      <c r="H417" s="42"/>
      <c r="I417" s="16" t="s">
        <v>58</v>
      </c>
      <c r="J417" s="16"/>
      <c r="K417" s="15">
        <v>143</v>
      </c>
      <c r="L417" s="3" t="str">
        <f>VLOOKUP(K417,'GACETA 3'!$E$9:$F$75,2,0)</f>
        <v>Atención a la Juventud</v>
      </c>
      <c r="M417" s="3" t="str">
        <f t="shared" si="6"/>
        <v>0206080602</v>
      </c>
      <c r="N417" s="3" t="str">
        <f>VLOOKUP(M417,GACETA!$A$1:$C$186,3,0)</f>
        <v>E</v>
      </c>
      <c r="O417" s="3" t="str">
        <f>VLOOKUP(M417,GACETA!$A$1:$C$186,2,0)</f>
        <v>Promoción del bienestar adolescente y juvenil</v>
      </c>
      <c r="P417" s="269"/>
      <c r="Q417" s="269"/>
      <c r="R417" s="186" t="s">
        <v>1329</v>
      </c>
      <c r="S417" s="7" t="s">
        <v>86</v>
      </c>
      <c r="T417" s="76" t="s">
        <v>130</v>
      </c>
      <c r="U417" s="158"/>
    </row>
    <row r="418" spans="1:21" ht="45" x14ac:dyDescent="0.3">
      <c r="A418" s="268"/>
      <c r="B418" s="289"/>
      <c r="C418" s="33" t="s">
        <v>832</v>
      </c>
      <c r="D418" s="42" t="s">
        <v>835</v>
      </c>
      <c r="E418" s="42" t="s">
        <v>834</v>
      </c>
      <c r="F418" s="42" t="s">
        <v>835</v>
      </c>
      <c r="G418" s="61" t="s">
        <v>832</v>
      </c>
      <c r="H418" s="42"/>
      <c r="I418" s="16" t="s">
        <v>58</v>
      </c>
      <c r="J418" s="16"/>
      <c r="K418" s="15">
        <v>143</v>
      </c>
      <c r="L418" s="3" t="str">
        <f>VLOOKUP(K418,'GACETA 3'!$E$9:$F$75,2,0)</f>
        <v>Atención a la Juventud</v>
      </c>
      <c r="M418" s="3" t="str">
        <f t="shared" si="6"/>
        <v>0206080602</v>
      </c>
      <c r="N418" s="3" t="str">
        <f>VLOOKUP(M418,GACETA!$A$1:$C$186,3,0)</f>
        <v>E</v>
      </c>
      <c r="O418" s="3" t="str">
        <f>VLOOKUP(M418,GACETA!$A$1:$C$186,2,0)</f>
        <v>Promoción del bienestar adolescente y juvenil</v>
      </c>
      <c r="P418" s="269"/>
      <c r="Q418" s="269"/>
      <c r="R418" s="186" t="s">
        <v>1330</v>
      </c>
      <c r="S418" s="7" t="s">
        <v>86</v>
      </c>
      <c r="T418" s="76" t="s">
        <v>181</v>
      </c>
      <c r="U418" s="158"/>
    </row>
    <row r="419" spans="1:21" ht="45" x14ac:dyDescent="0.3">
      <c r="A419" s="268"/>
      <c r="B419" s="289"/>
      <c r="C419" s="33" t="s">
        <v>832</v>
      </c>
      <c r="D419" s="42" t="s">
        <v>835</v>
      </c>
      <c r="E419" s="42" t="s">
        <v>834</v>
      </c>
      <c r="F419" s="42" t="s">
        <v>835</v>
      </c>
      <c r="G419" s="61" t="s">
        <v>832</v>
      </c>
      <c r="H419" s="42"/>
      <c r="I419" s="16" t="s">
        <v>58</v>
      </c>
      <c r="J419" s="16"/>
      <c r="K419" s="15">
        <v>143</v>
      </c>
      <c r="L419" s="3" t="str">
        <f>VLOOKUP(K419,'GACETA 3'!$E$9:$F$75,2,0)</f>
        <v>Atención a la Juventud</v>
      </c>
      <c r="M419" s="3" t="str">
        <f t="shared" si="6"/>
        <v>0206080602</v>
      </c>
      <c r="N419" s="3" t="str">
        <f>VLOOKUP(M419,GACETA!$A$1:$C$186,3,0)</f>
        <v>E</v>
      </c>
      <c r="O419" s="3" t="str">
        <f>VLOOKUP(M419,GACETA!$A$1:$C$186,2,0)</f>
        <v>Promoción del bienestar adolescente y juvenil</v>
      </c>
      <c r="P419" s="269"/>
      <c r="Q419" s="269"/>
      <c r="R419" s="186" t="s">
        <v>324</v>
      </c>
      <c r="S419" s="7" t="s">
        <v>86</v>
      </c>
      <c r="T419" s="76" t="s">
        <v>181</v>
      </c>
      <c r="U419" s="158"/>
    </row>
    <row r="420" spans="1:21" ht="45" x14ac:dyDescent="0.3">
      <c r="A420" s="268"/>
      <c r="B420" s="289"/>
      <c r="C420" s="33" t="s">
        <v>832</v>
      </c>
      <c r="D420" s="42" t="s">
        <v>835</v>
      </c>
      <c r="E420" s="42" t="s">
        <v>834</v>
      </c>
      <c r="F420" s="42" t="s">
        <v>835</v>
      </c>
      <c r="G420" s="61" t="s">
        <v>832</v>
      </c>
      <c r="H420" s="42"/>
      <c r="I420" s="16" t="s">
        <v>58</v>
      </c>
      <c r="J420" s="16"/>
      <c r="K420" s="15">
        <v>143</v>
      </c>
      <c r="L420" s="3" t="str">
        <f>VLOOKUP(K420,'GACETA 3'!$E$9:$F$75,2,0)</f>
        <v>Atención a la Juventud</v>
      </c>
      <c r="M420" s="3" t="str">
        <f t="shared" si="6"/>
        <v>0206080602</v>
      </c>
      <c r="N420" s="3" t="str">
        <f>VLOOKUP(M420,GACETA!$A$1:$C$186,3,0)</f>
        <v>E</v>
      </c>
      <c r="O420" s="3" t="str">
        <f>VLOOKUP(M420,GACETA!$A$1:$C$186,2,0)</f>
        <v>Promoción del bienestar adolescente y juvenil</v>
      </c>
      <c r="P420" s="269"/>
      <c r="Q420" s="269"/>
      <c r="R420" s="186" t="s">
        <v>1331</v>
      </c>
      <c r="S420" s="7" t="s">
        <v>86</v>
      </c>
      <c r="T420" s="76" t="s">
        <v>326</v>
      </c>
      <c r="U420" s="158"/>
    </row>
    <row r="421" spans="1:21" ht="45" x14ac:dyDescent="0.3">
      <c r="A421" s="268"/>
      <c r="B421" s="289"/>
      <c r="C421" s="33" t="s">
        <v>832</v>
      </c>
      <c r="D421" s="42" t="s">
        <v>835</v>
      </c>
      <c r="E421" s="42" t="s">
        <v>834</v>
      </c>
      <c r="F421" s="42" t="s">
        <v>835</v>
      </c>
      <c r="G421" s="61" t="s">
        <v>832</v>
      </c>
      <c r="H421" s="42"/>
      <c r="I421" s="16" t="s">
        <v>58</v>
      </c>
      <c r="J421" s="16"/>
      <c r="K421" s="15">
        <v>143</v>
      </c>
      <c r="L421" s="3" t="str">
        <f>VLOOKUP(K421,'GACETA 3'!$E$9:$F$75,2,0)</f>
        <v>Atención a la Juventud</v>
      </c>
      <c r="M421" s="3" t="str">
        <f t="shared" si="6"/>
        <v>0206080602</v>
      </c>
      <c r="N421" s="3" t="str">
        <f>VLOOKUP(M421,GACETA!$A$1:$C$186,3,0)</f>
        <v>E</v>
      </c>
      <c r="O421" s="3" t="str">
        <f>VLOOKUP(M421,GACETA!$A$1:$C$186,2,0)</f>
        <v>Promoción del bienestar adolescente y juvenil</v>
      </c>
      <c r="P421" s="269"/>
      <c r="Q421" s="269"/>
      <c r="R421" s="186" t="s">
        <v>327</v>
      </c>
      <c r="S421" s="7" t="s">
        <v>86</v>
      </c>
      <c r="T421" s="76" t="s">
        <v>326</v>
      </c>
      <c r="U421" s="158"/>
    </row>
    <row r="422" spans="1:21" ht="45" x14ac:dyDescent="0.3">
      <c r="A422" s="268"/>
      <c r="B422" s="289"/>
      <c r="C422" s="33" t="s">
        <v>832</v>
      </c>
      <c r="D422" s="42" t="s">
        <v>835</v>
      </c>
      <c r="E422" s="42" t="s">
        <v>834</v>
      </c>
      <c r="F422" s="42" t="s">
        <v>835</v>
      </c>
      <c r="G422" s="61" t="s">
        <v>832</v>
      </c>
      <c r="H422" s="42"/>
      <c r="I422" s="16" t="s">
        <v>58</v>
      </c>
      <c r="J422" s="16"/>
      <c r="K422" s="15">
        <v>143</v>
      </c>
      <c r="L422" s="3" t="str">
        <f>VLOOKUP(K422,'GACETA 3'!$E$9:$F$75,2,0)</f>
        <v>Atención a la Juventud</v>
      </c>
      <c r="M422" s="3" t="str">
        <f t="shared" si="6"/>
        <v>0206080602</v>
      </c>
      <c r="N422" s="3" t="str">
        <f>VLOOKUP(M422,GACETA!$A$1:$C$186,3,0)</f>
        <v>E</v>
      </c>
      <c r="O422" s="3" t="str">
        <f>VLOOKUP(M422,GACETA!$A$1:$C$186,2,0)</f>
        <v>Promoción del bienestar adolescente y juvenil</v>
      </c>
      <c r="P422" s="269"/>
      <c r="Q422" s="269"/>
      <c r="R422" s="186" t="s">
        <v>1332</v>
      </c>
      <c r="S422" s="7" t="s">
        <v>86</v>
      </c>
      <c r="T422" s="76" t="s">
        <v>130</v>
      </c>
      <c r="U422" s="158"/>
    </row>
    <row r="423" spans="1:21" ht="45" x14ac:dyDescent="0.3">
      <c r="A423" s="268"/>
      <c r="B423" s="289"/>
      <c r="C423" s="33" t="s">
        <v>832</v>
      </c>
      <c r="D423" s="42" t="s">
        <v>835</v>
      </c>
      <c r="E423" s="42" t="s">
        <v>834</v>
      </c>
      <c r="F423" s="42" t="s">
        <v>835</v>
      </c>
      <c r="G423" s="61" t="s">
        <v>832</v>
      </c>
      <c r="H423" s="42"/>
      <c r="I423" s="16" t="s">
        <v>58</v>
      </c>
      <c r="J423" s="16"/>
      <c r="K423" s="15">
        <v>143</v>
      </c>
      <c r="L423" s="3" t="str">
        <f>VLOOKUP(K423,'GACETA 3'!$E$9:$F$75,2,0)</f>
        <v>Atención a la Juventud</v>
      </c>
      <c r="M423" s="3" t="str">
        <f t="shared" si="6"/>
        <v>0206080602</v>
      </c>
      <c r="N423" s="3" t="str">
        <f>VLOOKUP(M423,GACETA!$A$1:$C$186,3,0)</f>
        <v>E</v>
      </c>
      <c r="O423" s="3" t="str">
        <f>VLOOKUP(M423,GACETA!$A$1:$C$186,2,0)</f>
        <v>Promoción del bienestar adolescente y juvenil</v>
      </c>
      <c r="P423" s="269"/>
      <c r="Q423" s="269"/>
      <c r="R423" s="201" t="s">
        <v>1333</v>
      </c>
      <c r="S423" s="7" t="s">
        <v>86</v>
      </c>
      <c r="T423" s="76" t="s">
        <v>181</v>
      </c>
      <c r="U423" s="158"/>
    </row>
    <row r="424" spans="1:21" ht="45" x14ac:dyDescent="0.3">
      <c r="A424" s="268"/>
      <c r="B424" s="289"/>
      <c r="C424" s="33" t="s">
        <v>832</v>
      </c>
      <c r="D424" s="42" t="s">
        <v>835</v>
      </c>
      <c r="E424" s="42" t="s">
        <v>834</v>
      </c>
      <c r="F424" s="42" t="s">
        <v>835</v>
      </c>
      <c r="G424" s="61" t="s">
        <v>832</v>
      </c>
      <c r="H424" s="42"/>
      <c r="I424" s="16" t="s">
        <v>58</v>
      </c>
      <c r="J424" s="16"/>
      <c r="K424" s="15">
        <v>143</v>
      </c>
      <c r="L424" s="3" t="str">
        <f>VLOOKUP(K424,'GACETA 3'!$E$9:$F$75,2,0)</f>
        <v>Atención a la Juventud</v>
      </c>
      <c r="M424" s="3" t="str">
        <f t="shared" si="6"/>
        <v>0206080602</v>
      </c>
      <c r="N424" s="3" t="str">
        <f>VLOOKUP(M424,GACETA!$A$1:$C$186,3,0)</f>
        <v>E</v>
      </c>
      <c r="O424" s="3" t="str">
        <f>VLOOKUP(M424,GACETA!$A$1:$C$186,2,0)</f>
        <v>Promoción del bienestar adolescente y juvenil</v>
      </c>
      <c r="P424" s="269"/>
      <c r="Q424" s="269"/>
      <c r="R424" s="186" t="s">
        <v>1334</v>
      </c>
      <c r="S424" s="7" t="s">
        <v>86</v>
      </c>
      <c r="T424" s="76" t="s">
        <v>228</v>
      </c>
      <c r="U424" s="158"/>
    </row>
    <row r="425" spans="1:21" ht="45" x14ac:dyDescent="0.3">
      <c r="A425" s="268"/>
      <c r="B425" s="289"/>
      <c r="C425" s="33" t="s">
        <v>832</v>
      </c>
      <c r="D425" s="42" t="s">
        <v>835</v>
      </c>
      <c r="E425" s="42" t="s">
        <v>834</v>
      </c>
      <c r="F425" s="42" t="s">
        <v>835</v>
      </c>
      <c r="G425" s="61" t="s">
        <v>830</v>
      </c>
      <c r="H425" s="42"/>
      <c r="I425" s="16" t="s">
        <v>58</v>
      </c>
      <c r="J425" s="16"/>
      <c r="K425" s="15">
        <v>143</v>
      </c>
      <c r="L425" s="3" t="str">
        <f>VLOOKUP(K425,'GACETA 3'!$E$9:$F$75,2,0)</f>
        <v>Atención a la Juventud</v>
      </c>
      <c r="M425" s="3" t="str">
        <f t="shared" si="6"/>
        <v>0206080603</v>
      </c>
      <c r="N425" s="3" t="str">
        <f>VLOOKUP(M425,GACETA!$A$1:$C$186,3,0)</f>
        <v>E</v>
      </c>
      <c r="O425" s="3" t="str">
        <f>VLOOKUP(M425,GACETA!$A$1:$C$186,2,0)</f>
        <v>Atención y reducción del embarazo adolescente</v>
      </c>
      <c r="P425" s="269"/>
      <c r="Q425" s="269" t="s">
        <v>849</v>
      </c>
      <c r="R425" s="186" t="s">
        <v>317</v>
      </c>
      <c r="S425" s="7" t="s">
        <v>86</v>
      </c>
      <c r="T425" s="76" t="s">
        <v>130</v>
      </c>
      <c r="U425" s="158"/>
    </row>
    <row r="426" spans="1:21" ht="45" x14ac:dyDescent="0.3">
      <c r="A426" s="268"/>
      <c r="B426" s="289"/>
      <c r="C426" s="33" t="s">
        <v>832</v>
      </c>
      <c r="D426" s="42" t="s">
        <v>835</v>
      </c>
      <c r="E426" s="42" t="s">
        <v>834</v>
      </c>
      <c r="F426" s="42" t="s">
        <v>835</v>
      </c>
      <c r="G426" s="61" t="s">
        <v>830</v>
      </c>
      <c r="H426" s="42"/>
      <c r="I426" s="16" t="s">
        <v>58</v>
      </c>
      <c r="J426" s="16"/>
      <c r="K426" s="15">
        <v>143</v>
      </c>
      <c r="L426" s="3" t="str">
        <f>VLOOKUP(K426,'GACETA 3'!$E$9:$F$75,2,0)</f>
        <v>Atención a la Juventud</v>
      </c>
      <c r="M426" s="3" t="str">
        <f t="shared" si="6"/>
        <v>0206080603</v>
      </c>
      <c r="N426" s="3" t="str">
        <f>VLOOKUP(M426,GACETA!$A$1:$C$186,3,0)</f>
        <v>E</v>
      </c>
      <c r="O426" s="3" t="str">
        <f>VLOOKUP(M426,GACETA!$A$1:$C$186,2,0)</f>
        <v>Atención y reducción del embarazo adolescente</v>
      </c>
      <c r="P426" s="269"/>
      <c r="Q426" s="269"/>
      <c r="R426" s="186" t="s">
        <v>318</v>
      </c>
      <c r="S426" s="7" t="s">
        <v>86</v>
      </c>
      <c r="T426" s="76" t="s">
        <v>130</v>
      </c>
      <c r="U426" s="158"/>
    </row>
    <row r="427" spans="1:21" ht="45" x14ac:dyDescent="0.3">
      <c r="A427" s="268"/>
      <c r="B427" s="289"/>
      <c r="C427" s="33" t="s">
        <v>832</v>
      </c>
      <c r="D427" s="42" t="s">
        <v>835</v>
      </c>
      <c r="E427" s="42" t="s">
        <v>834</v>
      </c>
      <c r="F427" s="42" t="s">
        <v>835</v>
      </c>
      <c r="G427" s="61" t="s">
        <v>830</v>
      </c>
      <c r="H427" s="42"/>
      <c r="I427" s="16" t="s">
        <v>58</v>
      </c>
      <c r="J427" s="16"/>
      <c r="K427" s="15">
        <v>143</v>
      </c>
      <c r="L427" s="3" t="str">
        <f>VLOOKUP(K427,'GACETA 3'!$E$9:$F$75,2,0)</f>
        <v>Atención a la Juventud</v>
      </c>
      <c r="M427" s="3" t="str">
        <f t="shared" si="6"/>
        <v>0206080603</v>
      </c>
      <c r="N427" s="3" t="str">
        <f>VLOOKUP(M427,GACETA!$A$1:$C$186,3,0)</f>
        <v>E</v>
      </c>
      <c r="O427" s="3" t="str">
        <f>VLOOKUP(M427,GACETA!$A$1:$C$186,2,0)</f>
        <v>Atención y reducción del embarazo adolescente</v>
      </c>
      <c r="P427" s="269"/>
      <c r="Q427" s="269"/>
      <c r="R427" s="186" t="s">
        <v>319</v>
      </c>
      <c r="S427" s="7" t="s">
        <v>86</v>
      </c>
      <c r="T427" s="76" t="s">
        <v>320</v>
      </c>
      <c r="U427" s="158"/>
    </row>
    <row r="428" spans="1:21" ht="45" x14ac:dyDescent="0.3">
      <c r="A428" s="268"/>
      <c r="B428" s="289"/>
      <c r="C428" s="33" t="s">
        <v>832</v>
      </c>
      <c r="D428" s="42" t="s">
        <v>835</v>
      </c>
      <c r="E428" s="42" t="s">
        <v>834</v>
      </c>
      <c r="F428" s="42" t="s">
        <v>835</v>
      </c>
      <c r="G428" s="61" t="s">
        <v>830</v>
      </c>
      <c r="H428" s="42"/>
      <c r="I428" s="16" t="s">
        <v>58</v>
      </c>
      <c r="J428" s="16"/>
      <c r="K428" s="15">
        <v>143</v>
      </c>
      <c r="L428" s="3" t="str">
        <f>VLOOKUP(K428,'GACETA 3'!$E$9:$F$75,2,0)</f>
        <v>Atención a la Juventud</v>
      </c>
      <c r="M428" s="3" t="str">
        <f t="shared" si="6"/>
        <v>0206080603</v>
      </c>
      <c r="N428" s="3" t="str">
        <f>VLOOKUP(M428,GACETA!$A$1:$C$186,3,0)</f>
        <v>E</v>
      </c>
      <c r="O428" s="3" t="str">
        <f>VLOOKUP(M428,GACETA!$A$1:$C$186,2,0)</f>
        <v>Atención y reducción del embarazo adolescente</v>
      </c>
      <c r="P428" s="269"/>
      <c r="Q428" s="269"/>
      <c r="R428" s="186" t="s">
        <v>1335</v>
      </c>
      <c r="S428" s="7" t="s">
        <v>86</v>
      </c>
      <c r="T428" s="76" t="s">
        <v>126</v>
      </c>
      <c r="U428" s="158"/>
    </row>
    <row r="429" spans="1:21" ht="45" x14ac:dyDescent="0.3">
      <c r="A429" s="268"/>
      <c r="B429" s="289"/>
      <c r="C429" s="33" t="s">
        <v>832</v>
      </c>
      <c r="D429" s="42" t="s">
        <v>835</v>
      </c>
      <c r="E429" s="42" t="s">
        <v>834</v>
      </c>
      <c r="F429" s="42" t="s">
        <v>835</v>
      </c>
      <c r="G429" s="61" t="s">
        <v>836</v>
      </c>
      <c r="H429" s="42"/>
      <c r="I429" s="16" t="s">
        <v>58</v>
      </c>
      <c r="J429" s="16"/>
      <c r="K429" s="15">
        <v>143</v>
      </c>
      <c r="L429" s="3" t="str">
        <f>VLOOKUP(K429,'GACETA 3'!$E$9:$F$75,2,0)</f>
        <v>Atención a la Juventud</v>
      </c>
      <c r="M429" s="3" t="str">
        <f t="shared" si="6"/>
        <v>0206080604</v>
      </c>
      <c r="N429" s="3" t="str">
        <f>VLOOKUP(M429,GACETA!$A$1:$C$186,3,0)</f>
        <v>E</v>
      </c>
      <c r="O429" s="3" t="str">
        <f>VLOOKUP(M429,GACETA!$A$1:$C$186,2,0)</f>
        <v>Promoción integral para el bienestar de la juventud</v>
      </c>
      <c r="P429" s="269"/>
      <c r="Q429" s="269" t="s">
        <v>328</v>
      </c>
      <c r="R429" s="186" t="s">
        <v>1336</v>
      </c>
      <c r="S429" s="8" t="s">
        <v>86</v>
      </c>
      <c r="T429" s="76" t="s">
        <v>326</v>
      </c>
      <c r="U429" s="158"/>
    </row>
    <row r="430" spans="1:21" x14ac:dyDescent="0.3">
      <c r="A430" s="268"/>
      <c r="B430" s="289"/>
      <c r="C430" s="33"/>
      <c r="D430" s="42"/>
      <c r="E430" s="42"/>
      <c r="F430" s="42"/>
      <c r="G430" s="61"/>
      <c r="H430" s="42"/>
      <c r="I430" s="16"/>
      <c r="J430" s="16"/>
      <c r="K430" s="15"/>
      <c r="L430" s="3" t="e">
        <f>VLOOKUP(K430,'GACETA 3'!$E$9:$F$75,2,0)</f>
        <v>#N/A</v>
      </c>
      <c r="M430" s="3" t="str">
        <f t="shared" si="6"/>
        <v/>
      </c>
      <c r="N430" s="3" t="e">
        <f>VLOOKUP(M430,GACETA!$A$1:$C$186,3,0)</f>
        <v>#N/A</v>
      </c>
      <c r="O430" s="3" t="e">
        <f>VLOOKUP(M430,GACETA!$A$1:$C$186,2,0)</f>
        <v>#N/A</v>
      </c>
      <c r="P430" s="269"/>
      <c r="Q430" s="269"/>
      <c r="R430" s="186" t="s">
        <v>1337</v>
      </c>
      <c r="S430" s="8" t="s">
        <v>86</v>
      </c>
      <c r="T430" s="76" t="s">
        <v>326</v>
      </c>
      <c r="U430" s="158"/>
    </row>
    <row r="431" spans="1:21" x14ac:dyDescent="0.3">
      <c r="A431" s="268"/>
      <c r="B431" s="289"/>
      <c r="C431" s="33"/>
      <c r="D431" s="42"/>
      <c r="E431" s="42"/>
      <c r="F431" s="42"/>
      <c r="G431" s="61"/>
      <c r="H431" s="42"/>
      <c r="I431" s="16"/>
      <c r="J431" s="16"/>
      <c r="K431" s="15"/>
      <c r="L431" s="3" t="e">
        <f>VLOOKUP(K431,'GACETA 3'!$E$9:$F$75,2,0)</f>
        <v>#N/A</v>
      </c>
      <c r="M431" s="3" t="str">
        <f t="shared" si="6"/>
        <v/>
      </c>
      <c r="N431" s="3" t="e">
        <f>VLOOKUP(M431,GACETA!$A$1:$C$186,3,0)</f>
        <v>#N/A</v>
      </c>
      <c r="O431" s="3" t="e">
        <f>VLOOKUP(M431,GACETA!$A$1:$C$186,2,0)</f>
        <v>#N/A</v>
      </c>
      <c r="P431" s="269"/>
      <c r="Q431" s="269"/>
      <c r="R431" s="186" t="s">
        <v>331</v>
      </c>
      <c r="S431" s="8" t="s">
        <v>86</v>
      </c>
      <c r="T431" s="76" t="s">
        <v>1342</v>
      </c>
      <c r="U431" s="158"/>
    </row>
    <row r="432" spans="1:21" x14ac:dyDescent="0.3">
      <c r="A432" s="268"/>
      <c r="B432" s="289"/>
      <c r="C432" s="33"/>
      <c r="D432" s="42"/>
      <c r="E432" s="42"/>
      <c r="F432" s="42"/>
      <c r="G432" s="61"/>
      <c r="H432" s="42"/>
      <c r="I432" s="16"/>
      <c r="J432" s="16"/>
      <c r="K432" s="15"/>
      <c r="L432" s="3" t="e">
        <f>VLOOKUP(K432,'GACETA 3'!$E$9:$F$75,2,0)</f>
        <v>#N/A</v>
      </c>
      <c r="M432" s="3" t="str">
        <f t="shared" si="6"/>
        <v/>
      </c>
      <c r="N432" s="3" t="e">
        <f>VLOOKUP(M432,GACETA!$A$1:$C$186,3,0)</f>
        <v>#N/A</v>
      </c>
      <c r="O432" s="3" t="e">
        <f>VLOOKUP(M432,GACETA!$A$1:$C$186,2,0)</f>
        <v>#N/A</v>
      </c>
      <c r="P432" s="269"/>
      <c r="Q432" s="269"/>
      <c r="R432" s="186" t="s">
        <v>1338</v>
      </c>
      <c r="S432" s="8" t="s">
        <v>86</v>
      </c>
      <c r="T432" s="76" t="s">
        <v>333</v>
      </c>
      <c r="U432" s="158"/>
    </row>
    <row r="433" spans="1:21" ht="45" x14ac:dyDescent="0.3">
      <c r="A433" s="268"/>
      <c r="B433" s="289"/>
      <c r="C433" s="33" t="s">
        <v>832</v>
      </c>
      <c r="D433" s="42" t="s">
        <v>835</v>
      </c>
      <c r="E433" s="42" t="s">
        <v>834</v>
      </c>
      <c r="F433" s="42" t="s">
        <v>835</v>
      </c>
      <c r="G433" s="61" t="s">
        <v>836</v>
      </c>
      <c r="H433" s="42"/>
      <c r="I433" s="16" t="s">
        <v>58</v>
      </c>
      <c r="J433" s="16"/>
      <c r="K433" s="15">
        <v>143</v>
      </c>
      <c r="L433" s="3" t="str">
        <f>VLOOKUP(K433,'GACETA 3'!$E$9:$F$75,2,0)</f>
        <v>Atención a la Juventud</v>
      </c>
      <c r="M433" s="3" t="str">
        <f t="shared" si="6"/>
        <v>0206080604</v>
      </c>
      <c r="N433" s="3" t="str">
        <f>VLOOKUP(M433,GACETA!$A$1:$C$186,3,0)</f>
        <v>E</v>
      </c>
      <c r="O433" s="3" t="str">
        <f>VLOOKUP(M433,GACETA!$A$1:$C$186,2,0)</f>
        <v>Promoción integral para el bienestar de la juventud</v>
      </c>
      <c r="P433" s="269"/>
      <c r="Q433" s="269"/>
      <c r="R433" s="186" t="s">
        <v>334</v>
      </c>
      <c r="S433" s="8" t="s">
        <v>86</v>
      </c>
      <c r="T433" s="76" t="s">
        <v>326</v>
      </c>
      <c r="U433" s="158"/>
    </row>
    <row r="434" spans="1:21" ht="45" x14ac:dyDescent="0.3">
      <c r="A434" s="268"/>
      <c r="B434" s="289"/>
      <c r="C434" s="33" t="s">
        <v>832</v>
      </c>
      <c r="D434" s="42" t="s">
        <v>835</v>
      </c>
      <c r="E434" s="42" t="s">
        <v>834</v>
      </c>
      <c r="F434" s="42" t="s">
        <v>835</v>
      </c>
      <c r="G434" s="61" t="s">
        <v>836</v>
      </c>
      <c r="H434" s="42"/>
      <c r="I434" s="16" t="s">
        <v>58</v>
      </c>
      <c r="J434" s="16"/>
      <c r="K434" s="15">
        <v>143</v>
      </c>
      <c r="L434" s="3" t="str">
        <f>VLOOKUP(K434,'GACETA 3'!$E$9:$F$75,2,0)</f>
        <v>Atención a la Juventud</v>
      </c>
      <c r="M434" s="3" t="str">
        <f t="shared" si="6"/>
        <v>0206080604</v>
      </c>
      <c r="N434" s="3" t="str">
        <f>VLOOKUP(M434,GACETA!$A$1:$C$186,3,0)</f>
        <v>E</v>
      </c>
      <c r="O434" s="3" t="str">
        <f>VLOOKUP(M434,GACETA!$A$1:$C$186,2,0)</f>
        <v>Promoción integral para el bienestar de la juventud</v>
      </c>
      <c r="P434" s="269"/>
      <c r="Q434" s="269"/>
      <c r="R434" s="186" t="s">
        <v>1339</v>
      </c>
      <c r="S434" s="8" t="s">
        <v>86</v>
      </c>
      <c r="T434" s="76" t="s">
        <v>326</v>
      </c>
      <c r="U434" s="158"/>
    </row>
    <row r="435" spans="1:21" ht="45" x14ac:dyDescent="0.3">
      <c r="A435" s="268"/>
      <c r="B435" s="289"/>
      <c r="C435" s="33" t="s">
        <v>832</v>
      </c>
      <c r="D435" s="42" t="s">
        <v>835</v>
      </c>
      <c r="E435" s="42" t="s">
        <v>834</v>
      </c>
      <c r="F435" s="42" t="s">
        <v>835</v>
      </c>
      <c r="G435" s="61" t="s">
        <v>836</v>
      </c>
      <c r="H435" s="42"/>
      <c r="I435" s="16" t="s">
        <v>58</v>
      </c>
      <c r="J435" s="16"/>
      <c r="K435" s="15">
        <v>143</v>
      </c>
      <c r="L435" s="3" t="str">
        <f>VLOOKUP(K435,'GACETA 3'!$E$9:$F$75,2,0)</f>
        <v>Atención a la Juventud</v>
      </c>
      <c r="M435" s="3" t="str">
        <f t="shared" si="6"/>
        <v>0206080604</v>
      </c>
      <c r="N435" s="3" t="str">
        <f>VLOOKUP(M435,GACETA!$A$1:$C$186,3,0)</f>
        <v>E</v>
      </c>
      <c r="O435" s="3" t="str">
        <f>VLOOKUP(M435,GACETA!$A$1:$C$186,2,0)</f>
        <v>Promoción integral para el bienestar de la juventud</v>
      </c>
      <c r="P435" s="269"/>
      <c r="Q435" s="269"/>
      <c r="R435" s="186" t="s">
        <v>1340</v>
      </c>
      <c r="S435" s="8" t="s">
        <v>86</v>
      </c>
      <c r="T435" s="76" t="s">
        <v>126</v>
      </c>
      <c r="U435" s="158"/>
    </row>
    <row r="436" spans="1:21" ht="45" x14ac:dyDescent="0.3">
      <c r="A436" s="268"/>
      <c r="B436" s="289"/>
      <c r="C436" s="33" t="s">
        <v>832</v>
      </c>
      <c r="D436" s="42" t="s">
        <v>835</v>
      </c>
      <c r="E436" s="42" t="s">
        <v>834</v>
      </c>
      <c r="F436" s="42" t="s">
        <v>835</v>
      </c>
      <c r="G436" s="61" t="s">
        <v>836</v>
      </c>
      <c r="H436" s="42"/>
      <c r="I436" s="16" t="s">
        <v>58</v>
      </c>
      <c r="J436" s="16"/>
      <c r="K436" s="15">
        <v>143</v>
      </c>
      <c r="L436" s="3" t="str">
        <f>VLOOKUP(K436,'GACETA 3'!$E$9:$F$75,2,0)</f>
        <v>Atención a la Juventud</v>
      </c>
      <c r="M436" s="3" t="str">
        <f t="shared" si="6"/>
        <v>0206080604</v>
      </c>
      <c r="N436" s="3" t="str">
        <f>VLOOKUP(M436,GACETA!$A$1:$C$186,3,0)</f>
        <v>E</v>
      </c>
      <c r="O436" s="3" t="str">
        <f>VLOOKUP(M436,GACETA!$A$1:$C$186,2,0)</f>
        <v>Promoción integral para el bienestar de la juventud</v>
      </c>
      <c r="P436" s="269"/>
      <c r="Q436" s="269"/>
      <c r="R436" s="186" t="s">
        <v>1341</v>
      </c>
      <c r="S436" s="8" t="s">
        <v>86</v>
      </c>
      <c r="T436" s="76" t="s">
        <v>1261</v>
      </c>
      <c r="U436" s="158"/>
    </row>
    <row r="437" spans="1:21" ht="51.75" customHeight="1" x14ac:dyDescent="0.3">
      <c r="A437" s="268" t="s">
        <v>52</v>
      </c>
      <c r="B437" s="291" t="s">
        <v>707</v>
      </c>
      <c r="C437" s="33" t="s">
        <v>829</v>
      </c>
      <c r="D437" s="39" t="s">
        <v>830</v>
      </c>
      <c r="E437" s="39" t="s">
        <v>830</v>
      </c>
      <c r="F437" s="39" t="s">
        <v>829</v>
      </c>
      <c r="G437" s="74" t="s">
        <v>829</v>
      </c>
      <c r="H437" s="39"/>
      <c r="I437" s="8" t="s">
        <v>52</v>
      </c>
      <c r="J437" s="8"/>
      <c r="K437" s="1">
        <v>150</v>
      </c>
      <c r="L437" s="3" t="str">
        <f>VLOOKUP(K437,'GACETA 3'!$E$9:$F$75,2,0)</f>
        <v>Cultura</v>
      </c>
      <c r="M437" s="3" t="str">
        <f t="shared" si="6"/>
        <v>0103030101</v>
      </c>
      <c r="N437" s="3" t="str">
        <f>VLOOKUP(M437,GACETA!$A$1:$C$186,3,0)</f>
        <v>E</v>
      </c>
      <c r="O437" s="3" t="str">
        <f>VLOOKUP(M437,GACETA!$A$1:$C$186,2,0)</f>
        <v>Conservación, restauración y difusión del patrimonio cultural</v>
      </c>
      <c r="P437" s="247" t="s">
        <v>540</v>
      </c>
      <c r="Q437" s="247" t="s">
        <v>846</v>
      </c>
      <c r="R437" s="198" t="s">
        <v>1343</v>
      </c>
      <c r="S437" s="7" t="s">
        <v>86</v>
      </c>
      <c r="T437" s="7" t="s">
        <v>1344</v>
      </c>
      <c r="U437" s="158"/>
    </row>
    <row r="438" spans="1:21" ht="45" x14ac:dyDescent="0.3">
      <c r="A438" s="268"/>
      <c r="B438" s="291"/>
      <c r="C438" s="33" t="s">
        <v>829</v>
      </c>
      <c r="D438" s="39" t="s">
        <v>830</v>
      </c>
      <c r="E438" s="39" t="s">
        <v>830</v>
      </c>
      <c r="F438" s="39" t="s">
        <v>829</v>
      </c>
      <c r="G438" s="74" t="s">
        <v>829</v>
      </c>
      <c r="H438" s="39"/>
      <c r="I438" s="8" t="s">
        <v>52</v>
      </c>
      <c r="J438" s="8"/>
      <c r="K438" s="1">
        <v>150</v>
      </c>
      <c r="L438" s="3" t="str">
        <f>VLOOKUP(K438,'GACETA 3'!$E$9:$F$75,2,0)</f>
        <v>Cultura</v>
      </c>
      <c r="M438" s="3" t="str">
        <f t="shared" si="6"/>
        <v>0103030101</v>
      </c>
      <c r="N438" s="3" t="str">
        <f>VLOOKUP(M438,GACETA!$A$1:$C$186,3,0)</f>
        <v>E</v>
      </c>
      <c r="O438" s="3" t="str">
        <f>VLOOKUP(M438,GACETA!$A$1:$C$186,2,0)</f>
        <v>Conservación, restauración y difusión del patrimonio cultural</v>
      </c>
      <c r="P438" s="248"/>
      <c r="Q438" s="248"/>
      <c r="R438" s="198" t="s">
        <v>1345</v>
      </c>
      <c r="S438" s="7" t="s">
        <v>86</v>
      </c>
      <c r="T438" s="7" t="s">
        <v>1154</v>
      </c>
      <c r="U438" s="158"/>
    </row>
    <row r="439" spans="1:21" ht="45" x14ac:dyDescent="0.3">
      <c r="A439" s="268"/>
      <c r="B439" s="291"/>
      <c r="C439" s="33" t="s">
        <v>829</v>
      </c>
      <c r="D439" s="39" t="s">
        <v>830</v>
      </c>
      <c r="E439" s="39" t="s">
        <v>830</v>
      </c>
      <c r="F439" s="39" t="s">
        <v>829</v>
      </c>
      <c r="G439" s="74" t="s">
        <v>829</v>
      </c>
      <c r="H439" s="39"/>
      <c r="I439" s="8" t="s">
        <v>52</v>
      </c>
      <c r="J439" s="8"/>
      <c r="K439" s="1">
        <v>150</v>
      </c>
      <c r="L439" s="3" t="str">
        <f>VLOOKUP(K439,'GACETA 3'!$E$9:$F$75,2,0)</f>
        <v>Cultura</v>
      </c>
      <c r="M439" s="3" t="str">
        <f t="shared" si="6"/>
        <v>0103030101</v>
      </c>
      <c r="N439" s="3" t="str">
        <f>VLOOKUP(M439,GACETA!$A$1:$C$186,3,0)</f>
        <v>E</v>
      </c>
      <c r="O439" s="3" t="str">
        <f>VLOOKUP(M439,GACETA!$A$1:$C$186,2,0)</f>
        <v>Conservación, restauración y difusión del patrimonio cultural</v>
      </c>
      <c r="P439" s="249"/>
      <c r="Q439" s="249"/>
      <c r="R439" s="198" t="s">
        <v>1346</v>
      </c>
      <c r="S439" s="7" t="s">
        <v>86</v>
      </c>
      <c r="T439" s="7" t="s">
        <v>208</v>
      </c>
      <c r="U439" s="158"/>
    </row>
    <row r="440" spans="1:21" ht="45" x14ac:dyDescent="0.3">
      <c r="A440" s="268"/>
      <c r="B440" s="291"/>
      <c r="C440" s="33" t="s">
        <v>832</v>
      </c>
      <c r="D440" s="39" t="s">
        <v>836</v>
      </c>
      <c r="E440" s="39" t="s">
        <v>832</v>
      </c>
      <c r="F440" s="39" t="s">
        <v>829</v>
      </c>
      <c r="G440" s="74" t="s">
        <v>829</v>
      </c>
      <c r="H440" s="39"/>
      <c r="I440" s="8" t="s">
        <v>52</v>
      </c>
      <c r="J440" s="8"/>
      <c r="K440" s="1">
        <v>150</v>
      </c>
      <c r="L440" s="3" t="str">
        <f>VLOOKUP(K440,'GACETA 3'!$E$9:$F$75,2,0)</f>
        <v>Cultura</v>
      </c>
      <c r="M440" s="3" t="str">
        <f t="shared" si="6"/>
        <v>0204020101</v>
      </c>
      <c r="N440" s="3" t="str">
        <f>VLOOKUP(M440,GACETA!$A$1:$C$186,3,0)</f>
        <v>F</v>
      </c>
      <c r="O440" s="3" t="str">
        <f>VLOOKUP(M440,GACETA!$A$1:$C$186,2,0)</f>
        <v>Promoción y difusión de las manifestaciones artísticas y culturales</v>
      </c>
      <c r="P440" s="258" t="s">
        <v>542</v>
      </c>
      <c r="Q440" s="258" t="s">
        <v>1216</v>
      </c>
      <c r="R440" s="149" t="s">
        <v>1347</v>
      </c>
      <c r="S440" s="7" t="s">
        <v>86</v>
      </c>
      <c r="T440" s="7" t="s">
        <v>126</v>
      </c>
      <c r="U440" s="158"/>
    </row>
    <row r="441" spans="1:21" ht="45" x14ac:dyDescent="0.3">
      <c r="A441" s="268"/>
      <c r="B441" s="291"/>
      <c r="C441" s="33" t="s">
        <v>832</v>
      </c>
      <c r="D441" s="39" t="s">
        <v>836</v>
      </c>
      <c r="E441" s="39" t="s">
        <v>832</v>
      </c>
      <c r="F441" s="39" t="s">
        <v>829</v>
      </c>
      <c r="G441" s="74" t="s">
        <v>829</v>
      </c>
      <c r="H441" s="39"/>
      <c r="I441" s="8" t="s">
        <v>52</v>
      </c>
      <c r="J441" s="8"/>
      <c r="K441" s="1">
        <v>150</v>
      </c>
      <c r="L441" s="3" t="str">
        <f>VLOOKUP(K441,'GACETA 3'!$E$9:$F$75,2,0)</f>
        <v>Cultura</v>
      </c>
      <c r="M441" s="3" t="str">
        <f t="shared" si="6"/>
        <v>0204020101</v>
      </c>
      <c r="N441" s="3" t="str">
        <f>VLOOKUP(M441,GACETA!$A$1:$C$186,3,0)</f>
        <v>F</v>
      </c>
      <c r="O441" s="3" t="str">
        <f>VLOOKUP(M441,GACETA!$A$1:$C$186,2,0)</f>
        <v>Promoción y difusión de las manifestaciones artísticas y culturales</v>
      </c>
      <c r="P441" s="258"/>
      <c r="Q441" s="258"/>
      <c r="R441" s="149" t="s">
        <v>1348</v>
      </c>
      <c r="S441" s="7" t="s">
        <v>86</v>
      </c>
      <c r="T441" s="7" t="s">
        <v>1349</v>
      </c>
      <c r="U441" s="158"/>
    </row>
    <row r="442" spans="1:21" ht="45" x14ac:dyDescent="0.3">
      <c r="A442" s="268"/>
      <c r="B442" s="291"/>
      <c r="C442" s="33" t="s">
        <v>832</v>
      </c>
      <c r="D442" s="39" t="s">
        <v>836</v>
      </c>
      <c r="E442" s="39" t="s">
        <v>832</v>
      </c>
      <c r="F442" s="39" t="s">
        <v>829</v>
      </c>
      <c r="G442" s="74" t="s">
        <v>829</v>
      </c>
      <c r="H442" s="39"/>
      <c r="I442" s="8" t="s">
        <v>52</v>
      </c>
      <c r="J442" s="8"/>
      <c r="K442" s="1">
        <v>150</v>
      </c>
      <c r="L442" s="3" t="str">
        <f>VLOOKUP(K442,'GACETA 3'!$E$9:$F$75,2,0)</f>
        <v>Cultura</v>
      </c>
      <c r="M442" s="3" t="str">
        <f t="shared" si="6"/>
        <v>0204020101</v>
      </c>
      <c r="N442" s="3" t="str">
        <f>VLOOKUP(M442,GACETA!$A$1:$C$186,3,0)</f>
        <v>F</v>
      </c>
      <c r="O442" s="3" t="str">
        <f>VLOOKUP(M442,GACETA!$A$1:$C$186,2,0)</f>
        <v>Promoción y difusión de las manifestaciones artísticas y culturales</v>
      </c>
      <c r="P442" s="258"/>
      <c r="Q442" s="258"/>
      <c r="R442" s="149" t="s">
        <v>1350</v>
      </c>
      <c r="S442" s="7" t="s">
        <v>86</v>
      </c>
      <c r="T442" s="7" t="s">
        <v>126</v>
      </c>
      <c r="U442" s="158"/>
    </row>
    <row r="443" spans="1:21" ht="45" x14ac:dyDescent="0.3">
      <c r="A443" s="268"/>
      <c r="B443" s="291"/>
      <c r="C443" s="33" t="s">
        <v>832</v>
      </c>
      <c r="D443" s="39" t="s">
        <v>836</v>
      </c>
      <c r="E443" s="39" t="s">
        <v>832</v>
      </c>
      <c r="F443" s="39" t="s">
        <v>829</v>
      </c>
      <c r="G443" s="74" t="s">
        <v>829</v>
      </c>
      <c r="H443" s="39"/>
      <c r="I443" s="8" t="s">
        <v>52</v>
      </c>
      <c r="J443" s="8"/>
      <c r="K443" s="1">
        <v>150</v>
      </c>
      <c r="L443" s="3" t="str">
        <f>VLOOKUP(K443,'GACETA 3'!$E$9:$F$75,2,0)</f>
        <v>Cultura</v>
      </c>
      <c r="M443" s="3" t="str">
        <f t="shared" si="6"/>
        <v>0204020101</v>
      </c>
      <c r="N443" s="3" t="str">
        <f>VLOOKUP(M443,GACETA!$A$1:$C$186,3,0)</f>
        <v>F</v>
      </c>
      <c r="O443" s="3" t="str">
        <f>VLOOKUP(M443,GACETA!$A$1:$C$186,2,0)</f>
        <v>Promoción y difusión de las manifestaciones artísticas y culturales</v>
      </c>
      <c r="P443" s="258"/>
      <c r="Q443" s="258"/>
      <c r="R443" s="149" t="s">
        <v>1351</v>
      </c>
      <c r="S443" s="7" t="s">
        <v>86</v>
      </c>
      <c r="T443" s="7" t="s">
        <v>504</v>
      </c>
      <c r="U443" s="158"/>
    </row>
    <row r="444" spans="1:21" ht="45" x14ac:dyDescent="0.3">
      <c r="A444" s="268"/>
      <c r="B444" s="291"/>
      <c r="C444" s="33" t="s">
        <v>832</v>
      </c>
      <c r="D444" s="39" t="s">
        <v>836</v>
      </c>
      <c r="E444" s="39" t="s">
        <v>832</v>
      </c>
      <c r="F444" s="39" t="s">
        <v>829</v>
      </c>
      <c r="G444" s="74" t="s">
        <v>829</v>
      </c>
      <c r="H444" s="39"/>
      <c r="I444" s="8" t="s">
        <v>52</v>
      </c>
      <c r="J444" s="8"/>
      <c r="K444" s="1">
        <v>150</v>
      </c>
      <c r="L444" s="3" t="str">
        <f>VLOOKUP(K444,'GACETA 3'!$E$9:$F$75,2,0)</f>
        <v>Cultura</v>
      </c>
      <c r="M444" s="3" t="str">
        <f t="shared" si="6"/>
        <v>0204020101</v>
      </c>
      <c r="N444" s="3" t="str">
        <f>VLOOKUP(M444,GACETA!$A$1:$C$186,3,0)</f>
        <v>F</v>
      </c>
      <c r="O444" s="3" t="str">
        <f>VLOOKUP(M444,GACETA!$A$1:$C$186,2,0)</f>
        <v>Promoción y difusión de las manifestaciones artísticas y culturales</v>
      </c>
      <c r="P444" s="258"/>
      <c r="Q444" s="258"/>
      <c r="R444" s="149" t="s">
        <v>1352</v>
      </c>
      <c r="S444" s="7" t="s">
        <v>86</v>
      </c>
      <c r="T444" s="7" t="s">
        <v>181</v>
      </c>
      <c r="U444" s="158"/>
    </row>
    <row r="445" spans="1:21" ht="45" x14ac:dyDescent="0.3">
      <c r="A445" s="268"/>
      <c r="B445" s="291"/>
      <c r="C445" s="33" t="s">
        <v>832</v>
      </c>
      <c r="D445" s="39" t="s">
        <v>836</v>
      </c>
      <c r="E445" s="39" t="s">
        <v>832</v>
      </c>
      <c r="F445" s="39" t="s">
        <v>829</v>
      </c>
      <c r="G445" s="74" t="s">
        <v>829</v>
      </c>
      <c r="H445" s="39"/>
      <c r="I445" s="8" t="s">
        <v>52</v>
      </c>
      <c r="J445" s="8"/>
      <c r="K445" s="1">
        <v>150</v>
      </c>
      <c r="L445" s="3" t="str">
        <f>VLOOKUP(K445,'GACETA 3'!$E$9:$F$75,2,0)</f>
        <v>Cultura</v>
      </c>
      <c r="M445" s="3" t="str">
        <f t="shared" si="6"/>
        <v>0204020101</v>
      </c>
      <c r="N445" s="3" t="str">
        <f>VLOOKUP(M445,GACETA!$A$1:$C$186,3,0)</f>
        <v>F</v>
      </c>
      <c r="O445" s="3" t="str">
        <f>VLOOKUP(M445,GACETA!$A$1:$C$186,2,0)</f>
        <v>Promoción y difusión de las manifestaciones artísticas y culturales</v>
      </c>
      <c r="P445" s="258"/>
      <c r="Q445" s="258"/>
      <c r="R445" s="149" t="s">
        <v>1353</v>
      </c>
      <c r="S445" s="7" t="s">
        <v>86</v>
      </c>
      <c r="T445" s="7" t="s">
        <v>1154</v>
      </c>
      <c r="U445" s="158"/>
    </row>
    <row r="446" spans="1:21" ht="45" x14ac:dyDescent="0.3">
      <c r="A446" s="268"/>
      <c r="B446" s="291"/>
      <c r="C446" s="33" t="s">
        <v>832</v>
      </c>
      <c r="D446" s="39" t="s">
        <v>836</v>
      </c>
      <c r="E446" s="39" t="s">
        <v>832</v>
      </c>
      <c r="F446" s="39" t="s">
        <v>829</v>
      </c>
      <c r="G446" s="74" t="s">
        <v>829</v>
      </c>
      <c r="H446" s="39"/>
      <c r="I446" s="8" t="s">
        <v>52</v>
      </c>
      <c r="J446" s="8"/>
      <c r="K446" s="1">
        <v>150</v>
      </c>
      <c r="L446" s="3" t="str">
        <f>VLOOKUP(K446,'GACETA 3'!$E$9:$F$75,2,0)</f>
        <v>Cultura</v>
      </c>
      <c r="M446" s="3" t="str">
        <f t="shared" si="6"/>
        <v>0204020101</v>
      </c>
      <c r="N446" s="3" t="str">
        <f>VLOOKUP(M446,GACETA!$A$1:$C$186,3,0)</f>
        <v>F</v>
      </c>
      <c r="O446" s="3" t="str">
        <f>VLOOKUP(M446,GACETA!$A$1:$C$186,2,0)</f>
        <v>Promoción y difusión de las manifestaciones artísticas y culturales</v>
      </c>
      <c r="P446" s="258"/>
      <c r="Q446" s="258"/>
      <c r="R446" s="149" t="s">
        <v>1354</v>
      </c>
      <c r="S446" s="7" t="s">
        <v>86</v>
      </c>
      <c r="T446" s="7" t="s">
        <v>465</v>
      </c>
      <c r="U446" s="158"/>
    </row>
    <row r="447" spans="1:21" ht="17.25" customHeight="1" x14ac:dyDescent="0.3">
      <c r="A447" s="255" t="s">
        <v>23</v>
      </c>
      <c r="B447" s="272" t="s">
        <v>960</v>
      </c>
      <c r="C447" s="33" t="s">
        <v>829</v>
      </c>
      <c r="D447" s="42" t="s">
        <v>833</v>
      </c>
      <c r="E447" s="42" t="s">
        <v>832</v>
      </c>
      <c r="F447" s="42" t="s">
        <v>835</v>
      </c>
      <c r="G447" s="61" t="s">
        <v>832</v>
      </c>
      <c r="H447" s="42"/>
      <c r="I447" s="15" t="s">
        <v>23</v>
      </c>
      <c r="J447" s="15"/>
      <c r="K447" s="15">
        <v>101</v>
      </c>
      <c r="L447" s="3" t="e">
        <f>VLOOKUP(K447,'GACETA 3'!$E$9:$F$75,2,0)</f>
        <v>#N/A</v>
      </c>
      <c r="M447" s="3" t="str">
        <f t="shared" si="6"/>
        <v>0105020602</v>
      </c>
      <c r="N447" s="3" t="str">
        <f>VLOOKUP(M447,GACETA!$A$1:$C$186,3,0)</f>
        <v>M</v>
      </c>
      <c r="O447" s="3" t="str">
        <f>VLOOKUP(M447,GACETA!$A$1:$C$186,2,0)</f>
        <v>Capacitación y profesionalización para el desarrollo del personal</v>
      </c>
      <c r="P447" s="239" t="s">
        <v>164</v>
      </c>
      <c r="Q447" s="254" t="s">
        <v>1219</v>
      </c>
      <c r="R447" s="147"/>
      <c r="S447" s="7" t="s">
        <v>86</v>
      </c>
      <c r="T447" s="7"/>
      <c r="U447" s="197"/>
    </row>
    <row r="448" spans="1:21" ht="45" x14ac:dyDescent="0.3">
      <c r="A448" s="256"/>
      <c r="B448" s="273"/>
      <c r="C448" s="33" t="s">
        <v>829</v>
      </c>
      <c r="D448" s="42" t="s">
        <v>833</v>
      </c>
      <c r="E448" s="42" t="s">
        <v>832</v>
      </c>
      <c r="F448" s="42" t="s">
        <v>835</v>
      </c>
      <c r="G448" s="61" t="s">
        <v>832</v>
      </c>
      <c r="H448" s="42"/>
      <c r="I448" s="15" t="s">
        <v>23</v>
      </c>
      <c r="J448" s="15"/>
      <c r="K448" s="15">
        <v>101</v>
      </c>
      <c r="L448" s="3" t="e">
        <f>VLOOKUP(K448,'GACETA 3'!$E$9:$F$75,2,0)</f>
        <v>#N/A</v>
      </c>
      <c r="M448" s="3" t="str">
        <f t="shared" si="6"/>
        <v>0105020602</v>
      </c>
      <c r="N448" s="3" t="str">
        <f>VLOOKUP(M448,GACETA!$A$1:$C$186,3,0)</f>
        <v>M</v>
      </c>
      <c r="O448" s="3" t="str">
        <f>VLOOKUP(M448,GACETA!$A$1:$C$186,2,0)</f>
        <v>Capacitación y profesionalización para el desarrollo del personal</v>
      </c>
      <c r="P448" s="243"/>
      <c r="Q448" s="254"/>
      <c r="R448" s="147"/>
      <c r="S448" s="7" t="s">
        <v>86</v>
      </c>
      <c r="T448" s="7"/>
      <c r="U448" s="197"/>
    </row>
    <row r="449" spans="1:21" ht="45" x14ac:dyDescent="0.3">
      <c r="A449" s="256"/>
      <c r="B449" s="273"/>
      <c r="C449" s="33" t="s">
        <v>829</v>
      </c>
      <c r="D449" s="42" t="s">
        <v>833</v>
      </c>
      <c r="E449" s="42" t="s">
        <v>832</v>
      </c>
      <c r="F449" s="42" t="s">
        <v>835</v>
      </c>
      <c r="G449" s="61" t="s">
        <v>832</v>
      </c>
      <c r="H449" s="42"/>
      <c r="I449" s="15" t="s">
        <v>23</v>
      </c>
      <c r="J449" s="15"/>
      <c r="K449" s="15">
        <v>101</v>
      </c>
      <c r="L449" s="3" t="e">
        <f>VLOOKUP(K449,'GACETA 3'!$E$9:$F$75,2,0)</f>
        <v>#N/A</v>
      </c>
      <c r="M449" s="3" t="str">
        <f t="shared" si="6"/>
        <v>0105020602</v>
      </c>
      <c r="N449" s="3" t="str">
        <f>VLOOKUP(M449,GACETA!$A$1:$C$186,3,0)</f>
        <v>M</v>
      </c>
      <c r="O449" s="3" t="str">
        <f>VLOOKUP(M449,GACETA!$A$1:$C$186,2,0)</f>
        <v>Capacitación y profesionalización para el desarrollo del personal</v>
      </c>
      <c r="P449" s="243"/>
      <c r="Q449" s="254"/>
      <c r="R449" s="147"/>
      <c r="S449" s="7" t="s">
        <v>86</v>
      </c>
      <c r="T449" s="7"/>
      <c r="U449" s="197"/>
    </row>
    <row r="450" spans="1:21" ht="45" x14ac:dyDescent="0.3">
      <c r="A450" s="256"/>
      <c r="B450" s="273"/>
      <c r="C450" s="33" t="s">
        <v>829</v>
      </c>
      <c r="D450" s="42" t="s">
        <v>833</v>
      </c>
      <c r="E450" s="42" t="s">
        <v>832</v>
      </c>
      <c r="F450" s="42" t="s">
        <v>835</v>
      </c>
      <c r="G450" s="61" t="s">
        <v>832</v>
      </c>
      <c r="H450" s="42"/>
      <c r="I450" s="15" t="s">
        <v>23</v>
      </c>
      <c r="J450" s="15"/>
      <c r="K450" s="15">
        <v>101</v>
      </c>
      <c r="L450" s="3" t="e">
        <f>VLOOKUP(K450,'GACETA 3'!$E$9:$F$75,2,0)</f>
        <v>#N/A</v>
      </c>
      <c r="M450" s="3" t="str">
        <f t="shared" si="6"/>
        <v>0105020602</v>
      </c>
      <c r="N450" s="3" t="str">
        <f>VLOOKUP(M450,GACETA!$A$1:$C$186,3,0)</f>
        <v>M</v>
      </c>
      <c r="O450" s="3" t="str">
        <f>VLOOKUP(M450,GACETA!$A$1:$C$186,2,0)</f>
        <v>Capacitación y profesionalización para el desarrollo del personal</v>
      </c>
      <c r="P450" s="243"/>
      <c r="Q450" s="254"/>
      <c r="R450" s="147"/>
      <c r="S450" s="7" t="s">
        <v>86</v>
      </c>
      <c r="T450" s="7"/>
      <c r="U450" s="197"/>
    </row>
    <row r="451" spans="1:21" x14ac:dyDescent="0.3">
      <c r="A451" s="256"/>
      <c r="B451" s="273"/>
      <c r="C451" s="33" t="s">
        <v>829</v>
      </c>
      <c r="D451" s="42" t="s">
        <v>833</v>
      </c>
      <c r="E451" s="42" t="s">
        <v>832</v>
      </c>
      <c r="F451" s="42" t="s">
        <v>835</v>
      </c>
      <c r="G451" s="61" t="s">
        <v>831</v>
      </c>
      <c r="H451" s="42"/>
      <c r="I451" s="15" t="s">
        <v>23</v>
      </c>
      <c r="J451" s="15"/>
      <c r="K451" s="15">
        <v>101</v>
      </c>
      <c r="L451" s="3" t="e">
        <f>VLOOKUP(K451,'GACETA 3'!$E$9:$F$75,2,0)</f>
        <v>#N/A</v>
      </c>
      <c r="M451" s="3" t="str">
        <f t="shared" ref="M451:M497" si="7">CONCATENATE(C451,D451,E451,F451,G451)</f>
        <v>0105020609</v>
      </c>
      <c r="N451" s="3" t="str">
        <f>VLOOKUP(M451,GACETA!$A$1:$C$186,3,0)</f>
        <v>M</v>
      </c>
      <c r="O451" s="3" t="str">
        <f>VLOOKUP(M451,GACETA!$A$1:$C$186,2,0)</f>
        <v>Desarrollo institucional</v>
      </c>
      <c r="P451" s="243"/>
      <c r="Q451" s="239" t="s">
        <v>652</v>
      </c>
      <c r="R451" s="147"/>
      <c r="S451" s="7"/>
      <c r="T451" s="7"/>
      <c r="U451" s="197"/>
    </row>
    <row r="452" spans="1:21" x14ac:dyDescent="0.3">
      <c r="A452" s="256"/>
      <c r="B452" s="273"/>
      <c r="C452" s="33" t="s">
        <v>829</v>
      </c>
      <c r="D452" s="42" t="s">
        <v>833</v>
      </c>
      <c r="E452" s="42" t="s">
        <v>832</v>
      </c>
      <c r="F452" s="42" t="s">
        <v>835</v>
      </c>
      <c r="G452" s="61" t="s">
        <v>831</v>
      </c>
      <c r="H452" s="42"/>
      <c r="I452" s="15" t="s">
        <v>23</v>
      </c>
      <c r="J452" s="15"/>
      <c r="K452" s="15">
        <v>101</v>
      </c>
      <c r="L452" s="3" t="e">
        <f>VLOOKUP(K452,'GACETA 3'!$E$9:$F$75,2,0)</f>
        <v>#N/A</v>
      </c>
      <c r="M452" s="3" t="str">
        <f t="shared" si="7"/>
        <v>0105020609</v>
      </c>
      <c r="N452" s="3" t="str">
        <f>VLOOKUP(M452,GACETA!$A$1:$C$186,3,0)</f>
        <v>M</v>
      </c>
      <c r="O452" s="3" t="str">
        <f>VLOOKUP(M452,GACETA!$A$1:$C$186,2,0)</f>
        <v>Desarrollo institucional</v>
      </c>
      <c r="P452" s="243"/>
      <c r="Q452" s="243"/>
      <c r="R452" s="147"/>
      <c r="S452" s="7"/>
      <c r="T452" s="7"/>
      <c r="U452" s="197"/>
    </row>
    <row r="453" spans="1:21" x14ac:dyDescent="0.3">
      <c r="A453" s="256"/>
      <c r="B453" s="273"/>
      <c r="C453" s="33" t="s">
        <v>829</v>
      </c>
      <c r="D453" s="42" t="s">
        <v>833</v>
      </c>
      <c r="E453" s="42" t="s">
        <v>832</v>
      </c>
      <c r="F453" s="42" t="s">
        <v>835</v>
      </c>
      <c r="G453" s="61" t="s">
        <v>831</v>
      </c>
      <c r="H453" s="42"/>
      <c r="I453" s="15" t="s">
        <v>23</v>
      </c>
      <c r="J453" s="15"/>
      <c r="K453" s="15">
        <v>101</v>
      </c>
      <c r="L453" s="3" t="e">
        <f>VLOOKUP(K453,'GACETA 3'!$E$9:$F$75,2,0)</f>
        <v>#N/A</v>
      </c>
      <c r="M453" s="3" t="str">
        <f t="shared" si="7"/>
        <v>0105020609</v>
      </c>
      <c r="N453" s="3" t="str">
        <f>VLOOKUP(M453,GACETA!$A$1:$C$186,3,0)</f>
        <v>M</v>
      </c>
      <c r="O453" s="3" t="str">
        <f>VLOOKUP(M453,GACETA!$A$1:$C$186,2,0)</f>
        <v>Desarrollo institucional</v>
      </c>
      <c r="P453" s="240"/>
      <c r="Q453" s="240"/>
      <c r="R453" s="147"/>
      <c r="S453" s="7"/>
      <c r="T453" s="7"/>
      <c r="U453" s="197"/>
    </row>
    <row r="454" spans="1:21" ht="45" x14ac:dyDescent="0.3">
      <c r="A454" s="256"/>
      <c r="B454" s="273"/>
      <c r="C454" s="33" t="s">
        <v>829</v>
      </c>
      <c r="D454" s="42" t="s">
        <v>833</v>
      </c>
      <c r="E454" s="42" t="s">
        <v>832</v>
      </c>
      <c r="F454" s="42" t="s">
        <v>833</v>
      </c>
      <c r="G454" s="61" t="s">
        <v>834</v>
      </c>
      <c r="H454" s="42"/>
      <c r="I454" s="15" t="s">
        <v>23</v>
      </c>
      <c r="J454" s="15"/>
      <c r="K454" s="15">
        <v>101</v>
      </c>
      <c r="L454" s="3" t="e">
        <f>VLOOKUP(K454,'GACETA 3'!$E$9:$F$75,2,0)</f>
        <v>#N/A</v>
      </c>
      <c r="M454" s="3" t="str">
        <f t="shared" si="7"/>
        <v>0105020508</v>
      </c>
      <c r="N454" s="3" t="str">
        <f>VLOOKUP(M454,GACETA!$A$1:$C$186,3,0)</f>
        <v>P</v>
      </c>
      <c r="O454" s="3" t="str">
        <f>VLOOKUP(M454,GACETA!$A$1:$C$186,2,0)</f>
        <v>Planeación y evaluación para el desarrollo municipal</v>
      </c>
      <c r="P454" s="254" t="s">
        <v>407</v>
      </c>
      <c r="Q454" s="254" t="s">
        <v>659</v>
      </c>
      <c r="R454" s="204" t="s">
        <v>1355</v>
      </c>
      <c r="S454" s="7" t="s">
        <v>86</v>
      </c>
      <c r="T454" s="203" t="s">
        <v>748</v>
      </c>
      <c r="U454" s="158"/>
    </row>
    <row r="455" spans="1:21" ht="45" x14ac:dyDescent="0.3">
      <c r="A455" s="256"/>
      <c r="B455" s="273"/>
      <c r="C455" s="33" t="s">
        <v>829</v>
      </c>
      <c r="D455" s="42" t="s">
        <v>833</v>
      </c>
      <c r="E455" s="42" t="s">
        <v>832</v>
      </c>
      <c r="F455" s="42" t="s">
        <v>833</v>
      </c>
      <c r="G455" s="61" t="s">
        <v>834</v>
      </c>
      <c r="H455" s="42"/>
      <c r="I455" s="15" t="s">
        <v>23</v>
      </c>
      <c r="J455" s="15"/>
      <c r="K455" s="15">
        <v>101</v>
      </c>
      <c r="L455" s="3" t="e">
        <f>VLOOKUP(K455,'GACETA 3'!$E$9:$F$75,2,0)</f>
        <v>#N/A</v>
      </c>
      <c r="M455" s="3" t="str">
        <f t="shared" si="7"/>
        <v>0105020508</v>
      </c>
      <c r="N455" s="3" t="str">
        <f>VLOOKUP(M455,GACETA!$A$1:$C$186,3,0)</f>
        <v>P</v>
      </c>
      <c r="O455" s="3" t="str">
        <f>VLOOKUP(M455,GACETA!$A$1:$C$186,2,0)</f>
        <v>Planeación y evaluación para el desarrollo municipal</v>
      </c>
      <c r="P455" s="254"/>
      <c r="Q455" s="254"/>
      <c r="R455" s="204" t="s">
        <v>1356</v>
      </c>
      <c r="S455" s="7" t="s">
        <v>86</v>
      </c>
      <c r="T455" s="203" t="s">
        <v>414</v>
      </c>
      <c r="U455" s="158"/>
    </row>
    <row r="456" spans="1:21" ht="45" x14ac:dyDescent="0.3">
      <c r="A456" s="256"/>
      <c r="B456" s="273"/>
      <c r="C456" s="33" t="s">
        <v>829</v>
      </c>
      <c r="D456" s="42" t="s">
        <v>833</v>
      </c>
      <c r="E456" s="42" t="s">
        <v>832</v>
      </c>
      <c r="F456" s="42" t="s">
        <v>833</v>
      </c>
      <c r="G456" s="61" t="s">
        <v>834</v>
      </c>
      <c r="H456" s="42"/>
      <c r="I456" s="15" t="s">
        <v>23</v>
      </c>
      <c r="J456" s="15"/>
      <c r="K456" s="15">
        <v>101</v>
      </c>
      <c r="L456" s="3" t="e">
        <f>VLOOKUP(K456,'GACETA 3'!$E$9:$F$75,2,0)</f>
        <v>#N/A</v>
      </c>
      <c r="M456" s="3" t="str">
        <f t="shared" si="7"/>
        <v>0105020508</v>
      </c>
      <c r="N456" s="3" t="str">
        <f>VLOOKUP(M456,GACETA!$A$1:$C$186,3,0)</f>
        <v>P</v>
      </c>
      <c r="O456" s="3" t="str">
        <f>VLOOKUP(M456,GACETA!$A$1:$C$186,2,0)</f>
        <v>Planeación y evaluación para el desarrollo municipal</v>
      </c>
      <c r="P456" s="254"/>
      <c r="Q456" s="254"/>
      <c r="R456" s="204" t="s">
        <v>1357</v>
      </c>
      <c r="S456" s="7" t="s">
        <v>86</v>
      </c>
      <c r="T456" s="203" t="s">
        <v>414</v>
      </c>
      <c r="U456" s="158"/>
    </row>
    <row r="457" spans="1:21" ht="45" x14ac:dyDescent="0.3">
      <c r="A457" s="256"/>
      <c r="B457" s="273"/>
      <c r="C457" s="33" t="s">
        <v>829</v>
      </c>
      <c r="D457" s="42" t="s">
        <v>833</v>
      </c>
      <c r="E457" s="42" t="s">
        <v>832</v>
      </c>
      <c r="F457" s="42" t="s">
        <v>833</v>
      </c>
      <c r="G457" s="61" t="s">
        <v>834</v>
      </c>
      <c r="H457" s="42"/>
      <c r="I457" s="15" t="s">
        <v>23</v>
      </c>
      <c r="J457" s="15"/>
      <c r="K457" s="15">
        <v>101</v>
      </c>
      <c r="L457" s="3" t="e">
        <f>VLOOKUP(K457,'GACETA 3'!$E$9:$F$75,2,0)</f>
        <v>#N/A</v>
      </c>
      <c r="M457" s="3" t="str">
        <f t="shared" si="7"/>
        <v>0105020508</v>
      </c>
      <c r="N457" s="3" t="str">
        <f>VLOOKUP(M457,GACETA!$A$1:$C$186,3,0)</f>
        <v>P</v>
      </c>
      <c r="O457" s="3" t="str">
        <f>VLOOKUP(M457,GACETA!$A$1:$C$186,2,0)</f>
        <v>Planeación y evaluación para el desarrollo municipal</v>
      </c>
      <c r="P457" s="254"/>
      <c r="Q457" s="254"/>
      <c r="R457" s="204" t="s">
        <v>1358</v>
      </c>
      <c r="S457" s="7" t="s">
        <v>86</v>
      </c>
      <c r="T457" s="203" t="s">
        <v>392</v>
      </c>
      <c r="U457" s="158"/>
    </row>
    <row r="458" spans="1:21" ht="45" x14ac:dyDescent="0.3">
      <c r="A458" s="256"/>
      <c r="B458" s="273"/>
      <c r="C458" s="33" t="s">
        <v>829</v>
      </c>
      <c r="D458" s="42" t="s">
        <v>833</v>
      </c>
      <c r="E458" s="42" t="s">
        <v>832</v>
      </c>
      <c r="F458" s="42" t="s">
        <v>833</v>
      </c>
      <c r="G458" s="61" t="s">
        <v>834</v>
      </c>
      <c r="H458" s="42"/>
      <c r="I458" s="15" t="s">
        <v>23</v>
      </c>
      <c r="J458" s="15"/>
      <c r="K458" s="15">
        <v>101</v>
      </c>
      <c r="L458" s="3" t="e">
        <f>VLOOKUP(K458,'GACETA 3'!$E$9:$F$75,2,0)</f>
        <v>#N/A</v>
      </c>
      <c r="M458" s="3" t="str">
        <f t="shared" si="7"/>
        <v>0105020508</v>
      </c>
      <c r="N458" s="3" t="str">
        <f>VLOOKUP(M458,GACETA!$A$1:$C$186,3,0)</f>
        <v>P</v>
      </c>
      <c r="O458" s="3" t="str">
        <f>VLOOKUP(M458,GACETA!$A$1:$C$186,2,0)</f>
        <v>Planeación y evaluación para el desarrollo municipal</v>
      </c>
      <c r="P458" s="254"/>
      <c r="Q458" s="254"/>
      <c r="R458" s="204" t="s">
        <v>1359</v>
      </c>
      <c r="S458" s="7" t="s">
        <v>86</v>
      </c>
      <c r="T458" s="203" t="s">
        <v>1063</v>
      </c>
      <c r="U458" s="158"/>
    </row>
    <row r="459" spans="1:21" ht="45" x14ac:dyDescent="0.3">
      <c r="A459" s="256"/>
      <c r="B459" s="273"/>
      <c r="C459" s="33" t="s">
        <v>829</v>
      </c>
      <c r="D459" s="42" t="s">
        <v>834</v>
      </c>
      <c r="E459" s="42" t="s">
        <v>836</v>
      </c>
      <c r="F459" s="42" t="s">
        <v>829</v>
      </c>
      <c r="G459" s="61" t="s">
        <v>829</v>
      </c>
      <c r="H459" s="42"/>
      <c r="I459" s="15" t="s">
        <v>23</v>
      </c>
      <c r="J459" s="15"/>
      <c r="K459" s="15">
        <v>122</v>
      </c>
      <c r="L459" s="3" t="str">
        <f>VLOOKUP(K459,'GACETA 3'!$E$9:$F$75,2,0)</f>
        <v>Unidad de Transparencia</v>
      </c>
      <c r="M459" s="3" t="str">
        <f t="shared" si="7"/>
        <v>0108040101</v>
      </c>
      <c r="N459" s="3" t="str">
        <f>VLOOKUP(M459,GACETA!$A$1:$C$186,3,0)</f>
        <v>E</v>
      </c>
      <c r="O459" s="3" t="str">
        <f>VLOOKUP(M459,GACETA!$A$1:$C$186,2,0)</f>
        <v>Vinculación ciudadana con la administración pública</v>
      </c>
      <c r="P459" s="239" t="s">
        <v>669</v>
      </c>
      <c r="Q459" s="239" t="s">
        <v>670</v>
      </c>
      <c r="R459" s="147" t="s">
        <v>1360</v>
      </c>
      <c r="S459" s="7" t="s">
        <v>86</v>
      </c>
      <c r="T459" s="7" t="s">
        <v>465</v>
      </c>
      <c r="U459" s="158"/>
    </row>
    <row r="460" spans="1:21" ht="45" x14ac:dyDescent="0.3">
      <c r="A460" s="256"/>
      <c r="B460" s="273"/>
      <c r="C460" s="33" t="s">
        <v>829</v>
      </c>
      <c r="D460" s="42" t="s">
        <v>834</v>
      </c>
      <c r="E460" s="42" t="s">
        <v>836</v>
      </c>
      <c r="F460" s="42" t="s">
        <v>829</v>
      </c>
      <c r="G460" s="61" t="s">
        <v>829</v>
      </c>
      <c r="H460" s="42"/>
      <c r="I460" s="15" t="s">
        <v>23</v>
      </c>
      <c r="J460" s="15"/>
      <c r="K460" s="15">
        <v>122</v>
      </c>
      <c r="L460" s="3" t="str">
        <f>VLOOKUP(K460,'GACETA 3'!$E$9:$F$75,2,0)</f>
        <v>Unidad de Transparencia</v>
      </c>
      <c r="M460" s="3" t="str">
        <f t="shared" si="7"/>
        <v>0108040101</v>
      </c>
      <c r="N460" s="3" t="str">
        <f>VLOOKUP(M460,GACETA!$A$1:$C$186,3,0)</f>
        <v>E</v>
      </c>
      <c r="O460" s="3" t="str">
        <f>VLOOKUP(M460,GACETA!$A$1:$C$186,2,0)</f>
        <v>Vinculación ciudadana con la administración pública</v>
      </c>
      <c r="P460" s="243"/>
      <c r="Q460" s="243"/>
      <c r="R460" s="147" t="s">
        <v>1361</v>
      </c>
      <c r="S460" s="7" t="s">
        <v>86</v>
      </c>
      <c r="T460" s="7" t="s">
        <v>1365</v>
      </c>
      <c r="U460" s="158"/>
    </row>
    <row r="461" spans="1:21" ht="45" x14ac:dyDescent="0.3">
      <c r="A461" s="256"/>
      <c r="B461" s="273"/>
      <c r="C461" s="33" t="s">
        <v>829</v>
      </c>
      <c r="D461" s="42" t="s">
        <v>834</v>
      </c>
      <c r="E461" s="42" t="s">
        <v>836</v>
      </c>
      <c r="F461" s="42" t="s">
        <v>829</v>
      </c>
      <c r="G461" s="61" t="s">
        <v>829</v>
      </c>
      <c r="H461" s="42"/>
      <c r="I461" s="15" t="s">
        <v>23</v>
      </c>
      <c r="J461" s="15"/>
      <c r="K461" s="15">
        <v>122</v>
      </c>
      <c r="L461" s="3" t="str">
        <f>VLOOKUP(K461,'GACETA 3'!$E$9:$F$75,2,0)</f>
        <v>Unidad de Transparencia</v>
      </c>
      <c r="M461" s="3" t="str">
        <f t="shared" si="7"/>
        <v>0108040101</v>
      </c>
      <c r="N461" s="3" t="str">
        <f>VLOOKUP(M461,GACETA!$A$1:$C$186,3,0)</f>
        <v>E</v>
      </c>
      <c r="O461" s="3" t="str">
        <f>VLOOKUP(M461,GACETA!$A$1:$C$186,2,0)</f>
        <v>Vinculación ciudadana con la administración pública</v>
      </c>
      <c r="P461" s="243"/>
      <c r="Q461" s="243"/>
      <c r="R461" s="147" t="s">
        <v>1362</v>
      </c>
      <c r="S461" s="7" t="s">
        <v>86</v>
      </c>
      <c r="T461" s="7" t="s">
        <v>406</v>
      </c>
      <c r="U461" s="158"/>
    </row>
    <row r="462" spans="1:21" ht="51.75" customHeight="1" x14ac:dyDescent="0.3">
      <c r="A462" s="256"/>
      <c r="B462" s="273"/>
      <c r="C462" s="33" t="s">
        <v>829</v>
      </c>
      <c r="D462" s="42" t="s">
        <v>834</v>
      </c>
      <c r="E462" s="42" t="s">
        <v>836</v>
      </c>
      <c r="F462" s="42" t="s">
        <v>829</v>
      </c>
      <c r="G462" s="61" t="s">
        <v>829</v>
      </c>
      <c r="H462" s="42"/>
      <c r="I462" s="15" t="s">
        <v>23</v>
      </c>
      <c r="J462" s="15"/>
      <c r="K462" s="15">
        <v>122</v>
      </c>
      <c r="L462" s="3" t="str">
        <f>VLOOKUP(K462,'GACETA 3'!$E$9:$F$75,2,0)</f>
        <v>Unidad de Transparencia</v>
      </c>
      <c r="M462" s="3" t="str">
        <f t="shared" si="7"/>
        <v>0108040101</v>
      </c>
      <c r="N462" s="3" t="str">
        <f>VLOOKUP(M462,GACETA!$A$1:$C$186,3,0)</f>
        <v>E</v>
      </c>
      <c r="O462" s="3" t="str">
        <f>VLOOKUP(M462,GACETA!$A$1:$C$186,2,0)</f>
        <v>Vinculación ciudadana con la administración pública</v>
      </c>
      <c r="P462" s="243"/>
      <c r="Q462" s="243"/>
      <c r="R462" s="147" t="s">
        <v>1363</v>
      </c>
      <c r="S462" s="7" t="s">
        <v>86</v>
      </c>
      <c r="T462" s="7" t="s">
        <v>748</v>
      </c>
      <c r="U462" s="158"/>
    </row>
    <row r="463" spans="1:21" ht="58.5" customHeight="1" x14ac:dyDescent="0.3">
      <c r="A463" s="256"/>
      <c r="B463" s="273"/>
      <c r="C463" s="33" t="s">
        <v>829</v>
      </c>
      <c r="D463" s="42" t="s">
        <v>834</v>
      </c>
      <c r="E463" s="42" t="s">
        <v>836</v>
      </c>
      <c r="F463" s="42" t="s">
        <v>829</v>
      </c>
      <c r="G463" s="61" t="s">
        <v>829</v>
      </c>
      <c r="H463" s="42"/>
      <c r="I463" s="15" t="s">
        <v>23</v>
      </c>
      <c r="J463" s="15"/>
      <c r="K463" s="15">
        <v>122</v>
      </c>
      <c r="L463" s="3" t="str">
        <f>VLOOKUP(K463,'GACETA 3'!$E$9:$F$75,2,0)</f>
        <v>Unidad de Transparencia</v>
      </c>
      <c r="M463" s="3" t="str">
        <f t="shared" si="7"/>
        <v>0108040101</v>
      </c>
      <c r="N463" s="3" t="str">
        <f>VLOOKUP(M463,GACETA!$A$1:$C$186,3,0)</f>
        <v>E</v>
      </c>
      <c r="O463" s="3" t="str">
        <f>VLOOKUP(M463,GACETA!$A$1:$C$186,2,0)</f>
        <v>Vinculación ciudadana con la administración pública</v>
      </c>
      <c r="P463" s="240"/>
      <c r="Q463" s="240"/>
      <c r="R463" s="147" t="s">
        <v>1364</v>
      </c>
      <c r="S463" s="7" t="s">
        <v>86</v>
      </c>
      <c r="T463" s="7" t="s">
        <v>1071</v>
      </c>
      <c r="U463" s="158"/>
    </row>
    <row r="464" spans="1:21" ht="30" x14ac:dyDescent="0.3">
      <c r="A464" s="256"/>
      <c r="B464" s="273"/>
      <c r="C464" s="207" t="s">
        <v>829</v>
      </c>
      <c r="D464" s="208" t="s">
        <v>834</v>
      </c>
      <c r="E464" s="208" t="s">
        <v>829</v>
      </c>
      <c r="F464" s="208" t="s">
        <v>829</v>
      </c>
      <c r="G464" s="206" t="s">
        <v>829</v>
      </c>
      <c r="H464" s="209"/>
      <c r="I464" s="205" t="s">
        <v>23</v>
      </c>
      <c r="J464" s="205"/>
      <c r="K464" s="205">
        <v>155</v>
      </c>
      <c r="L464" s="3" t="str">
        <f>VLOOKUP(K464,'GACETA 3'!$E$9:$F$75,2,0)</f>
        <v>Área Jurídica</v>
      </c>
      <c r="M464" s="3" t="str">
        <f t="shared" si="7"/>
        <v>0108010101</v>
      </c>
      <c r="N464" s="3" t="str">
        <f>VLOOKUP(M464,GACETA!$A$1:$C$186,3,0)</f>
        <v>E</v>
      </c>
      <c r="O464" s="3" t="str">
        <f>VLOOKUP(M464,GACETA!$A$1:$C$186,2,0)</f>
        <v>Asesoría jurídica para los mexiquenses</v>
      </c>
      <c r="P464" s="239" t="s">
        <v>485</v>
      </c>
      <c r="Q464" s="239" t="s">
        <v>486</v>
      </c>
      <c r="R464" s="147" t="s">
        <v>1366</v>
      </c>
      <c r="S464" s="7" t="s">
        <v>86</v>
      </c>
      <c r="T464" s="7" t="s">
        <v>776</v>
      </c>
      <c r="U464" s="158"/>
    </row>
    <row r="465" spans="1:21" ht="30" x14ac:dyDescent="0.3">
      <c r="A465" s="256"/>
      <c r="B465" s="273"/>
      <c r="C465" s="207" t="s">
        <v>829</v>
      </c>
      <c r="D465" s="208" t="s">
        <v>834</v>
      </c>
      <c r="E465" s="208" t="s">
        <v>829</v>
      </c>
      <c r="F465" s="208" t="s">
        <v>829</v>
      </c>
      <c r="G465" s="206" t="s">
        <v>829</v>
      </c>
      <c r="H465" s="210"/>
      <c r="I465" s="205" t="s">
        <v>23</v>
      </c>
      <c r="J465" s="205"/>
      <c r="K465" s="205">
        <v>155</v>
      </c>
      <c r="L465" s="3" t="str">
        <f>VLOOKUP(K465,'GACETA 3'!$E$9:$F$75,2,0)</f>
        <v>Área Jurídica</v>
      </c>
      <c r="M465" s="3" t="str">
        <f t="shared" si="7"/>
        <v>0108010101</v>
      </c>
      <c r="N465" s="3" t="str">
        <f>VLOOKUP(M465,GACETA!$A$1:$C$186,3,0)</f>
        <v>E</v>
      </c>
      <c r="O465" s="3" t="str">
        <f>VLOOKUP(M465,GACETA!$A$1:$C$186,2,0)</f>
        <v>Asesoría jurídica para los mexiquenses</v>
      </c>
      <c r="P465" s="243"/>
      <c r="Q465" s="243"/>
      <c r="R465" s="147" t="s">
        <v>1367</v>
      </c>
      <c r="S465" s="7" t="s">
        <v>86</v>
      </c>
      <c r="T465" s="7" t="s">
        <v>169</v>
      </c>
      <c r="U465" s="158"/>
    </row>
    <row r="466" spans="1:21" ht="30" x14ac:dyDescent="0.3">
      <c r="A466" s="256"/>
      <c r="B466" s="273"/>
      <c r="C466" s="207" t="s">
        <v>829</v>
      </c>
      <c r="D466" s="208" t="s">
        <v>834</v>
      </c>
      <c r="E466" s="208" t="s">
        <v>829</v>
      </c>
      <c r="F466" s="208" t="s">
        <v>829</v>
      </c>
      <c r="G466" s="206" t="s">
        <v>829</v>
      </c>
      <c r="H466" s="210"/>
      <c r="I466" s="205" t="s">
        <v>23</v>
      </c>
      <c r="J466" s="205"/>
      <c r="K466" s="205">
        <v>155</v>
      </c>
      <c r="L466" s="3" t="str">
        <f>VLOOKUP(K466,'GACETA 3'!$E$9:$F$75,2,0)</f>
        <v>Área Jurídica</v>
      </c>
      <c r="M466" s="3" t="str">
        <f t="shared" si="7"/>
        <v>0108010101</v>
      </c>
      <c r="N466" s="3" t="str">
        <f>VLOOKUP(M466,GACETA!$A$1:$C$186,3,0)</f>
        <v>E</v>
      </c>
      <c r="O466" s="3" t="str">
        <f>VLOOKUP(M466,GACETA!$A$1:$C$186,2,0)</f>
        <v>Asesoría jurídica para los mexiquenses</v>
      </c>
      <c r="P466" s="243"/>
      <c r="Q466" s="243"/>
      <c r="R466" s="147" t="s">
        <v>1368</v>
      </c>
      <c r="S466" s="7" t="s">
        <v>86</v>
      </c>
      <c r="T466" s="7" t="s">
        <v>1370</v>
      </c>
      <c r="U466" s="158"/>
    </row>
    <row r="467" spans="1:21" ht="30" x14ac:dyDescent="0.3">
      <c r="A467" s="256"/>
      <c r="B467" s="273"/>
      <c r="C467" s="207" t="s">
        <v>829</v>
      </c>
      <c r="D467" s="208" t="s">
        <v>834</v>
      </c>
      <c r="E467" s="208" t="s">
        <v>829</v>
      </c>
      <c r="F467" s="208" t="s">
        <v>829</v>
      </c>
      <c r="G467" s="206" t="s">
        <v>829</v>
      </c>
      <c r="H467" s="209"/>
      <c r="I467" s="205" t="s">
        <v>23</v>
      </c>
      <c r="J467" s="205"/>
      <c r="K467" s="205">
        <v>155</v>
      </c>
      <c r="L467" s="3" t="str">
        <f>VLOOKUP(K467,'GACETA 3'!$E$9:$F$75,2,0)</f>
        <v>Área Jurídica</v>
      </c>
      <c r="M467" s="3" t="str">
        <f t="shared" si="7"/>
        <v>0108010101</v>
      </c>
      <c r="N467" s="3" t="str">
        <f>VLOOKUP(M467,GACETA!$A$1:$C$186,3,0)</f>
        <v>E</v>
      </c>
      <c r="O467" s="3" t="str">
        <f>VLOOKUP(M467,GACETA!$A$1:$C$186,2,0)</f>
        <v>Asesoría jurídica para los mexiquenses</v>
      </c>
      <c r="P467" s="243"/>
      <c r="Q467" s="243"/>
      <c r="R467" s="147" t="s">
        <v>1369</v>
      </c>
      <c r="S467" s="7" t="s">
        <v>86</v>
      </c>
      <c r="T467" s="7" t="s">
        <v>392</v>
      </c>
      <c r="U467" s="158"/>
    </row>
    <row r="468" spans="1:21" x14ac:dyDescent="0.3">
      <c r="A468" s="255" t="s">
        <v>23</v>
      </c>
      <c r="B468" s="264" t="s">
        <v>716</v>
      </c>
      <c r="C468" s="37" t="s">
        <v>829</v>
      </c>
      <c r="D468" s="34" t="s">
        <v>830</v>
      </c>
      <c r="E468" s="34" t="s">
        <v>829</v>
      </c>
      <c r="F468" s="34" t="s">
        <v>829</v>
      </c>
      <c r="G468" s="61" t="s">
        <v>829</v>
      </c>
      <c r="H468" s="34"/>
      <c r="I468" s="6" t="s">
        <v>23</v>
      </c>
      <c r="J468" s="6"/>
      <c r="K468" s="3">
        <v>100</v>
      </c>
      <c r="L468" s="3" t="e">
        <f>VLOOKUP(K468,'GACETA 3'!$E$9:$F$75,2,0)</f>
        <v>#N/A</v>
      </c>
      <c r="M468" s="3" t="str">
        <f t="shared" si="7"/>
        <v>0103010101</v>
      </c>
      <c r="N468" s="3" t="str">
        <f>VLOOKUP(M468,GACETA!$A$1:$C$186,3,0)</f>
        <v>P</v>
      </c>
      <c r="O468" s="3" t="str">
        <f>VLOOKUP(M468,GACETA!$A$1:$C$186,2,0)</f>
        <v>Relaciones públicas</v>
      </c>
      <c r="P468" s="267" t="s">
        <v>850</v>
      </c>
      <c r="Q468" s="270" t="s">
        <v>77</v>
      </c>
      <c r="R468" s="147"/>
      <c r="S468" s="7" t="s">
        <v>86</v>
      </c>
      <c r="T468" s="7" t="s">
        <v>87</v>
      </c>
      <c r="U468" s="197"/>
    </row>
    <row r="469" spans="1:21" x14ac:dyDescent="0.3">
      <c r="A469" s="256"/>
      <c r="B469" s="265"/>
      <c r="C469" s="37" t="s">
        <v>829</v>
      </c>
      <c r="D469" s="34" t="s">
        <v>830</v>
      </c>
      <c r="E469" s="34" t="s">
        <v>829</v>
      </c>
      <c r="F469" s="34" t="s">
        <v>829</v>
      </c>
      <c r="G469" s="61" t="s">
        <v>829</v>
      </c>
      <c r="H469" s="34"/>
      <c r="I469" s="6" t="s">
        <v>23</v>
      </c>
      <c r="J469" s="6"/>
      <c r="K469" s="3">
        <v>100</v>
      </c>
      <c r="L469" s="3" t="e">
        <f>VLOOKUP(K469,'GACETA 3'!$E$9:$F$75,2,0)</f>
        <v>#N/A</v>
      </c>
      <c r="M469" s="3" t="str">
        <f t="shared" si="7"/>
        <v>0103010101</v>
      </c>
      <c r="N469" s="3" t="str">
        <f>VLOOKUP(M469,GACETA!$A$1:$C$186,3,0)</f>
        <v>P</v>
      </c>
      <c r="O469" s="3" t="str">
        <f>VLOOKUP(M469,GACETA!$A$1:$C$186,2,0)</f>
        <v>Relaciones públicas</v>
      </c>
      <c r="P469" s="245"/>
      <c r="Q469" s="271"/>
      <c r="R469" s="147"/>
      <c r="S469" s="7" t="s">
        <v>86</v>
      </c>
      <c r="T469" s="7" t="s">
        <v>89</v>
      </c>
      <c r="U469" s="197"/>
    </row>
    <row r="470" spans="1:21" ht="30" x14ac:dyDescent="0.3">
      <c r="A470" s="256"/>
      <c r="B470" s="265"/>
      <c r="C470" s="37" t="s">
        <v>829</v>
      </c>
      <c r="D470" s="34" t="s">
        <v>830</v>
      </c>
      <c r="E470" s="34" t="s">
        <v>829</v>
      </c>
      <c r="F470" s="34" t="s">
        <v>829</v>
      </c>
      <c r="G470" s="61" t="s">
        <v>830</v>
      </c>
      <c r="H470" s="34"/>
      <c r="I470" s="6" t="s">
        <v>23</v>
      </c>
      <c r="J470" s="6"/>
      <c r="K470" s="3">
        <v>100</v>
      </c>
      <c r="L470" s="3" t="e">
        <f>VLOOKUP(K470,'GACETA 3'!$E$9:$F$75,2,0)</f>
        <v>#N/A</v>
      </c>
      <c r="M470" s="3" t="str">
        <f t="shared" si="7"/>
        <v>0103010103</v>
      </c>
      <c r="N470" s="3" t="str">
        <f>VLOOKUP(M470,GACETA!$A$1:$C$186,3,0)</f>
        <v>E</v>
      </c>
      <c r="O470" s="3" t="str">
        <f>VLOOKUP(M470,GACETA!$A$1:$C$186,2,0)</f>
        <v>Audiencia pública y consulta popular</v>
      </c>
      <c r="P470" s="245"/>
      <c r="Q470" s="244" t="s">
        <v>761</v>
      </c>
      <c r="R470" s="147"/>
      <c r="S470" s="7" t="s">
        <v>86</v>
      </c>
      <c r="T470" s="7" t="s">
        <v>90</v>
      </c>
      <c r="U470" s="197"/>
    </row>
    <row r="471" spans="1:21" ht="30" x14ac:dyDescent="0.3">
      <c r="A471" s="257"/>
      <c r="B471" s="266"/>
      <c r="C471" s="37" t="s">
        <v>829</v>
      </c>
      <c r="D471" s="34" t="s">
        <v>830</v>
      </c>
      <c r="E471" s="34" t="s">
        <v>829</v>
      </c>
      <c r="F471" s="34" t="s">
        <v>829</v>
      </c>
      <c r="G471" s="61" t="s">
        <v>830</v>
      </c>
      <c r="H471" s="34"/>
      <c r="I471" s="6" t="s">
        <v>23</v>
      </c>
      <c r="J471" s="6"/>
      <c r="K471" s="3">
        <v>100</v>
      </c>
      <c r="L471" s="3" t="e">
        <f>VLOOKUP(K471,'GACETA 3'!$E$9:$F$75,2,0)</f>
        <v>#N/A</v>
      </c>
      <c r="M471" s="3" t="str">
        <f t="shared" si="7"/>
        <v>0103010103</v>
      </c>
      <c r="N471" s="3" t="str">
        <f>VLOOKUP(M471,GACETA!$A$1:$C$186,3,0)</f>
        <v>E</v>
      </c>
      <c r="O471" s="3" t="str">
        <f>VLOOKUP(M471,GACETA!$A$1:$C$186,2,0)</f>
        <v>Audiencia pública y consulta popular</v>
      </c>
      <c r="P471" s="246"/>
      <c r="Q471" s="246"/>
      <c r="R471" s="147"/>
      <c r="S471" s="7" t="s">
        <v>86</v>
      </c>
      <c r="T471" s="7" t="s">
        <v>766</v>
      </c>
      <c r="U471" s="197"/>
    </row>
    <row r="472" spans="1:21" ht="34.5" customHeight="1" x14ac:dyDescent="0.3">
      <c r="A472" s="88" t="s">
        <v>23</v>
      </c>
      <c r="B472" s="81" t="s">
        <v>710</v>
      </c>
      <c r="C472" s="37" t="s">
        <v>829</v>
      </c>
      <c r="D472" s="38" t="s">
        <v>834</v>
      </c>
      <c r="E472" s="42" t="s">
        <v>830</v>
      </c>
      <c r="F472" s="38" t="s">
        <v>829</v>
      </c>
      <c r="G472" s="75" t="s">
        <v>830</v>
      </c>
      <c r="H472" s="38"/>
      <c r="I472" s="15" t="s">
        <v>23</v>
      </c>
      <c r="J472" s="15"/>
      <c r="K472" s="5">
        <v>137</v>
      </c>
      <c r="L472" s="3" t="str">
        <f>VLOOKUP(K472,'GACETA 3'!$E$9:$F$75,2,0)</f>
        <v>Simplificación Administrativa</v>
      </c>
      <c r="M472" s="3" t="str">
        <f t="shared" si="7"/>
        <v>0108030103</v>
      </c>
      <c r="N472" s="3" t="str">
        <f>VLOOKUP(M472,GACETA!$A$1:$C$186,3,0)</f>
        <v>F</v>
      </c>
      <c r="O472" s="3" t="str">
        <f>VLOOKUP(M472,GACETA!$A$1:$C$186,2,0)</f>
        <v>Difusión y comunicación institucional</v>
      </c>
      <c r="P472" s="79" t="s">
        <v>127</v>
      </c>
      <c r="Q472" s="79" t="s">
        <v>128</v>
      </c>
      <c r="R472" s="147"/>
      <c r="S472" s="7" t="s">
        <v>86</v>
      </c>
      <c r="T472" s="7" t="s">
        <v>776</v>
      </c>
      <c r="U472" s="199"/>
    </row>
    <row r="473" spans="1:21" x14ac:dyDescent="0.3">
      <c r="A473" s="293" t="s">
        <v>23</v>
      </c>
      <c r="B473" s="291" t="s">
        <v>958</v>
      </c>
      <c r="C473" s="33" t="s">
        <v>829</v>
      </c>
      <c r="D473" s="34" t="s">
        <v>830</v>
      </c>
      <c r="E473" s="34" t="s">
        <v>829</v>
      </c>
      <c r="F473" s="34" t="s">
        <v>829</v>
      </c>
      <c r="G473" s="61" t="s">
        <v>829</v>
      </c>
      <c r="H473" s="34"/>
      <c r="I473" s="6" t="s">
        <v>23</v>
      </c>
      <c r="J473" s="6"/>
      <c r="K473" s="108">
        <v>100</v>
      </c>
      <c r="L473" s="3" t="e">
        <f>VLOOKUP(K473,'GACETA 3'!$E$9:$F$75,2,0)</f>
        <v>#N/A</v>
      </c>
      <c r="M473" s="3" t="str">
        <f t="shared" si="7"/>
        <v>0103010101</v>
      </c>
      <c r="N473" s="3" t="str">
        <f>VLOOKUP(M473,GACETA!$A$1:$C$186,3,0)</f>
        <v>P</v>
      </c>
      <c r="O473" s="3" t="str">
        <f>VLOOKUP(M473,GACETA!$A$1:$C$186,2,0)</f>
        <v>Relaciones públicas</v>
      </c>
      <c r="P473" s="259" t="s">
        <v>76</v>
      </c>
      <c r="Q473" s="259" t="s">
        <v>77</v>
      </c>
      <c r="R473" s="147"/>
      <c r="S473" s="7" t="s">
        <v>86</v>
      </c>
      <c r="T473" s="7" t="s">
        <v>87</v>
      </c>
      <c r="U473" s="197"/>
    </row>
    <row r="474" spans="1:21" x14ac:dyDescent="0.3">
      <c r="A474" s="293"/>
      <c r="B474" s="291"/>
      <c r="C474" s="33" t="s">
        <v>829</v>
      </c>
      <c r="D474" s="34" t="s">
        <v>830</v>
      </c>
      <c r="E474" s="34" t="s">
        <v>829</v>
      </c>
      <c r="F474" s="34" t="s">
        <v>829</v>
      </c>
      <c r="G474" s="61" t="s">
        <v>829</v>
      </c>
      <c r="H474" s="34"/>
      <c r="I474" s="6" t="s">
        <v>23</v>
      </c>
      <c r="J474" s="6"/>
      <c r="K474" s="108">
        <v>100</v>
      </c>
      <c r="L474" s="3" t="e">
        <f>VLOOKUP(K474,'GACETA 3'!$E$9:$F$75,2,0)</f>
        <v>#N/A</v>
      </c>
      <c r="M474" s="3" t="str">
        <f t="shared" si="7"/>
        <v>0103010101</v>
      </c>
      <c r="N474" s="3" t="str">
        <f>VLOOKUP(M474,GACETA!$A$1:$C$186,3,0)</f>
        <v>P</v>
      </c>
      <c r="O474" s="3" t="str">
        <f>VLOOKUP(M474,GACETA!$A$1:$C$186,2,0)</f>
        <v>Relaciones públicas</v>
      </c>
      <c r="P474" s="259"/>
      <c r="Q474" s="259"/>
      <c r="R474" s="147"/>
      <c r="S474" s="7" t="s">
        <v>86</v>
      </c>
      <c r="T474" s="7" t="s">
        <v>88</v>
      </c>
      <c r="U474" s="197"/>
    </row>
    <row r="475" spans="1:21" x14ac:dyDescent="0.3">
      <c r="A475" s="293"/>
      <c r="B475" s="291"/>
      <c r="C475" s="33" t="s">
        <v>829</v>
      </c>
      <c r="D475" s="34" t="s">
        <v>830</v>
      </c>
      <c r="E475" s="34" t="s">
        <v>829</v>
      </c>
      <c r="F475" s="34" t="s">
        <v>829</v>
      </c>
      <c r="G475" s="61" t="s">
        <v>829</v>
      </c>
      <c r="H475" s="34"/>
      <c r="I475" s="6" t="s">
        <v>23</v>
      </c>
      <c r="J475" s="6"/>
      <c r="K475" s="108">
        <v>100</v>
      </c>
      <c r="L475" s="3" t="e">
        <f>VLOOKUP(K475,'GACETA 3'!$E$9:$F$75,2,0)</f>
        <v>#N/A</v>
      </c>
      <c r="M475" s="3" t="str">
        <f t="shared" si="7"/>
        <v>0103010101</v>
      </c>
      <c r="N475" s="3" t="str">
        <f>VLOOKUP(M475,GACETA!$A$1:$C$186,3,0)</f>
        <v>P</v>
      </c>
      <c r="O475" s="3" t="str">
        <f>VLOOKUP(M475,GACETA!$A$1:$C$186,2,0)</f>
        <v>Relaciones públicas</v>
      </c>
      <c r="P475" s="259"/>
      <c r="Q475" s="259"/>
      <c r="R475" s="147"/>
      <c r="S475" s="7" t="s">
        <v>86</v>
      </c>
      <c r="T475" s="7" t="s">
        <v>88</v>
      </c>
      <c r="U475" s="197"/>
    </row>
    <row r="476" spans="1:21" ht="30" x14ac:dyDescent="0.3">
      <c r="A476" s="293"/>
      <c r="B476" s="291"/>
      <c r="C476" s="33" t="s">
        <v>829</v>
      </c>
      <c r="D476" s="34" t="s">
        <v>830</v>
      </c>
      <c r="E476" s="34" t="s">
        <v>829</v>
      </c>
      <c r="F476" s="34" t="s">
        <v>829</v>
      </c>
      <c r="G476" s="61" t="s">
        <v>830</v>
      </c>
      <c r="H476" s="34"/>
      <c r="I476" s="6" t="s">
        <v>23</v>
      </c>
      <c r="J476" s="6"/>
      <c r="K476" s="108">
        <v>100</v>
      </c>
      <c r="L476" s="3" t="e">
        <f>VLOOKUP(K476,'GACETA 3'!$E$9:$F$75,2,0)</f>
        <v>#N/A</v>
      </c>
      <c r="M476" s="3" t="str">
        <f t="shared" si="7"/>
        <v>0103010103</v>
      </c>
      <c r="N476" s="3" t="str">
        <f>VLOOKUP(M476,GACETA!$A$1:$C$186,3,0)</f>
        <v>E</v>
      </c>
      <c r="O476" s="3" t="str">
        <f>VLOOKUP(M476,GACETA!$A$1:$C$186,2,0)</f>
        <v>Audiencia pública y consulta popular</v>
      </c>
      <c r="P476" s="259"/>
      <c r="Q476" s="259" t="s">
        <v>78</v>
      </c>
      <c r="R476" s="147"/>
      <c r="S476" s="7" t="s">
        <v>86</v>
      </c>
      <c r="T476" s="7" t="s">
        <v>87</v>
      </c>
      <c r="U476" s="197"/>
    </row>
    <row r="477" spans="1:21" ht="30" x14ac:dyDescent="0.3">
      <c r="A477" s="293"/>
      <c r="B477" s="291"/>
      <c r="C477" s="33" t="s">
        <v>829</v>
      </c>
      <c r="D477" s="34" t="s">
        <v>830</v>
      </c>
      <c r="E477" s="34" t="s">
        <v>829</v>
      </c>
      <c r="F477" s="34" t="s">
        <v>829</v>
      </c>
      <c r="G477" s="61" t="s">
        <v>830</v>
      </c>
      <c r="H477" s="34"/>
      <c r="I477" s="6" t="s">
        <v>23</v>
      </c>
      <c r="J477" s="6"/>
      <c r="K477" s="108">
        <v>100</v>
      </c>
      <c r="L477" s="3" t="e">
        <f>VLOOKUP(K477,'GACETA 3'!$E$9:$F$75,2,0)</f>
        <v>#N/A</v>
      </c>
      <c r="M477" s="3" t="str">
        <f t="shared" si="7"/>
        <v>0103010103</v>
      </c>
      <c r="N477" s="3" t="str">
        <f>VLOOKUP(M477,GACETA!$A$1:$C$186,3,0)</f>
        <v>E</v>
      </c>
      <c r="O477" s="3" t="str">
        <f>VLOOKUP(M477,GACETA!$A$1:$C$186,2,0)</f>
        <v>Audiencia pública y consulta popular</v>
      </c>
      <c r="P477" s="259"/>
      <c r="Q477" s="259"/>
      <c r="R477" s="147"/>
      <c r="S477" s="7" t="s">
        <v>86</v>
      </c>
      <c r="T477" s="7" t="s">
        <v>89</v>
      </c>
      <c r="U477" s="197"/>
    </row>
    <row r="478" spans="1:21" ht="30" x14ac:dyDescent="0.3">
      <c r="A478" s="293"/>
      <c r="B478" s="291"/>
      <c r="C478" s="33" t="s">
        <v>829</v>
      </c>
      <c r="D478" s="34" t="s">
        <v>830</v>
      </c>
      <c r="E478" s="34" t="s">
        <v>829</v>
      </c>
      <c r="F478" s="34" t="s">
        <v>829</v>
      </c>
      <c r="G478" s="61" t="s">
        <v>830</v>
      </c>
      <c r="H478" s="34"/>
      <c r="I478" s="6" t="s">
        <v>23</v>
      </c>
      <c r="J478" s="6"/>
      <c r="K478" s="108">
        <v>100</v>
      </c>
      <c r="L478" s="3" t="e">
        <f>VLOOKUP(K478,'GACETA 3'!$E$9:$F$75,2,0)</f>
        <v>#N/A</v>
      </c>
      <c r="M478" s="3" t="str">
        <f t="shared" si="7"/>
        <v>0103010103</v>
      </c>
      <c r="N478" s="3" t="str">
        <f>VLOOKUP(M478,GACETA!$A$1:$C$186,3,0)</f>
        <v>E</v>
      </c>
      <c r="O478" s="3" t="str">
        <f>VLOOKUP(M478,GACETA!$A$1:$C$186,2,0)</f>
        <v>Audiencia pública y consulta popular</v>
      </c>
      <c r="P478" s="259"/>
      <c r="Q478" s="259"/>
      <c r="R478" s="147"/>
      <c r="S478" s="7" t="s">
        <v>86</v>
      </c>
      <c r="T478" s="7" t="s">
        <v>90</v>
      </c>
      <c r="U478" s="197"/>
    </row>
    <row r="479" spans="1:21" ht="30" x14ac:dyDescent="0.3">
      <c r="A479" s="293"/>
      <c r="B479" s="291"/>
      <c r="C479" s="33" t="s">
        <v>829</v>
      </c>
      <c r="D479" s="34" t="s">
        <v>830</v>
      </c>
      <c r="E479" s="34" t="s">
        <v>829</v>
      </c>
      <c r="F479" s="34" t="s">
        <v>829</v>
      </c>
      <c r="G479" s="61" t="s">
        <v>830</v>
      </c>
      <c r="H479" s="34"/>
      <c r="I479" s="6" t="s">
        <v>23</v>
      </c>
      <c r="J479" s="6"/>
      <c r="K479" s="108">
        <v>100</v>
      </c>
      <c r="L479" s="3" t="e">
        <f>VLOOKUP(K479,'GACETA 3'!$E$9:$F$75,2,0)</f>
        <v>#N/A</v>
      </c>
      <c r="M479" s="3" t="str">
        <f t="shared" si="7"/>
        <v>0103010103</v>
      </c>
      <c r="N479" s="3" t="str">
        <f>VLOOKUP(M479,GACETA!$A$1:$C$186,3,0)</f>
        <v>E</v>
      </c>
      <c r="O479" s="3" t="str">
        <f>VLOOKUP(M479,GACETA!$A$1:$C$186,2,0)</f>
        <v>Audiencia pública y consulta popular</v>
      </c>
      <c r="P479" s="259"/>
      <c r="Q479" s="259"/>
      <c r="R479" s="147"/>
      <c r="S479" s="7" t="s">
        <v>86</v>
      </c>
      <c r="T479" s="7" t="s">
        <v>91</v>
      </c>
      <c r="U479" s="197"/>
    </row>
    <row r="480" spans="1:21" ht="62.25" customHeight="1" x14ac:dyDescent="0.3">
      <c r="A480" s="56" t="s">
        <v>23</v>
      </c>
      <c r="B480" s="88" t="s">
        <v>717</v>
      </c>
      <c r="C480" s="102" t="s">
        <v>832</v>
      </c>
      <c r="D480" s="102" t="s">
        <v>832</v>
      </c>
      <c r="E480" s="102" t="s">
        <v>832</v>
      </c>
      <c r="F480" s="102" t="s">
        <v>829</v>
      </c>
      <c r="G480" s="112" t="s">
        <v>829</v>
      </c>
      <c r="H480" s="102"/>
      <c r="I480" s="102" t="s">
        <v>23</v>
      </c>
      <c r="J480" s="102"/>
      <c r="K480" s="102" t="s">
        <v>1217</v>
      </c>
      <c r="L480" s="3" t="e">
        <f>VLOOKUP(K480,'GACETA 3'!$E$9:$F$75,2,0)</f>
        <v>#N/A</v>
      </c>
      <c r="M480" s="3" t="str">
        <f t="shared" si="7"/>
        <v>0202020101</v>
      </c>
      <c r="N480" s="3" t="str">
        <f>VLOOKUP(M480,GACETA!$A$1:$C$186,3,0)</f>
        <v>S</v>
      </c>
      <c r="O480" s="3" t="str">
        <f>VLOOKUP(M480,GACETA!$A$1:$C$186,2,0)</f>
        <v>Promoción a la participación comunitaria</v>
      </c>
      <c r="P480" s="103" t="s">
        <v>335</v>
      </c>
      <c r="Q480" s="103" t="s">
        <v>336</v>
      </c>
      <c r="R480" s="103"/>
      <c r="S480" s="103"/>
      <c r="T480" s="103"/>
      <c r="U480" s="197"/>
    </row>
    <row r="481" spans="1:21" ht="30" x14ac:dyDescent="0.3">
      <c r="A481" s="292" t="s">
        <v>42</v>
      </c>
      <c r="B481" s="289" t="s">
        <v>1371</v>
      </c>
      <c r="C481" s="33" t="s">
        <v>829</v>
      </c>
      <c r="D481" s="35" t="s">
        <v>832</v>
      </c>
      <c r="E481" s="35" t="s">
        <v>836</v>
      </c>
      <c r="F481" s="35" t="s">
        <v>829</v>
      </c>
      <c r="G481" s="74" t="s">
        <v>832</v>
      </c>
      <c r="H481" s="35"/>
      <c r="I481" s="5" t="s">
        <v>42</v>
      </c>
      <c r="J481" s="5"/>
      <c r="K481" s="10">
        <v>102</v>
      </c>
      <c r="L481" s="3" t="e">
        <f>VLOOKUP(K481,'GACETA 3'!$E$9:$F$75,2,0)</f>
        <v>#N/A</v>
      </c>
      <c r="M481" s="3" t="str">
        <f t="shared" si="7"/>
        <v>0102040102</v>
      </c>
      <c r="N481" s="3" t="str">
        <f>VLOOKUP(M481,GACETA!$A$1:$C$186,3,0)</f>
        <v>E</v>
      </c>
      <c r="O481" s="3" t="str">
        <f>VLOOKUP(M481,GACETA!$A$1:$C$186,2,0)</f>
        <v>Protección y defensa de los derechos humanos</v>
      </c>
      <c r="P481" s="254" t="s">
        <v>140</v>
      </c>
      <c r="Q481" s="254" t="s">
        <v>151</v>
      </c>
      <c r="R481" s="147" t="s">
        <v>1373</v>
      </c>
      <c r="S481" s="7" t="s">
        <v>86</v>
      </c>
      <c r="T481" s="8" t="s">
        <v>414</v>
      </c>
      <c r="U481" s="158"/>
    </row>
    <row r="482" spans="1:21" ht="30" x14ac:dyDescent="0.3">
      <c r="A482" s="292"/>
      <c r="B482" s="289"/>
      <c r="C482" s="33" t="s">
        <v>829</v>
      </c>
      <c r="D482" s="35" t="s">
        <v>832</v>
      </c>
      <c r="E482" s="35" t="s">
        <v>836</v>
      </c>
      <c r="F482" s="35" t="s">
        <v>829</v>
      </c>
      <c r="G482" s="74" t="s">
        <v>832</v>
      </c>
      <c r="H482" s="35"/>
      <c r="I482" s="5" t="s">
        <v>42</v>
      </c>
      <c r="J482" s="5"/>
      <c r="K482" s="10">
        <v>102</v>
      </c>
      <c r="L482" s="3" t="e">
        <f>VLOOKUP(K482,'GACETA 3'!$E$9:$F$75,2,0)</f>
        <v>#N/A</v>
      </c>
      <c r="M482" s="3" t="str">
        <f t="shared" si="7"/>
        <v>0102040102</v>
      </c>
      <c r="N482" s="3" t="str">
        <f>VLOOKUP(M482,GACETA!$A$1:$C$186,3,0)</f>
        <v>E</v>
      </c>
      <c r="O482" s="3" t="str">
        <f>VLOOKUP(M482,GACETA!$A$1:$C$186,2,0)</f>
        <v>Protección y defensa de los derechos humanos</v>
      </c>
      <c r="P482" s="254"/>
      <c r="Q482" s="254"/>
      <c r="R482" s="147" t="s">
        <v>1374</v>
      </c>
      <c r="S482" s="7" t="s">
        <v>86</v>
      </c>
      <c r="T482" s="8" t="s">
        <v>776</v>
      </c>
      <c r="U482" s="158"/>
    </row>
    <row r="483" spans="1:21" ht="30" x14ac:dyDescent="0.3">
      <c r="A483" s="292"/>
      <c r="B483" s="289"/>
      <c r="C483" s="33" t="s">
        <v>829</v>
      </c>
      <c r="D483" s="35" t="s">
        <v>832</v>
      </c>
      <c r="E483" s="35" t="s">
        <v>836</v>
      </c>
      <c r="F483" s="35" t="s">
        <v>829</v>
      </c>
      <c r="G483" s="74" t="s">
        <v>832</v>
      </c>
      <c r="H483" s="35"/>
      <c r="I483" s="5" t="s">
        <v>42</v>
      </c>
      <c r="J483" s="5"/>
      <c r="K483" s="10">
        <v>102</v>
      </c>
      <c r="L483" s="3" t="e">
        <f>VLOOKUP(K483,'GACETA 3'!$E$9:$F$75,2,0)</f>
        <v>#N/A</v>
      </c>
      <c r="M483" s="3" t="str">
        <f t="shared" si="7"/>
        <v>0102040102</v>
      </c>
      <c r="N483" s="3" t="str">
        <f>VLOOKUP(M483,GACETA!$A$1:$C$186,3,0)</f>
        <v>E</v>
      </c>
      <c r="O483" s="3" t="str">
        <f>VLOOKUP(M483,GACETA!$A$1:$C$186,2,0)</f>
        <v>Protección y defensa de los derechos humanos</v>
      </c>
      <c r="P483" s="254"/>
      <c r="Q483" s="254"/>
      <c r="R483" s="147" t="s">
        <v>1375</v>
      </c>
      <c r="S483" s="7" t="s">
        <v>86</v>
      </c>
      <c r="T483" s="8" t="s">
        <v>86</v>
      </c>
      <c r="U483" s="158"/>
    </row>
    <row r="484" spans="1:21" ht="30" x14ac:dyDescent="0.3">
      <c r="A484" s="292"/>
      <c r="B484" s="289"/>
      <c r="C484" s="33" t="s">
        <v>829</v>
      </c>
      <c r="D484" s="35" t="s">
        <v>832</v>
      </c>
      <c r="E484" s="35" t="s">
        <v>836</v>
      </c>
      <c r="F484" s="35" t="s">
        <v>829</v>
      </c>
      <c r="G484" s="74" t="s">
        <v>832</v>
      </c>
      <c r="H484" s="35"/>
      <c r="I484" s="5" t="s">
        <v>42</v>
      </c>
      <c r="J484" s="5"/>
      <c r="K484" s="10">
        <v>102</v>
      </c>
      <c r="L484" s="3" t="e">
        <f>VLOOKUP(K484,'GACETA 3'!$E$9:$F$75,2,0)</f>
        <v>#N/A</v>
      </c>
      <c r="M484" s="3" t="str">
        <f t="shared" si="7"/>
        <v>0102040102</v>
      </c>
      <c r="N484" s="3" t="str">
        <f>VLOOKUP(M484,GACETA!$A$1:$C$186,3,0)</f>
        <v>E</v>
      </c>
      <c r="O484" s="3" t="str">
        <f>VLOOKUP(M484,GACETA!$A$1:$C$186,2,0)</f>
        <v>Protección y defensa de los derechos humanos</v>
      </c>
      <c r="P484" s="254"/>
      <c r="Q484" s="254"/>
      <c r="R484" s="147" t="s">
        <v>1376</v>
      </c>
      <c r="S484" s="7" t="s">
        <v>86</v>
      </c>
      <c r="T484" s="8" t="s">
        <v>126</v>
      </c>
      <c r="U484" s="158"/>
    </row>
    <row r="485" spans="1:21" ht="30" x14ac:dyDescent="0.3">
      <c r="A485" s="292"/>
      <c r="B485" s="289"/>
      <c r="C485" s="33" t="s">
        <v>829</v>
      </c>
      <c r="D485" s="35" t="s">
        <v>832</v>
      </c>
      <c r="E485" s="35" t="s">
        <v>836</v>
      </c>
      <c r="F485" s="35" t="s">
        <v>829</v>
      </c>
      <c r="G485" s="74" t="s">
        <v>830</v>
      </c>
      <c r="H485" s="35"/>
      <c r="I485" s="5" t="s">
        <v>42</v>
      </c>
      <c r="J485" s="5"/>
      <c r="K485" s="10">
        <v>102</v>
      </c>
      <c r="L485" s="3" t="e">
        <f>VLOOKUP(K485,'GACETA 3'!$E$9:$F$75,2,0)</f>
        <v>#N/A</v>
      </c>
      <c r="M485" s="3" t="str">
        <f t="shared" si="7"/>
        <v>0102040103</v>
      </c>
      <c r="N485" s="3" t="str">
        <f>VLOOKUP(M485,GACETA!$A$1:$C$186,3,0)</f>
        <v>E</v>
      </c>
      <c r="O485" s="3" t="str">
        <f>VLOOKUP(M485,GACETA!$A$1:$C$186,2,0)</f>
        <v>Desarrollo institucional para los derechos humanos</v>
      </c>
      <c r="P485" s="254"/>
      <c r="Q485" s="254" t="s">
        <v>1372</v>
      </c>
      <c r="R485" s="147" t="s">
        <v>1377</v>
      </c>
      <c r="S485" s="7" t="s">
        <v>86</v>
      </c>
      <c r="T485" s="8" t="s">
        <v>748</v>
      </c>
      <c r="U485" s="158"/>
    </row>
    <row r="486" spans="1:21" ht="30" x14ac:dyDescent="0.3">
      <c r="A486" s="292"/>
      <c r="B486" s="289"/>
      <c r="C486" s="33" t="s">
        <v>829</v>
      </c>
      <c r="D486" s="35" t="s">
        <v>832</v>
      </c>
      <c r="E486" s="35" t="s">
        <v>836</v>
      </c>
      <c r="F486" s="35" t="s">
        <v>829</v>
      </c>
      <c r="G486" s="74" t="s">
        <v>830</v>
      </c>
      <c r="H486" s="35"/>
      <c r="I486" s="5" t="s">
        <v>42</v>
      </c>
      <c r="J486" s="5"/>
      <c r="K486" s="10">
        <v>102</v>
      </c>
      <c r="L486" s="3" t="e">
        <f>VLOOKUP(K486,'GACETA 3'!$E$9:$F$75,2,0)</f>
        <v>#N/A</v>
      </c>
      <c r="M486" s="3" t="str">
        <f t="shared" si="7"/>
        <v>0102040103</v>
      </c>
      <c r="N486" s="3" t="str">
        <f>VLOOKUP(M486,GACETA!$A$1:$C$186,3,0)</f>
        <v>E</v>
      </c>
      <c r="O486" s="3" t="str">
        <f>VLOOKUP(M486,GACETA!$A$1:$C$186,2,0)</f>
        <v>Desarrollo institucional para los derechos humanos</v>
      </c>
      <c r="P486" s="254"/>
      <c r="Q486" s="254"/>
      <c r="R486" s="147" t="s">
        <v>1378</v>
      </c>
      <c r="S486" s="7" t="s">
        <v>86</v>
      </c>
      <c r="T486" s="8" t="s">
        <v>337</v>
      </c>
      <c r="U486" s="158"/>
    </row>
    <row r="487" spans="1:21" ht="30" x14ac:dyDescent="0.3">
      <c r="A487" s="292"/>
      <c r="B487" s="289"/>
      <c r="C487" s="33" t="s">
        <v>829</v>
      </c>
      <c r="D487" s="35" t="s">
        <v>832</v>
      </c>
      <c r="E487" s="35" t="s">
        <v>836</v>
      </c>
      <c r="F487" s="35" t="s">
        <v>829</v>
      </c>
      <c r="G487" s="74" t="s">
        <v>830</v>
      </c>
      <c r="H487" s="35"/>
      <c r="I487" s="5" t="s">
        <v>42</v>
      </c>
      <c r="J487" s="5"/>
      <c r="K487" s="10">
        <v>102</v>
      </c>
      <c r="L487" s="3" t="e">
        <f>VLOOKUP(K487,'GACETA 3'!$E$9:$F$75,2,0)</f>
        <v>#N/A</v>
      </c>
      <c r="M487" s="3" t="str">
        <f t="shared" si="7"/>
        <v>0102040103</v>
      </c>
      <c r="N487" s="3" t="str">
        <f>VLOOKUP(M487,GACETA!$A$1:$C$186,3,0)</f>
        <v>E</v>
      </c>
      <c r="O487" s="3" t="str">
        <f>VLOOKUP(M487,GACETA!$A$1:$C$186,2,0)</f>
        <v>Desarrollo institucional para los derechos humanos</v>
      </c>
      <c r="P487" s="254"/>
      <c r="Q487" s="254"/>
      <c r="R487" s="147" t="s">
        <v>1379</v>
      </c>
      <c r="S487" s="7" t="s">
        <v>86</v>
      </c>
      <c r="T487" s="8" t="s">
        <v>1154</v>
      </c>
      <c r="U487" s="158"/>
    </row>
    <row r="488" spans="1:21" ht="30" x14ac:dyDescent="0.3">
      <c r="A488" s="292"/>
      <c r="B488" s="289"/>
      <c r="C488" s="33" t="s">
        <v>829</v>
      </c>
      <c r="D488" s="35" t="s">
        <v>832</v>
      </c>
      <c r="E488" s="35" t="s">
        <v>836</v>
      </c>
      <c r="F488" s="35" t="s">
        <v>829</v>
      </c>
      <c r="G488" s="74" t="s">
        <v>830</v>
      </c>
      <c r="H488" s="35"/>
      <c r="I488" s="5" t="s">
        <v>42</v>
      </c>
      <c r="J488" s="5"/>
      <c r="K488" s="10">
        <v>102</v>
      </c>
      <c r="L488" s="3" t="e">
        <f>VLOOKUP(K488,'GACETA 3'!$E$9:$F$75,2,0)</f>
        <v>#N/A</v>
      </c>
      <c r="M488" s="3" t="str">
        <f t="shared" si="7"/>
        <v>0102040103</v>
      </c>
      <c r="N488" s="3" t="str">
        <f>VLOOKUP(M488,GACETA!$A$1:$C$186,3,0)</f>
        <v>E</v>
      </c>
      <c r="O488" s="3" t="str">
        <f>VLOOKUP(M488,GACETA!$A$1:$C$186,2,0)</f>
        <v>Desarrollo institucional para los derechos humanos</v>
      </c>
      <c r="P488" s="254"/>
      <c r="Q488" s="254"/>
      <c r="R488" s="147" t="s">
        <v>1380</v>
      </c>
      <c r="S488" s="7" t="s">
        <v>86</v>
      </c>
      <c r="T488" s="8" t="s">
        <v>326</v>
      </c>
      <c r="U488" s="158"/>
    </row>
    <row r="489" spans="1:21" ht="22.5" customHeight="1" x14ac:dyDescent="0.3">
      <c r="L489" s="3" t="e">
        <f>VLOOKUP(K489,'GACETA 3'!$E$9:$F$75,2,0)</f>
        <v>#N/A</v>
      </c>
      <c r="M489" s="3" t="str">
        <f t="shared" si="7"/>
        <v/>
      </c>
      <c r="N489" s="3" t="e">
        <f>VLOOKUP(M489,GACETA!$A$1:$C$186,3,0)</f>
        <v>#N/A</v>
      </c>
      <c r="O489" s="3" t="e">
        <f>VLOOKUP(M489,GACETA!$A$1:$C$186,2,0)</f>
        <v>#N/A</v>
      </c>
    </row>
    <row r="490" spans="1:21" ht="22.5" customHeight="1" x14ac:dyDescent="0.3">
      <c r="L490" s="3" t="e">
        <f>VLOOKUP(K490,'GACETA 3'!$E$9:$F$75,2,0)</f>
        <v>#N/A</v>
      </c>
      <c r="M490" s="3" t="str">
        <f t="shared" si="7"/>
        <v/>
      </c>
      <c r="N490" s="3" t="e">
        <f>VLOOKUP(M490,GACETA!$A$1:$C$186,3,0)</f>
        <v>#N/A</v>
      </c>
      <c r="O490" s="3" t="e">
        <f>VLOOKUP(M490,GACETA!$A$1:$C$186,2,0)</f>
        <v>#N/A</v>
      </c>
    </row>
    <row r="491" spans="1:21" ht="22.5" customHeight="1" x14ac:dyDescent="0.3">
      <c r="L491" s="3" t="e">
        <f>VLOOKUP(K491,'GACETA 3'!$E$9:$F$75,2,0)</f>
        <v>#N/A</v>
      </c>
      <c r="M491" s="3" t="str">
        <f t="shared" si="7"/>
        <v/>
      </c>
      <c r="N491" s="3" t="e">
        <f>VLOOKUP(M491,GACETA!$A$1:$C$186,3,0)</f>
        <v>#N/A</v>
      </c>
      <c r="O491" s="3" t="e">
        <f>VLOOKUP(M491,GACETA!$A$1:$C$186,2,0)</f>
        <v>#N/A</v>
      </c>
    </row>
    <row r="492" spans="1:21" ht="22.5" customHeight="1" x14ac:dyDescent="0.3">
      <c r="L492" s="3" t="e">
        <f>VLOOKUP(K492,'GACETA 3'!$E$9:$F$75,2,0)</f>
        <v>#N/A</v>
      </c>
      <c r="M492" s="3" t="str">
        <f t="shared" si="7"/>
        <v/>
      </c>
      <c r="N492" s="3" t="e">
        <f>VLOOKUP(M492,GACETA!$A$1:$C$186,3,0)</f>
        <v>#N/A</v>
      </c>
      <c r="O492" s="3" t="e">
        <f>VLOOKUP(M492,GACETA!$A$1:$C$186,2,0)</f>
        <v>#N/A</v>
      </c>
    </row>
    <row r="493" spans="1:21" ht="22.5" customHeight="1" x14ac:dyDescent="0.3">
      <c r="L493" s="3" t="e">
        <f>VLOOKUP(K493,'GACETA 3'!$E$9:$F$75,2,0)</f>
        <v>#N/A</v>
      </c>
      <c r="M493" s="3" t="str">
        <f t="shared" si="7"/>
        <v/>
      </c>
      <c r="N493" s="3" t="e">
        <f>VLOOKUP(M493,GACETA!$A$1:$C$186,3,0)</f>
        <v>#N/A</v>
      </c>
      <c r="O493" s="3" t="e">
        <f>VLOOKUP(M493,GACETA!$A$1:$C$186,2,0)</f>
        <v>#N/A</v>
      </c>
    </row>
    <row r="494" spans="1:21" ht="22.5" customHeight="1" x14ac:dyDescent="0.3">
      <c r="L494" s="3" t="e">
        <f>VLOOKUP(K494,'GACETA 3'!$E$9:$F$75,2,0)</f>
        <v>#N/A</v>
      </c>
      <c r="M494" s="3" t="str">
        <f t="shared" si="7"/>
        <v/>
      </c>
      <c r="N494" s="3" t="e">
        <f>VLOOKUP(M494,GACETA!$A$1:$C$186,3,0)</f>
        <v>#N/A</v>
      </c>
      <c r="O494" s="3" t="e">
        <f>VLOOKUP(M494,GACETA!$A$1:$C$186,2,0)</f>
        <v>#N/A</v>
      </c>
    </row>
    <row r="495" spans="1:21" ht="49.5" customHeight="1" x14ac:dyDescent="0.3">
      <c r="L495" s="3" t="e">
        <f>VLOOKUP(K495,'GACETA 3'!$E$9:$F$75,2,0)</f>
        <v>#N/A</v>
      </c>
      <c r="M495" s="3" t="str">
        <f t="shared" si="7"/>
        <v/>
      </c>
      <c r="N495" s="3" t="e">
        <f>VLOOKUP(M495,GACETA!$A$1:$C$186,3,0)</f>
        <v>#N/A</v>
      </c>
      <c r="O495" s="3" t="e">
        <f>VLOOKUP(M495,GACETA!$A$1:$C$186,2,0)</f>
        <v>#N/A</v>
      </c>
    </row>
    <row r="496" spans="1:21" ht="22.5" customHeight="1" x14ac:dyDescent="0.3">
      <c r="L496" s="3" t="e">
        <f>VLOOKUP(K496,'GACETA 3'!$E$9:$F$75,2,0)</f>
        <v>#N/A</v>
      </c>
      <c r="M496" s="3" t="str">
        <f t="shared" si="7"/>
        <v/>
      </c>
      <c r="N496" s="3" t="e">
        <f>VLOOKUP(M496,GACETA!$A$1:$C$186,3,0)</f>
        <v>#N/A</v>
      </c>
      <c r="O496" s="3" t="e">
        <f>VLOOKUP(M496,GACETA!$A$1:$C$186,2,0)</f>
        <v>#N/A</v>
      </c>
    </row>
    <row r="497" spans="12:15" ht="22.5" customHeight="1" x14ac:dyDescent="0.3">
      <c r="L497" s="3" t="e">
        <f>VLOOKUP(K497,'GACETA 3'!$E$9:$F$75,2,0)</f>
        <v>#N/A</v>
      </c>
      <c r="M497" s="3" t="str">
        <f t="shared" si="7"/>
        <v/>
      </c>
      <c r="N497" s="3" t="e">
        <f>VLOOKUP(M497,GACETA!$A$1:$C$186,3,0)</f>
        <v>#N/A</v>
      </c>
      <c r="O497" s="3" t="e">
        <f>VLOOKUP(M497,GACETA!$A$1:$C$186,2,0)</f>
        <v>#N/A</v>
      </c>
    </row>
  </sheetData>
  <autoFilter ref="A1:T497" xr:uid="{00000000-0009-0000-0000-000000000000}"/>
  <mergeCells count="278">
    <mergeCell ref="A447:A467"/>
    <mergeCell ref="Q175:Q178"/>
    <mergeCell ref="B233:B242"/>
    <mergeCell ref="B200:B205"/>
    <mergeCell ref="A306:A337"/>
    <mergeCell ref="Q342:Q344"/>
    <mergeCell ref="Q345:Q346"/>
    <mergeCell ref="P338:P341"/>
    <mergeCell ref="Q338:Q341"/>
    <mergeCell ref="A437:A446"/>
    <mergeCell ref="P384:P390"/>
    <mergeCell ref="Q384:Q390"/>
    <mergeCell ref="B338:B354"/>
    <mergeCell ref="P440:P446"/>
    <mergeCell ref="Q440:Q446"/>
    <mergeCell ref="P416:P436"/>
    <mergeCell ref="Q416:Q424"/>
    <mergeCell ref="Q425:Q428"/>
    <mergeCell ref="Q356:Q367"/>
    <mergeCell ref="B306:B337"/>
    <mergeCell ref="P342:P346"/>
    <mergeCell ref="P398:P407"/>
    <mergeCell ref="P396:P397"/>
    <mergeCell ref="Q396:Q397"/>
    <mergeCell ref="P464:P467"/>
    <mergeCell ref="Q464:Q467"/>
    <mergeCell ref="B447:B467"/>
    <mergeCell ref="Q9:Q17"/>
    <mergeCell ref="P60:P62"/>
    <mergeCell ref="Q127:Q130"/>
    <mergeCell ref="Q146:Q147"/>
    <mergeCell ref="B437:B446"/>
    <mergeCell ref="Q117:Q123"/>
    <mergeCell ref="B117:B139"/>
    <mergeCell ref="P117:P126"/>
    <mergeCell ref="Q243:Q245"/>
    <mergeCell ref="B291:B295"/>
    <mergeCell ref="Q187:Q190"/>
    <mergeCell ref="P191:P193"/>
    <mergeCell ref="Q191:Q193"/>
    <mergeCell ref="P194:P196"/>
    <mergeCell ref="Q194:Q196"/>
    <mergeCell ref="P391:P395"/>
    <mergeCell ref="Q319:Q323"/>
    <mergeCell ref="B391:B415"/>
    <mergeCell ref="P408:P415"/>
    <mergeCell ref="Q413:Q415"/>
    <mergeCell ref="Q408:Q410"/>
    <mergeCell ref="Q411:Q412"/>
    <mergeCell ref="Q391:Q395"/>
    <mergeCell ref="Q398:Q400"/>
    <mergeCell ref="A243:A262"/>
    <mergeCell ref="A286:A290"/>
    <mergeCell ref="Q270:Q280"/>
    <mergeCell ref="B2:B17"/>
    <mergeCell ref="A2:A17"/>
    <mergeCell ref="B57:B59"/>
    <mergeCell ref="B60:B62"/>
    <mergeCell ref="B63:B65"/>
    <mergeCell ref="B54:B56"/>
    <mergeCell ref="P127:P139"/>
    <mergeCell ref="Q131:Q132"/>
    <mergeCell ref="Q133:Q136"/>
    <mergeCell ref="Q137:Q139"/>
    <mergeCell ref="P106:P111"/>
    <mergeCell ref="P2:P5"/>
    <mergeCell ref="Q2:Q5"/>
    <mergeCell ref="P6:P8"/>
    <mergeCell ref="B39:B41"/>
    <mergeCell ref="B42:B44"/>
    <mergeCell ref="B45:B47"/>
    <mergeCell ref="B48:B50"/>
    <mergeCell ref="B36:B38"/>
    <mergeCell ref="Q6:Q8"/>
    <mergeCell ref="P9:P17"/>
    <mergeCell ref="Q206:Q208"/>
    <mergeCell ref="Q215:Q216"/>
    <mergeCell ref="Q233:Q235"/>
    <mergeCell ref="Q352:Q354"/>
    <mergeCell ref="B355:B390"/>
    <mergeCell ref="A391:A415"/>
    <mergeCell ref="Q402:Q407"/>
    <mergeCell ref="Q220:Q222"/>
    <mergeCell ref="A117:A139"/>
    <mergeCell ref="P241:P242"/>
    <mergeCell ref="P236:P238"/>
    <mergeCell ref="Q236:Q238"/>
    <mergeCell ref="B243:B262"/>
    <mergeCell ref="P355:P383"/>
    <mergeCell ref="Q368:Q372"/>
    <mergeCell ref="Q373:Q379"/>
    <mergeCell ref="Q380:Q383"/>
    <mergeCell ref="B286:B290"/>
    <mergeCell ref="P243:P245"/>
    <mergeCell ref="Q296:Q299"/>
    <mergeCell ref="P257:P262"/>
    <mergeCell ref="Q257:Q262"/>
    <mergeCell ref="P286:P289"/>
    <mergeCell ref="Q286:Q289"/>
    <mergeCell ref="Q170:Q171"/>
    <mergeCell ref="P175:P178"/>
    <mergeCell ref="A163:A169"/>
    <mergeCell ref="Q157:Q162"/>
    <mergeCell ref="P150:P162"/>
    <mergeCell ref="B150:B162"/>
    <mergeCell ref="Q150:Q156"/>
    <mergeCell ref="A150:A162"/>
    <mergeCell ref="P163:P169"/>
    <mergeCell ref="Q163:Q169"/>
    <mergeCell ref="Q173:Q174"/>
    <mergeCell ref="A481:A488"/>
    <mergeCell ref="A24:A26"/>
    <mergeCell ref="A27:A29"/>
    <mergeCell ref="A30:A32"/>
    <mergeCell ref="A33:A35"/>
    <mergeCell ref="A36:A38"/>
    <mergeCell ref="A39:A41"/>
    <mergeCell ref="A42:A44"/>
    <mergeCell ref="A45:A47"/>
    <mergeCell ref="A48:A50"/>
    <mergeCell ref="A51:A53"/>
    <mergeCell ref="A54:A56"/>
    <mergeCell ref="A296:A304"/>
    <mergeCell ref="A57:A59"/>
    <mergeCell ref="A60:A62"/>
    <mergeCell ref="A63:A65"/>
    <mergeCell ref="A338:A354"/>
    <mergeCell ref="A473:A479"/>
    <mergeCell ref="A200:A205"/>
    <mergeCell ref="A355:A390"/>
    <mergeCell ref="A140:A149"/>
    <mergeCell ref="A181:A199"/>
    <mergeCell ref="A206:A225"/>
    <mergeCell ref="A263:A283"/>
    <mergeCell ref="B473:B479"/>
    <mergeCell ref="Q350:Q351"/>
    <mergeCell ref="P459:P463"/>
    <mergeCell ref="P30:P32"/>
    <mergeCell ref="Q30:Q32"/>
    <mergeCell ref="P33:P35"/>
    <mergeCell ref="Q33:Q35"/>
    <mergeCell ref="B51:B53"/>
    <mergeCell ref="Q48:Q50"/>
    <mergeCell ref="B30:B32"/>
    <mergeCell ref="P48:P50"/>
    <mergeCell ref="Q51:Q53"/>
    <mergeCell ref="Q36:Q38"/>
    <mergeCell ref="P36:P38"/>
    <mergeCell ref="Q300:Q302"/>
    <mergeCell ref="P291:P295"/>
    <mergeCell ref="Q291:Q295"/>
    <mergeCell ref="P300:P302"/>
    <mergeCell ref="P112:P116"/>
    <mergeCell ref="P239:P240"/>
    <mergeCell ref="Q239:Q240"/>
    <mergeCell ref="B206:B225"/>
    <mergeCell ref="B263:B283"/>
    <mergeCell ref="Q148:Q149"/>
    <mergeCell ref="Q54:Q56"/>
    <mergeCell ref="P233:P235"/>
    <mergeCell ref="B481:B488"/>
    <mergeCell ref="B163:B169"/>
    <mergeCell ref="P481:P488"/>
    <mergeCell ref="Q481:Q484"/>
    <mergeCell ref="Q485:Q488"/>
    <mergeCell ref="P181:P190"/>
    <mergeCell ref="Q181:Q186"/>
    <mergeCell ref="Q209:Q212"/>
    <mergeCell ref="Q213:Q214"/>
    <mergeCell ref="Q217:Q219"/>
    <mergeCell ref="P223:P225"/>
    <mergeCell ref="Q223:Q225"/>
    <mergeCell ref="P209:P222"/>
    <mergeCell ref="P296:P299"/>
    <mergeCell ref="B416:B436"/>
    <mergeCell ref="P350:P354"/>
    <mergeCell ref="P473:P479"/>
    <mergeCell ref="P332:P337"/>
    <mergeCell ref="Q332:Q337"/>
    <mergeCell ref="P66:P79"/>
    <mergeCell ref="Q473:Q475"/>
    <mergeCell ref="Q476:Q479"/>
    <mergeCell ref="A66:A116"/>
    <mergeCell ref="B170:B180"/>
    <mergeCell ref="A170:A180"/>
    <mergeCell ref="Q140:Q141"/>
    <mergeCell ref="B140:B149"/>
    <mergeCell ref="Q106:Q111"/>
    <mergeCell ref="B24:B26"/>
    <mergeCell ref="B27:B29"/>
    <mergeCell ref="P27:P29"/>
    <mergeCell ref="Q27:Q29"/>
    <mergeCell ref="B33:B35"/>
    <mergeCell ref="P170:P172"/>
    <mergeCell ref="P173:P174"/>
    <mergeCell ref="Q39:Q41"/>
    <mergeCell ref="P42:P44"/>
    <mergeCell ref="Q42:Q44"/>
    <mergeCell ref="P45:P47"/>
    <mergeCell ref="Q45:Q47"/>
    <mergeCell ref="P39:P41"/>
    <mergeCell ref="P51:P53"/>
    <mergeCell ref="Q89:Q93"/>
    <mergeCell ref="Q124:Q126"/>
    <mergeCell ref="Q60:Q62"/>
    <mergeCell ref="P94:P95"/>
    <mergeCell ref="B296:B305"/>
    <mergeCell ref="B181:B199"/>
    <mergeCell ref="P197:P199"/>
    <mergeCell ref="Q197:Q199"/>
    <mergeCell ref="B66:B116"/>
    <mergeCell ref="Q142:Q143"/>
    <mergeCell ref="Q144:Q145"/>
    <mergeCell ref="P206:P208"/>
    <mergeCell ref="Q470:Q471"/>
    <mergeCell ref="P347:P349"/>
    <mergeCell ref="Q306:Q310"/>
    <mergeCell ref="Q311:Q316"/>
    <mergeCell ref="P201:P203"/>
    <mergeCell ref="Q202:Q203"/>
    <mergeCell ref="P246:P249"/>
    <mergeCell ref="Q246:Q249"/>
    <mergeCell ref="P250:P252"/>
    <mergeCell ref="Q250:Q252"/>
    <mergeCell ref="P142:P149"/>
    <mergeCell ref="Q66:Q78"/>
    <mergeCell ref="P80:P83"/>
    <mergeCell ref="Q80:Q83"/>
    <mergeCell ref="P84:P93"/>
    <mergeCell ref="Q85:Q88"/>
    <mergeCell ref="A468:A471"/>
    <mergeCell ref="Q226:Q230"/>
    <mergeCell ref="P226:P230"/>
    <mergeCell ref="P231:P232"/>
    <mergeCell ref="B226:B232"/>
    <mergeCell ref="A226:A232"/>
    <mergeCell ref="A233:A242"/>
    <mergeCell ref="Q447:Q450"/>
    <mergeCell ref="P454:P458"/>
    <mergeCell ref="Q454:Q458"/>
    <mergeCell ref="B468:B471"/>
    <mergeCell ref="P468:P471"/>
    <mergeCell ref="Q459:Q463"/>
    <mergeCell ref="A291:A295"/>
    <mergeCell ref="A416:A436"/>
    <mergeCell ref="Q429:Q436"/>
    <mergeCell ref="Q263:Q269"/>
    <mergeCell ref="P263:P282"/>
    <mergeCell ref="Q281:Q282"/>
    <mergeCell ref="Q468:Q469"/>
    <mergeCell ref="P447:P453"/>
    <mergeCell ref="Q451:Q453"/>
    <mergeCell ref="P437:P439"/>
    <mergeCell ref="Q437:Q439"/>
    <mergeCell ref="P18:P23"/>
    <mergeCell ref="Q18:Q23"/>
    <mergeCell ref="P284:P285"/>
    <mergeCell ref="Q284:Q285"/>
    <mergeCell ref="P304:P305"/>
    <mergeCell ref="Q304:Q305"/>
    <mergeCell ref="Q324:Q329"/>
    <mergeCell ref="Q330:Q331"/>
    <mergeCell ref="P306:P331"/>
    <mergeCell ref="P253:P256"/>
    <mergeCell ref="Q253:Q256"/>
    <mergeCell ref="P24:P26"/>
    <mergeCell ref="Q24:Q26"/>
    <mergeCell ref="P57:P59"/>
    <mergeCell ref="Q57:Q59"/>
    <mergeCell ref="Q112:Q116"/>
    <mergeCell ref="P96:P97"/>
    <mergeCell ref="P99:P105"/>
    <mergeCell ref="Q99:Q105"/>
    <mergeCell ref="P63:P65"/>
    <mergeCell ref="Q63:Q65"/>
    <mergeCell ref="P140:P141"/>
    <mergeCell ref="Q317:Q318"/>
    <mergeCell ref="P54:P56"/>
  </mergeCells>
  <printOptions horizontalCentered="1"/>
  <pageMargins left="0.51181102362204722" right="0.51181102362204722" top="0.74803149606299213" bottom="0.74803149606299213" header="0.31496062992125984" footer="0.31496062992125984"/>
  <pageSetup scale="43" orientation="landscape" r:id="rId1"/>
  <ignoredErrors>
    <ignoredError sqref="C2:H5 F24 C193:F193 C396:D396 C6:E8 C9:G14 C17:G17 C66:G78 C79:F85 C86:C88 C150:G154 C124:F126 C117:G123 C127:G132 C133:F141 C142:G143 C144:F149 C156:G156 C179:G179 C178:F178 C174:F176 C157:F171 C98 C112:F116 C99:F105 C106:G111 C89:F97 E98:G98 C180:F181 C186:F186 C189:F190 C196:F196 C197:G197 C199:G199 C205:F205 C201:G201 C200:F200 C202:F203 C231:G231 C222:F223 C206:G206 C209:F209 C212:F215 C217:F217 C219:F219 C387:G387 C390:G390 C384:G384 C355:G355 C356:F364 C366:F375 C379:F383 C225:F227 C230:F230 F396 C391:F392 C241:G241 C238:F240 C232:F236 C242:F252 C253:G255 C257:G267 C280:F281 C283:G283 C290:G290 C286:F289 C292:G292 C291:F291 C323:F323 C332:F337 C468:F471 C473:G475 C476:F479 C485:F488 C459:G464 C454:F458 C440:G446 C447:F450 C278:F278 C276:F276 C270:F272 C299:F304 C293:F297 C319:F319 C437:G437 C481:F481 C482:F482 C483:F483 C484:F48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2EA2-326E-42E0-B357-6576BC055D83}">
  <dimension ref="A2:I480"/>
  <sheetViews>
    <sheetView topLeftCell="A130" zoomScaleNormal="100" workbookViewId="0">
      <selection activeCell="A424" sqref="A422:XFD424"/>
    </sheetView>
  </sheetViews>
  <sheetFormatPr baseColWidth="10" defaultRowHeight="14.4" x14ac:dyDescent="0.3"/>
  <cols>
    <col min="1" max="1" width="4.88671875" bestFit="1" customWidth="1"/>
    <col min="2" max="2" width="46" bestFit="1" customWidth="1"/>
    <col min="3" max="3" width="4.109375" bestFit="1" customWidth="1"/>
    <col min="4" max="4" width="47.33203125" bestFit="1" customWidth="1"/>
    <col min="5" max="5" width="11.6640625" bestFit="1" customWidth="1"/>
    <col min="6" max="6" width="5.5546875" bestFit="1" customWidth="1"/>
    <col min="7" max="7" width="122.88671875" bestFit="1" customWidth="1"/>
    <col min="8" max="8" width="122.88671875" customWidth="1"/>
    <col min="9" max="9" width="212.44140625" bestFit="1" customWidth="1"/>
  </cols>
  <sheetData>
    <row r="2" spans="1:9" x14ac:dyDescent="0.3">
      <c r="A2" t="s">
        <v>45</v>
      </c>
      <c r="B2" t="s">
        <v>9</v>
      </c>
      <c r="C2">
        <v>155</v>
      </c>
      <c r="D2" t="s">
        <v>2661</v>
      </c>
      <c r="E2" t="s">
        <v>1520</v>
      </c>
      <c r="F2" t="str">
        <f>VLOOKUP(E2,GACETA!$A$1:$C$186,3,0)</f>
        <v>M</v>
      </c>
      <c r="G2" t="s">
        <v>96</v>
      </c>
      <c r="I2" t="s">
        <v>97</v>
      </c>
    </row>
    <row r="3" spans="1:9" x14ac:dyDescent="0.3">
      <c r="A3" t="s">
        <v>45</v>
      </c>
      <c r="B3" t="s">
        <v>9</v>
      </c>
      <c r="C3">
        <v>155</v>
      </c>
      <c r="D3" t="s">
        <v>2661</v>
      </c>
      <c r="E3" t="s">
        <v>1520</v>
      </c>
      <c r="F3" t="str">
        <f>VLOOKUP(E3,GACETA!$A$1:$C$186,3,0)</f>
        <v>M</v>
      </c>
      <c r="G3" t="s">
        <v>96</v>
      </c>
      <c r="I3" t="s">
        <v>99</v>
      </c>
    </row>
    <row r="4" spans="1:9" x14ac:dyDescent="0.3">
      <c r="A4" t="s">
        <v>45</v>
      </c>
      <c r="B4" t="s">
        <v>9</v>
      </c>
      <c r="C4">
        <v>155</v>
      </c>
      <c r="D4" t="s">
        <v>2661</v>
      </c>
      <c r="E4" t="s">
        <v>1520</v>
      </c>
      <c r="F4" t="str">
        <f>VLOOKUP(E4,GACETA!$A$1:$C$186,3,0)</f>
        <v>M</v>
      </c>
      <c r="G4" t="s">
        <v>96</v>
      </c>
      <c r="I4" t="s">
        <v>101</v>
      </c>
    </row>
    <row r="5" spans="1:9" x14ac:dyDescent="0.3">
      <c r="A5" t="s">
        <v>45</v>
      </c>
      <c r="B5" t="s">
        <v>9</v>
      </c>
      <c r="C5">
        <v>155</v>
      </c>
      <c r="D5" t="s">
        <v>2661</v>
      </c>
      <c r="E5" t="s">
        <v>1520</v>
      </c>
      <c r="F5" t="str">
        <f>VLOOKUP(E5,GACETA!$A$1:$C$186,3,0)</f>
        <v>M</v>
      </c>
      <c r="G5" t="s">
        <v>96</v>
      </c>
      <c r="I5" t="s">
        <v>103</v>
      </c>
    </row>
    <row r="6" spans="1:9" x14ac:dyDescent="0.3">
      <c r="A6" t="s">
        <v>45</v>
      </c>
      <c r="B6" t="s">
        <v>9</v>
      </c>
      <c r="C6">
        <v>114</v>
      </c>
      <c r="D6" t="s">
        <v>2622</v>
      </c>
      <c r="E6" t="s">
        <v>1536</v>
      </c>
      <c r="F6" t="str">
        <f>VLOOKUP(E6,GACETA!$A$1:$C$186,3,0)</f>
        <v>M</v>
      </c>
      <c r="G6" t="s">
        <v>106</v>
      </c>
      <c r="H6" t="str">
        <f>CONCATENATE(A6," ",C6," ",E6," ",F6)</f>
        <v>D00 114 0105020606 M</v>
      </c>
      <c r="I6" t="s">
        <v>107</v>
      </c>
    </row>
    <row r="7" spans="1:9" x14ac:dyDescent="0.3">
      <c r="A7" t="s">
        <v>45</v>
      </c>
      <c r="B7" t="s">
        <v>9</v>
      </c>
      <c r="C7">
        <v>114</v>
      </c>
      <c r="D7" t="s">
        <v>2622</v>
      </c>
      <c r="E7" t="s">
        <v>1536</v>
      </c>
      <c r="F7" t="str">
        <f>VLOOKUP(E7,GACETA!$A$1:$C$186,3,0)</f>
        <v>M</v>
      </c>
      <c r="G7" t="s">
        <v>106</v>
      </c>
      <c r="H7" t="str">
        <f t="shared" ref="H7:H70" si="0">CONCATENATE(A7," ",C7," ",E7," ",F7)</f>
        <v>D00 114 0105020606 M</v>
      </c>
      <c r="I7" t="s">
        <v>109</v>
      </c>
    </row>
    <row r="8" spans="1:9" x14ac:dyDescent="0.3">
      <c r="A8" t="s">
        <v>45</v>
      </c>
      <c r="B8" t="s">
        <v>9</v>
      </c>
      <c r="C8">
        <v>114</v>
      </c>
      <c r="D8" t="s">
        <v>2622</v>
      </c>
      <c r="E8" t="s">
        <v>1536</v>
      </c>
      <c r="F8" t="str">
        <f>VLOOKUP(E8,GACETA!$A$1:$C$186,3,0)</f>
        <v>M</v>
      </c>
      <c r="G8" t="s">
        <v>106</v>
      </c>
      <c r="H8" t="str">
        <f t="shared" si="0"/>
        <v>D00 114 0105020606 M</v>
      </c>
      <c r="I8" t="s">
        <v>974</v>
      </c>
    </row>
    <row r="9" spans="1:9" x14ac:dyDescent="0.3">
      <c r="A9" t="s">
        <v>45</v>
      </c>
      <c r="B9" t="s">
        <v>9</v>
      </c>
      <c r="C9">
        <v>108</v>
      </c>
      <c r="D9" t="s">
        <v>2616</v>
      </c>
      <c r="E9" t="s">
        <v>1521</v>
      </c>
      <c r="F9" t="str">
        <f>VLOOKUP(E9,GACETA!$A$1:$C$186,3,0)</f>
        <v>L</v>
      </c>
      <c r="G9" t="s">
        <v>1496</v>
      </c>
      <c r="H9" t="str">
        <f t="shared" si="0"/>
        <v>D00 108 0103090301 L</v>
      </c>
      <c r="I9" t="s">
        <v>114</v>
      </c>
    </row>
    <row r="10" spans="1:9" x14ac:dyDescent="0.3">
      <c r="A10" t="s">
        <v>45</v>
      </c>
      <c r="B10" t="s">
        <v>9</v>
      </c>
      <c r="C10">
        <v>108</v>
      </c>
      <c r="D10" t="s">
        <v>2616</v>
      </c>
      <c r="E10" t="s">
        <v>1521</v>
      </c>
      <c r="F10" t="str">
        <f>VLOOKUP(E10,GACETA!$A$1:$C$186,3,0)</f>
        <v>L</v>
      </c>
      <c r="G10" t="s">
        <v>1496</v>
      </c>
      <c r="H10" t="str">
        <f t="shared" si="0"/>
        <v>D00 108 0103090301 L</v>
      </c>
      <c r="I10" t="s">
        <v>116</v>
      </c>
    </row>
    <row r="11" spans="1:9" x14ac:dyDescent="0.3">
      <c r="A11" t="s">
        <v>45</v>
      </c>
      <c r="B11" t="s">
        <v>9</v>
      </c>
      <c r="C11">
        <v>108</v>
      </c>
      <c r="D11" t="s">
        <v>2616</v>
      </c>
      <c r="E11" t="s">
        <v>1521</v>
      </c>
      <c r="F11" t="str">
        <f>VLOOKUP(E11,GACETA!$A$1:$C$186,3,0)</f>
        <v>L</v>
      </c>
      <c r="G11" t="s">
        <v>1496</v>
      </c>
      <c r="H11" t="str">
        <f t="shared" si="0"/>
        <v>D00 108 0103090301 L</v>
      </c>
      <c r="I11" t="s">
        <v>118</v>
      </c>
    </row>
    <row r="12" spans="1:9" x14ac:dyDescent="0.3">
      <c r="A12" t="s">
        <v>45</v>
      </c>
      <c r="B12" t="s">
        <v>9</v>
      </c>
      <c r="C12">
        <v>108</v>
      </c>
      <c r="D12" t="s">
        <v>2616</v>
      </c>
      <c r="E12" t="s">
        <v>1521</v>
      </c>
      <c r="F12" t="str">
        <f>VLOOKUP(E12,GACETA!$A$1:$C$186,3,0)</f>
        <v>L</v>
      </c>
      <c r="G12" t="s">
        <v>1496</v>
      </c>
      <c r="H12" t="str">
        <f t="shared" si="0"/>
        <v>D00 108 0103090301 L</v>
      </c>
      <c r="I12" t="s">
        <v>120</v>
      </c>
    </row>
    <row r="13" spans="1:9" x14ac:dyDescent="0.3">
      <c r="A13" t="s">
        <v>45</v>
      </c>
      <c r="B13" t="s">
        <v>9</v>
      </c>
      <c r="C13">
        <v>108</v>
      </c>
      <c r="D13" t="s">
        <v>2616</v>
      </c>
      <c r="E13" t="s">
        <v>1521</v>
      </c>
      <c r="F13" t="str">
        <f>VLOOKUP(E13,GACETA!$A$1:$C$186,3,0)</f>
        <v>L</v>
      </c>
      <c r="G13" t="s">
        <v>1496</v>
      </c>
      <c r="H13" t="str">
        <f t="shared" si="0"/>
        <v>D00 108 0103090301 L</v>
      </c>
      <c r="I13" t="s">
        <v>121</v>
      </c>
    </row>
    <row r="14" spans="1:9" x14ac:dyDescent="0.3">
      <c r="A14" t="s">
        <v>45</v>
      </c>
      <c r="B14" t="s">
        <v>9</v>
      </c>
      <c r="C14">
        <v>108</v>
      </c>
      <c r="D14" t="s">
        <v>2616</v>
      </c>
      <c r="E14" t="s">
        <v>1521</v>
      </c>
      <c r="F14" t="str">
        <f>VLOOKUP(E14,GACETA!$A$1:$C$186,3,0)</f>
        <v>L</v>
      </c>
      <c r="G14" t="s">
        <v>1496</v>
      </c>
      <c r="H14" t="str">
        <f t="shared" si="0"/>
        <v>D00 108 0103090301 L</v>
      </c>
      <c r="I14" t="s">
        <v>123</v>
      </c>
    </row>
    <row r="15" spans="1:9" x14ac:dyDescent="0.3">
      <c r="A15" t="s">
        <v>45</v>
      </c>
      <c r="B15" t="s">
        <v>9</v>
      </c>
      <c r="C15">
        <v>108</v>
      </c>
      <c r="D15" t="s">
        <v>2616</v>
      </c>
      <c r="E15" t="s">
        <v>1521</v>
      </c>
      <c r="F15" t="str">
        <f>VLOOKUP(E15,GACETA!$A$1:$C$186,3,0)</f>
        <v>L</v>
      </c>
      <c r="G15" t="s">
        <v>1496</v>
      </c>
      <c r="H15" t="str">
        <f t="shared" si="0"/>
        <v>D00 108 0103090301 L</v>
      </c>
      <c r="I15" t="s">
        <v>125</v>
      </c>
    </row>
    <row r="16" spans="1:9" x14ac:dyDescent="0.3">
      <c r="A16" t="s">
        <v>45</v>
      </c>
      <c r="B16" t="s">
        <v>9</v>
      </c>
      <c r="C16">
        <v>108</v>
      </c>
      <c r="D16" t="s">
        <v>2616</v>
      </c>
      <c r="E16" t="s">
        <v>1521</v>
      </c>
      <c r="F16" t="str">
        <f>VLOOKUP(E16,GACETA!$A$1:$C$186,3,0)</f>
        <v>L</v>
      </c>
      <c r="G16" t="s">
        <v>1496</v>
      </c>
      <c r="H16" t="str">
        <f t="shared" si="0"/>
        <v>D00 108 0103090301 L</v>
      </c>
      <c r="I16" t="s">
        <v>972</v>
      </c>
    </row>
    <row r="17" spans="1:9" x14ac:dyDescent="0.3">
      <c r="A17" t="s">
        <v>45</v>
      </c>
      <c r="B17" t="s">
        <v>9</v>
      </c>
      <c r="C17">
        <v>108</v>
      </c>
      <c r="D17" t="s">
        <v>2616</v>
      </c>
      <c r="E17" t="s">
        <v>1521</v>
      </c>
      <c r="F17" t="str">
        <f>VLOOKUP(E17,GACETA!$A$1:$C$186,3,0)</f>
        <v>L</v>
      </c>
      <c r="G17" t="s">
        <v>1496</v>
      </c>
      <c r="H17" t="str">
        <f t="shared" si="0"/>
        <v>D00 108 0103090301 L</v>
      </c>
      <c r="I17" t="s">
        <v>973</v>
      </c>
    </row>
    <row r="18" spans="1:9" x14ac:dyDescent="0.3">
      <c r="A18" t="s">
        <v>45</v>
      </c>
      <c r="B18" t="s">
        <v>9</v>
      </c>
      <c r="C18">
        <v>109</v>
      </c>
      <c r="D18" t="s">
        <v>2617</v>
      </c>
      <c r="E18" t="s">
        <v>1550</v>
      </c>
      <c r="F18" t="str">
        <f>VLOOKUP(E18,GACETA!$A$1:$C$186,3,0)</f>
        <v>E</v>
      </c>
      <c r="G18" t="s">
        <v>1401</v>
      </c>
      <c r="H18" t="str">
        <f t="shared" si="0"/>
        <v>D00 109 0108010102 E</v>
      </c>
      <c r="I18" t="s">
        <v>1224</v>
      </c>
    </row>
    <row r="19" spans="1:9" x14ac:dyDescent="0.3">
      <c r="A19" t="s">
        <v>45</v>
      </c>
      <c r="B19" t="s">
        <v>9</v>
      </c>
      <c r="C19">
        <v>109</v>
      </c>
      <c r="D19" t="s">
        <v>2617</v>
      </c>
      <c r="E19" t="s">
        <v>1550</v>
      </c>
      <c r="F19" t="str">
        <f>VLOOKUP(E19,GACETA!$A$1:$C$186,3,0)</f>
        <v>E</v>
      </c>
      <c r="G19" t="s">
        <v>1401</v>
      </c>
      <c r="H19" t="str">
        <f t="shared" si="0"/>
        <v>D00 109 0108010102 E</v>
      </c>
      <c r="I19" t="s">
        <v>678</v>
      </c>
    </row>
    <row r="20" spans="1:9" x14ac:dyDescent="0.3">
      <c r="A20" t="s">
        <v>45</v>
      </c>
      <c r="B20" t="s">
        <v>9</v>
      </c>
      <c r="C20">
        <v>109</v>
      </c>
      <c r="D20" t="s">
        <v>2617</v>
      </c>
      <c r="E20" t="s">
        <v>1550</v>
      </c>
      <c r="F20" t="str">
        <f>VLOOKUP(E20,GACETA!$A$1:$C$186,3,0)</f>
        <v>E</v>
      </c>
      <c r="G20" t="s">
        <v>1401</v>
      </c>
      <c r="H20" t="str">
        <f t="shared" si="0"/>
        <v>D00 109 0108010102 E</v>
      </c>
      <c r="I20" t="s">
        <v>1225</v>
      </c>
    </row>
    <row r="21" spans="1:9" x14ac:dyDescent="0.3">
      <c r="A21" t="s">
        <v>45</v>
      </c>
      <c r="B21" t="s">
        <v>9</v>
      </c>
      <c r="C21">
        <v>109</v>
      </c>
      <c r="D21" t="s">
        <v>2617</v>
      </c>
      <c r="E21" t="s">
        <v>1550</v>
      </c>
      <c r="F21" t="str">
        <f>VLOOKUP(E21,GACETA!$A$1:$C$186,3,0)</f>
        <v>E</v>
      </c>
      <c r="G21" t="s">
        <v>1401</v>
      </c>
      <c r="H21" t="str">
        <f t="shared" si="0"/>
        <v>D00 109 0108010102 E</v>
      </c>
      <c r="I21" t="s">
        <v>1226</v>
      </c>
    </row>
    <row r="22" spans="1:9" x14ac:dyDescent="0.3">
      <c r="A22" t="s">
        <v>45</v>
      </c>
      <c r="B22" t="s">
        <v>9</v>
      </c>
      <c r="C22">
        <v>109</v>
      </c>
      <c r="D22" t="s">
        <v>2617</v>
      </c>
      <c r="E22" t="s">
        <v>1550</v>
      </c>
      <c r="F22" t="str">
        <f>VLOOKUP(E22,GACETA!$A$1:$C$186,3,0)</f>
        <v>E</v>
      </c>
      <c r="G22" t="s">
        <v>1401</v>
      </c>
      <c r="H22" t="str">
        <f t="shared" si="0"/>
        <v>D00 109 0108010102 E</v>
      </c>
      <c r="I22" t="s">
        <v>1227</v>
      </c>
    </row>
    <row r="23" spans="1:9" x14ac:dyDescent="0.3">
      <c r="A23" t="s">
        <v>45</v>
      </c>
      <c r="B23" t="s">
        <v>9</v>
      </c>
      <c r="C23">
        <v>109</v>
      </c>
      <c r="D23" t="s">
        <v>2617</v>
      </c>
      <c r="E23" t="s">
        <v>1550</v>
      </c>
      <c r="F23" t="str">
        <f>VLOOKUP(E23,GACETA!$A$1:$C$186,3,0)</f>
        <v>E</v>
      </c>
      <c r="G23" t="s">
        <v>1401</v>
      </c>
      <c r="H23" t="str">
        <f t="shared" si="0"/>
        <v>D00 109 0108010102 E</v>
      </c>
      <c r="I23" t="s">
        <v>1228</v>
      </c>
    </row>
    <row r="24" spans="1:9" x14ac:dyDescent="0.3">
      <c r="A24" t="s">
        <v>25</v>
      </c>
      <c r="B24" t="s">
        <v>26</v>
      </c>
      <c r="C24">
        <v>110</v>
      </c>
      <c r="D24" t="s">
        <v>2618</v>
      </c>
      <c r="E24" t="s">
        <v>1586</v>
      </c>
      <c r="F24" t="str">
        <f>VLOOKUP(E24,GACETA!$A$1:$C$186,3,0)</f>
        <v>M</v>
      </c>
      <c r="G24" t="s">
        <v>1416</v>
      </c>
      <c r="H24" t="str">
        <f t="shared" si="0"/>
        <v>B01 110 0202020102 M</v>
      </c>
      <c r="I24" t="s">
        <v>976</v>
      </c>
    </row>
    <row r="25" spans="1:9" x14ac:dyDescent="0.3">
      <c r="A25" t="s">
        <v>25</v>
      </c>
      <c r="B25" t="s">
        <v>26</v>
      </c>
      <c r="C25">
        <v>110</v>
      </c>
      <c r="D25" t="s">
        <v>2618</v>
      </c>
      <c r="E25" t="s">
        <v>1586</v>
      </c>
      <c r="F25" t="str">
        <f>VLOOKUP(E25,GACETA!$A$1:$C$186,3,0)</f>
        <v>M</v>
      </c>
      <c r="G25" t="s">
        <v>1416</v>
      </c>
      <c r="H25" t="str">
        <f t="shared" si="0"/>
        <v>B01 110 0202020102 M</v>
      </c>
      <c r="I25" t="s">
        <v>978</v>
      </c>
    </row>
    <row r="26" spans="1:9" x14ac:dyDescent="0.3">
      <c r="A26" t="s">
        <v>28</v>
      </c>
      <c r="B26" t="s">
        <v>27</v>
      </c>
      <c r="C26">
        <v>110</v>
      </c>
      <c r="D26" t="s">
        <v>2618</v>
      </c>
      <c r="E26" t="s">
        <v>1586</v>
      </c>
      <c r="F26" t="str">
        <f>VLOOKUP(E26,GACETA!$A$1:$C$186,3,0)</f>
        <v>M</v>
      </c>
      <c r="G26" t="s">
        <v>1416</v>
      </c>
      <c r="H26" t="str">
        <f t="shared" si="0"/>
        <v>B02 110 0202020102 M</v>
      </c>
      <c r="I26" t="s">
        <v>977</v>
      </c>
    </row>
    <row r="27" spans="1:9" x14ac:dyDescent="0.3">
      <c r="A27" t="s">
        <v>28</v>
      </c>
      <c r="B27" t="s">
        <v>27</v>
      </c>
      <c r="C27">
        <v>110</v>
      </c>
      <c r="D27" t="s">
        <v>2618</v>
      </c>
      <c r="E27" t="s">
        <v>1586</v>
      </c>
      <c r="F27" t="str">
        <f>VLOOKUP(E27,GACETA!$A$1:$C$186,3,0)</f>
        <v>M</v>
      </c>
      <c r="G27" t="s">
        <v>1416</v>
      </c>
      <c r="H27" t="str">
        <f t="shared" si="0"/>
        <v>B02 110 0202020102 M</v>
      </c>
      <c r="I27" t="s">
        <v>976</v>
      </c>
    </row>
    <row r="28" spans="1:9" x14ac:dyDescent="0.3">
      <c r="A28" t="s">
        <v>28</v>
      </c>
      <c r="B28" t="s">
        <v>27</v>
      </c>
      <c r="C28">
        <v>110</v>
      </c>
      <c r="D28" t="s">
        <v>2618</v>
      </c>
      <c r="E28" t="s">
        <v>1586</v>
      </c>
      <c r="F28" t="str">
        <f>VLOOKUP(E28,GACETA!$A$1:$C$186,3,0)</f>
        <v>M</v>
      </c>
      <c r="G28" t="s">
        <v>1416</v>
      </c>
      <c r="H28" t="str">
        <f t="shared" si="0"/>
        <v>B02 110 0202020102 M</v>
      </c>
      <c r="I28" t="s">
        <v>977</v>
      </c>
    </row>
    <row r="29" spans="1:9" x14ac:dyDescent="0.3">
      <c r="A29" t="s">
        <v>28</v>
      </c>
      <c r="B29" t="s">
        <v>27</v>
      </c>
      <c r="C29">
        <v>110</v>
      </c>
      <c r="D29" t="s">
        <v>2618</v>
      </c>
      <c r="E29" t="s">
        <v>1586</v>
      </c>
      <c r="F29" t="str">
        <f>VLOOKUP(E29,GACETA!$A$1:$C$186,3,0)</f>
        <v>M</v>
      </c>
      <c r="G29" t="s">
        <v>1416</v>
      </c>
      <c r="H29" t="str">
        <f t="shared" si="0"/>
        <v>B02 110 0202020102 M</v>
      </c>
      <c r="I29" t="s">
        <v>978</v>
      </c>
    </row>
    <row r="30" spans="1:9" x14ac:dyDescent="0.3">
      <c r="A30" t="s">
        <v>29</v>
      </c>
      <c r="B30" t="s">
        <v>2559</v>
      </c>
      <c r="C30">
        <v>110</v>
      </c>
      <c r="D30" t="s">
        <v>2618</v>
      </c>
      <c r="E30" t="s">
        <v>1586</v>
      </c>
      <c r="F30" t="str">
        <f>VLOOKUP(E30,GACETA!$A$1:$C$186,3,0)</f>
        <v>M</v>
      </c>
      <c r="G30" t="s">
        <v>1416</v>
      </c>
      <c r="H30" t="str">
        <f t="shared" si="0"/>
        <v>C01 110 0202020102 M</v>
      </c>
      <c r="I30" t="s">
        <v>976</v>
      </c>
    </row>
    <row r="31" spans="1:9" x14ac:dyDescent="0.3">
      <c r="A31" t="s">
        <v>29</v>
      </c>
      <c r="B31" t="s">
        <v>2559</v>
      </c>
      <c r="C31">
        <v>110</v>
      </c>
      <c r="D31" t="s">
        <v>2618</v>
      </c>
      <c r="E31" t="s">
        <v>1586</v>
      </c>
      <c r="F31" t="str">
        <f>VLOOKUP(E31,GACETA!$A$1:$C$186,3,0)</f>
        <v>M</v>
      </c>
      <c r="G31" t="s">
        <v>1416</v>
      </c>
      <c r="H31" t="str">
        <f t="shared" si="0"/>
        <v>C01 110 0202020102 M</v>
      </c>
      <c r="I31" t="s">
        <v>978</v>
      </c>
    </row>
    <row r="32" spans="1:9" x14ac:dyDescent="0.3">
      <c r="A32" t="s">
        <v>30</v>
      </c>
      <c r="B32" t="s">
        <v>2560</v>
      </c>
      <c r="C32">
        <v>110</v>
      </c>
      <c r="D32" t="s">
        <v>2618</v>
      </c>
      <c r="E32" t="s">
        <v>1586</v>
      </c>
      <c r="F32" t="str">
        <f>VLOOKUP(E32,GACETA!$A$1:$C$186,3,0)</f>
        <v>M</v>
      </c>
      <c r="G32" t="s">
        <v>1416</v>
      </c>
      <c r="H32" t="str">
        <f t="shared" si="0"/>
        <v>C02 110 0202020102 M</v>
      </c>
      <c r="I32" t="s">
        <v>976</v>
      </c>
    </row>
    <row r="33" spans="1:9" x14ac:dyDescent="0.3">
      <c r="A33" t="s">
        <v>30</v>
      </c>
      <c r="B33" t="s">
        <v>2560</v>
      </c>
      <c r="C33">
        <v>110</v>
      </c>
      <c r="D33" t="s">
        <v>2618</v>
      </c>
      <c r="E33" t="s">
        <v>1586</v>
      </c>
      <c r="F33" t="str">
        <f>VLOOKUP(E33,GACETA!$A$1:$C$186,3,0)</f>
        <v>M</v>
      </c>
      <c r="G33" t="s">
        <v>1416</v>
      </c>
      <c r="H33" t="str">
        <f t="shared" si="0"/>
        <v>C02 110 0202020102 M</v>
      </c>
      <c r="I33" t="s">
        <v>978</v>
      </c>
    </row>
    <row r="34" spans="1:9" x14ac:dyDescent="0.3">
      <c r="A34" t="s">
        <v>31</v>
      </c>
      <c r="B34" t="s">
        <v>2561</v>
      </c>
      <c r="C34">
        <v>110</v>
      </c>
      <c r="D34" t="s">
        <v>2618</v>
      </c>
      <c r="E34" t="s">
        <v>1586</v>
      </c>
      <c r="F34" t="str">
        <f>VLOOKUP(E34,GACETA!$A$1:$C$186,3,0)</f>
        <v>M</v>
      </c>
      <c r="G34" t="s">
        <v>1416</v>
      </c>
      <c r="H34" t="str">
        <f t="shared" si="0"/>
        <v>C03 110 0202020102 M</v>
      </c>
      <c r="I34" t="s">
        <v>976</v>
      </c>
    </row>
    <row r="35" spans="1:9" x14ac:dyDescent="0.3">
      <c r="A35" t="s">
        <v>31</v>
      </c>
      <c r="B35" t="s">
        <v>2561</v>
      </c>
      <c r="C35">
        <v>110</v>
      </c>
      <c r="D35" t="s">
        <v>2618</v>
      </c>
      <c r="E35" t="s">
        <v>1586</v>
      </c>
      <c r="F35" t="str">
        <f>VLOOKUP(E35,GACETA!$A$1:$C$186,3,0)</f>
        <v>M</v>
      </c>
      <c r="G35" t="s">
        <v>1416</v>
      </c>
      <c r="H35" t="str">
        <f t="shared" si="0"/>
        <v>C03 110 0202020102 M</v>
      </c>
      <c r="I35" t="s">
        <v>978</v>
      </c>
    </row>
    <row r="36" spans="1:9" x14ac:dyDescent="0.3">
      <c r="A36" t="s">
        <v>32</v>
      </c>
      <c r="B36" t="s">
        <v>2562</v>
      </c>
      <c r="C36">
        <v>110</v>
      </c>
      <c r="D36" t="s">
        <v>2618</v>
      </c>
      <c r="E36" t="s">
        <v>1586</v>
      </c>
      <c r="F36" t="str">
        <f>VLOOKUP(E36,GACETA!$A$1:$C$186,3,0)</f>
        <v>M</v>
      </c>
      <c r="G36" t="s">
        <v>1416</v>
      </c>
      <c r="H36" t="str">
        <f t="shared" si="0"/>
        <v>C04 110 0202020102 M</v>
      </c>
      <c r="I36" t="s">
        <v>976</v>
      </c>
    </row>
    <row r="37" spans="1:9" x14ac:dyDescent="0.3">
      <c r="A37" t="s">
        <v>32</v>
      </c>
      <c r="B37" t="s">
        <v>2562</v>
      </c>
      <c r="C37">
        <v>110</v>
      </c>
      <c r="D37" t="s">
        <v>2618</v>
      </c>
      <c r="E37" t="s">
        <v>1586</v>
      </c>
      <c r="F37" t="str">
        <f>VLOOKUP(E37,GACETA!$A$1:$C$186,3,0)</f>
        <v>M</v>
      </c>
      <c r="G37" t="s">
        <v>1416</v>
      </c>
      <c r="H37" t="str">
        <f t="shared" si="0"/>
        <v>C04 110 0202020102 M</v>
      </c>
      <c r="I37" t="s">
        <v>978</v>
      </c>
    </row>
    <row r="38" spans="1:9" x14ac:dyDescent="0.3">
      <c r="A38" t="s">
        <v>33</v>
      </c>
      <c r="B38" t="s">
        <v>2563</v>
      </c>
      <c r="C38">
        <v>110</v>
      </c>
      <c r="D38" t="s">
        <v>2618</v>
      </c>
      <c r="E38" t="s">
        <v>1586</v>
      </c>
      <c r="F38" t="str">
        <f>VLOOKUP(E38,GACETA!$A$1:$C$186,3,0)</f>
        <v>M</v>
      </c>
      <c r="G38" t="s">
        <v>1416</v>
      </c>
      <c r="H38" t="str">
        <f t="shared" si="0"/>
        <v>C05 110 0202020102 M</v>
      </c>
      <c r="I38" t="s">
        <v>976</v>
      </c>
    </row>
    <row r="39" spans="1:9" x14ac:dyDescent="0.3">
      <c r="A39" t="s">
        <v>33</v>
      </c>
      <c r="B39" t="s">
        <v>2563</v>
      </c>
      <c r="C39">
        <v>110</v>
      </c>
      <c r="D39" t="s">
        <v>2618</v>
      </c>
      <c r="E39" t="s">
        <v>1586</v>
      </c>
      <c r="F39" t="str">
        <f>VLOOKUP(E39,GACETA!$A$1:$C$186,3,0)</f>
        <v>M</v>
      </c>
      <c r="G39" t="s">
        <v>1416</v>
      </c>
      <c r="H39" t="str">
        <f t="shared" si="0"/>
        <v>C05 110 0202020102 M</v>
      </c>
      <c r="I39" t="s">
        <v>978</v>
      </c>
    </row>
    <row r="40" spans="1:9" x14ac:dyDescent="0.3">
      <c r="A40" t="s">
        <v>34</v>
      </c>
      <c r="B40" t="s">
        <v>2564</v>
      </c>
      <c r="C40">
        <v>110</v>
      </c>
      <c r="D40" t="s">
        <v>2618</v>
      </c>
      <c r="E40" t="s">
        <v>1586</v>
      </c>
      <c r="F40" t="str">
        <f>VLOOKUP(E40,GACETA!$A$1:$C$186,3,0)</f>
        <v>M</v>
      </c>
      <c r="G40" t="s">
        <v>1416</v>
      </c>
      <c r="H40" t="str">
        <f t="shared" si="0"/>
        <v>C06 110 0202020102 M</v>
      </c>
      <c r="I40" t="s">
        <v>976</v>
      </c>
    </row>
    <row r="41" spans="1:9" x14ac:dyDescent="0.3">
      <c r="A41" t="s">
        <v>34</v>
      </c>
      <c r="B41" t="s">
        <v>2564</v>
      </c>
      <c r="C41">
        <v>110</v>
      </c>
      <c r="D41" t="s">
        <v>2618</v>
      </c>
      <c r="E41" t="s">
        <v>1586</v>
      </c>
      <c r="F41" t="str">
        <f>VLOOKUP(E41,GACETA!$A$1:$C$186,3,0)</f>
        <v>M</v>
      </c>
      <c r="G41" t="s">
        <v>1416</v>
      </c>
      <c r="H41" t="str">
        <f t="shared" si="0"/>
        <v>C06 110 0202020102 M</v>
      </c>
      <c r="I41" t="s">
        <v>978</v>
      </c>
    </row>
    <row r="42" spans="1:9" x14ac:dyDescent="0.3">
      <c r="A42" t="s">
        <v>35</v>
      </c>
      <c r="B42" t="s">
        <v>2565</v>
      </c>
      <c r="C42">
        <v>110</v>
      </c>
      <c r="D42" t="s">
        <v>2618</v>
      </c>
      <c r="E42" t="s">
        <v>1586</v>
      </c>
      <c r="F42" t="str">
        <f>VLOOKUP(E42,GACETA!$A$1:$C$186,3,0)</f>
        <v>M</v>
      </c>
      <c r="G42" t="s">
        <v>1416</v>
      </c>
      <c r="H42" t="str">
        <f t="shared" si="0"/>
        <v>C07 110 0202020102 M</v>
      </c>
      <c r="I42" t="s">
        <v>976</v>
      </c>
    </row>
    <row r="43" spans="1:9" x14ac:dyDescent="0.3">
      <c r="A43" t="s">
        <v>35</v>
      </c>
      <c r="B43" t="s">
        <v>2565</v>
      </c>
      <c r="C43">
        <v>110</v>
      </c>
      <c r="D43" t="s">
        <v>2618</v>
      </c>
      <c r="E43" t="s">
        <v>1586</v>
      </c>
      <c r="F43" t="str">
        <f>VLOOKUP(E43,GACETA!$A$1:$C$186,3,0)</f>
        <v>M</v>
      </c>
      <c r="G43" t="s">
        <v>1416</v>
      </c>
      <c r="H43" t="str">
        <f t="shared" si="0"/>
        <v>C07 110 0202020102 M</v>
      </c>
      <c r="I43" t="s">
        <v>978</v>
      </c>
    </row>
    <row r="44" spans="1:9" x14ac:dyDescent="0.3">
      <c r="A44" t="s">
        <v>36</v>
      </c>
      <c r="B44" t="s">
        <v>2566</v>
      </c>
      <c r="C44">
        <v>110</v>
      </c>
      <c r="D44" t="s">
        <v>2618</v>
      </c>
      <c r="E44" t="s">
        <v>1586</v>
      </c>
      <c r="F44" t="str">
        <f>VLOOKUP(E44,GACETA!$A$1:$C$186,3,0)</f>
        <v>M</v>
      </c>
      <c r="G44" t="s">
        <v>1416</v>
      </c>
      <c r="H44" t="str">
        <f t="shared" si="0"/>
        <v>C08 110 0202020102 M</v>
      </c>
      <c r="I44" t="s">
        <v>976</v>
      </c>
    </row>
    <row r="45" spans="1:9" x14ac:dyDescent="0.3">
      <c r="A45" t="s">
        <v>36</v>
      </c>
      <c r="B45" t="s">
        <v>2566</v>
      </c>
      <c r="C45">
        <v>110</v>
      </c>
      <c r="D45" t="s">
        <v>2618</v>
      </c>
      <c r="E45" t="s">
        <v>1586</v>
      </c>
      <c r="F45" t="str">
        <f>VLOOKUP(E45,GACETA!$A$1:$C$186,3,0)</f>
        <v>M</v>
      </c>
      <c r="G45" t="s">
        <v>1416</v>
      </c>
      <c r="H45" t="str">
        <f t="shared" si="0"/>
        <v>C08 110 0202020102 M</v>
      </c>
      <c r="I45" t="s">
        <v>978</v>
      </c>
    </row>
    <row r="46" spans="1:9" x14ac:dyDescent="0.3">
      <c r="A46" t="s">
        <v>37</v>
      </c>
      <c r="B46" t="s">
        <v>2567</v>
      </c>
      <c r="C46">
        <v>110</v>
      </c>
      <c r="D46" t="s">
        <v>2618</v>
      </c>
      <c r="E46" t="s">
        <v>1586</v>
      </c>
      <c r="F46" t="str">
        <f>VLOOKUP(E46,GACETA!$A$1:$C$186,3,0)</f>
        <v>M</v>
      </c>
      <c r="G46" t="s">
        <v>1416</v>
      </c>
      <c r="H46" t="str">
        <f t="shared" si="0"/>
        <v>C09 110 0202020102 M</v>
      </c>
      <c r="I46" t="s">
        <v>976</v>
      </c>
    </row>
    <row r="47" spans="1:9" x14ac:dyDescent="0.3">
      <c r="A47" t="s">
        <v>37</v>
      </c>
      <c r="B47" t="s">
        <v>2567</v>
      </c>
      <c r="C47">
        <v>110</v>
      </c>
      <c r="D47" t="s">
        <v>2618</v>
      </c>
      <c r="E47" t="s">
        <v>1586</v>
      </c>
      <c r="F47" t="str">
        <f>VLOOKUP(E47,GACETA!$A$1:$C$186,3,0)</f>
        <v>M</v>
      </c>
      <c r="G47" t="s">
        <v>1416</v>
      </c>
      <c r="H47" t="str">
        <f t="shared" si="0"/>
        <v>C09 110 0202020102 M</v>
      </c>
      <c r="I47" t="s">
        <v>977</v>
      </c>
    </row>
    <row r="48" spans="1:9" x14ac:dyDescent="0.3">
      <c r="A48" t="s">
        <v>37</v>
      </c>
      <c r="B48" t="s">
        <v>2567</v>
      </c>
      <c r="C48">
        <v>110</v>
      </c>
      <c r="D48" t="s">
        <v>2618</v>
      </c>
      <c r="E48" t="s">
        <v>1586</v>
      </c>
      <c r="F48" t="str">
        <f>VLOOKUP(E48,GACETA!$A$1:$C$186,3,0)</f>
        <v>M</v>
      </c>
      <c r="G48" t="s">
        <v>1416</v>
      </c>
      <c r="H48" t="str">
        <f t="shared" si="0"/>
        <v>C09 110 0202020102 M</v>
      </c>
      <c r="I48" t="s">
        <v>978</v>
      </c>
    </row>
    <row r="49" spans="1:9" x14ac:dyDescent="0.3">
      <c r="A49" t="s">
        <v>38</v>
      </c>
      <c r="B49" t="s">
        <v>2568</v>
      </c>
      <c r="C49">
        <v>110</v>
      </c>
      <c r="D49" t="s">
        <v>2618</v>
      </c>
      <c r="E49" t="s">
        <v>1586</v>
      </c>
      <c r="F49" t="str">
        <f>VLOOKUP(E49,GACETA!$A$1:$C$186,3,0)</f>
        <v>M</v>
      </c>
      <c r="G49" t="s">
        <v>1416</v>
      </c>
      <c r="H49" t="str">
        <f t="shared" si="0"/>
        <v>C10 110 0202020102 M</v>
      </c>
      <c r="I49" t="s">
        <v>976</v>
      </c>
    </row>
    <row r="50" spans="1:9" x14ac:dyDescent="0.3">
      <c r="A50" t="s">
        <v>37</v>
      </c>
      <c r="B50" t="s">
        <v>2567</v>
      </c>
      <c r="C50">
        <v>110</v>
      </c>
      <c r="D50" t="s">
        <v>2618</v>
      </c>
      <c r="E50" t="s">
        <v>1586</v>
      </c>
      <c r="F50" t="str">
        <f>VLOOKUP(E50,GACETA!$A$1:$C$186,3,0)</f>
        <v>M</v>
      </c>
      <c r="G50" t="s">
        <v>1416</v>
      </c>
      <c r="H50" t="str">
        <f t="shared" si="0"/>
        <v>C09 110 0202020102 M</v>
      </c>
      <c r="I50" t="s">
        <v>977</v>
      </c>
    </row>
    <row r="51" spans="1:9" x14ac:dyDescent="0.3">
      <c r="A51" t="s">
        <v>38</v>
      </c>
      <c r="B51" t="s">
        <v>2568</v>
      </c>
      <c r="C51">
        <v>110</v>
      </c>
      <c r="D51" t="s">
        <v>2618</v>
      </c>
      <c r="E51" t="s">
        <v>1586</v>
      </c>
      <c r="F51" t="str">
        <f>VLOOKUP(E51,GACETA!$A$1:$C$186,3,0)</f>
        <v>M</v>
      </c>
      <c r="G51" t="s">
        <v>1416</v>
      </c>
      <c r="H51" t="str">
        <f t="shared" si="0"/>
        <v>C10 110 0202020102 M</v>
      </c>
      <c r="I51" t="s">
        <v>978</v>
      </c>
    </row>
    <row r="52" spans="1:9" x14ac:dyDescent="0.3">
      <c r="A52" t="s">
        <v>39</v>
      </c>
      <c r="B52" t="s">
        <v>2569</v>
      </c>
      <c r="C52">
        <v>110</v>
      </c>
      <c r="D52" t="s">
        <v>2618</v>
      </c>
      <c r="E52" t="s">
        <v>1586</v>
      </c>
      <c r="F52" t="str">
        <f>VLOOKUP(E52,GACETA!$A$1:$C$186,3,0)</f>
        <v>M</v>
      </c>
      <c r="G52" t="s">
        <v>1416</v>
      </c>
      <c r="H52" t="str">
        <f t="shared" si="0"/>
        <v>C11 110 0202020102 M</v>
      </c>
      <c r="I52" t="s">
        <v>976</v>
      </c>
    </row>
    <row r="53" spans="1:9" x14ac:dyDescent="0.3">
      <c r="A53" t="s">
        <v>37</v>
      </c>
      <c r="B53" t="s">
        <v>2567</v>
      </c>
      <c r="C53">
        <v>110</v>
      </c>
      <c r="D53" t="s">
        <v>2618</v>
      </c>
      <c r="E53" t="s">
        <v>1586</v>
      </c>
      <c r="F53" t="str">
        <f>VLOOKUP(E53,GACETA!$A$1:$C$186,3,0)</f>
        <v>M</v>
      </c>
      <c r="G53" t="s">
        <v>1416</v>
      </c>
      <c r="H53" t="str">
        <f t="shared" si="0"/>
        <v>C09 110 0202020102 M</v>
      </c>
      <c r="I53" t="s">
        <v>977</v>
      </c>
    </row>
    <row r="54" spans="1:9" x14ac:dyDescent="0.3">
      <c r="A54" t="s">
        <v>39</v>
      </c>
      <c r="B54" t="s">
        <v>2569</v>
      </c>
      <c r="C54">
        <v>110</v>
      </c>
      <c r="D54" t="s">
        <v>2618</v>
      </c>
      <c r="E54" t="s">
        <v>1586</v>
      </c>
      <c r="F54" t="str">
        <f>VLOOKUP(E54,GACETA!$A$1:$C$186,3,0)</f>
        <v>M</v>
      </c>
      <c r="G54" t="s">
        <v>1416</v>
      </c>
      <c r="H54" t="str">
        <f t="shared" si="0"/>
        <v>C11 110 0202020102 M</v>
      </c>
      <c r="I54" t="s">
        <v>978</v>
      </c>
    </row>
    <row r="55" spans="1:9" x14ac:dyDescent="0.3">
      <c r="A55" t="s">
        <v>40</v>
      </c>
      <c r="B55" t="s">
        <v>2570</v>
      </c>
      <c r="C55">
        <v>110</v>
      </c>
      <c r="D55" t="s">
        <v>2618</v>
      </c>
      <c r="E55" t="s">
        <v>1586</v>
      </c>
      <c r="F55" t="str">
        <f>VLOOKUP(E55,GACETA!$A$1:$C$186,3,0)</f>
        <v>M</v>
      </c>
      <c r="G55" t="s">
        <v>1416</v>
      </c>
      <c r="H55" t="str">
        <f t="shared" si="0"/>
        <v>C12 110 0202020102 M</v>
      </c>
      <c r="I55" t="s">
        <v>976</v>
      </c>
    </row>
    <row r="56" spans="1:9" x14ac:dyDescent="0.3">
      <c r="A56" t="s">
        <v>37</v>
      </c>
      <c r="B56" t="s">
        <v>2567</v>
      </c>
      <c r="C56">
        <v>110</v>
      </c>
      <c r="D56" t="s">
        <v>2618</v>
      </c>
      <c r="E56" t="s">
        <v>1586</v>
      </c>
      <c r="F56" t="str">
        <f>VLOOKUP(E56,GACETA!$A$1:$C$186,3,0)</f>
        <v>M</v>
      </c>
      <c r="G56" t="s">
        <v>1416</v>
      </c>
      <c r="H56" t="str">
        <f t="shared" si="0"/>
        <v>C09 110 0202020102 M</v>
      </c>
      <c r="I56" t="s">
        <v>977</v>
      </c>
    </row>
    <row r="57" spans="1:9" x14ac:dyDescent="0.3">
      <c r="A57" t="s">
        <v>40</v>
      </c>
      <c r="B57" t="s">
        <v>2570</v>
      </c>
      <c r="C57">
        <v>110</v>
      </c>
      <c r="D57" t="s">
        <v>2618</v>
      </c>
      <c r="E57" t="s">
        <v>1586</v>
      </c>
      <c r="F57" t="str">
        <f>VLOOKUP(E57,GACETA!$A$1:$C$186,3,0)</f>
        <v>M</v>
      </c>
      <c r="G57" t="s">
        <v>1416</v>
      </c>
      <c r="H57" t="str">
        <f t="shared" si="0"/>
        <v>C12 110 0202020102 M</v>
      </c>
      <c r="I57" t="s">
        <v>978</v>
      </c>
    </row>
    <row r="58" spans="1:9" x14ac:dyDescent="0.3">
      <c r="A58" t="s">
        <v>46</v>
      </c>
      <c r="B58" t="s">
        <v>2586</v>
      </c>
      <c r="C58">
        <v>115</v>
      </c>
      <c r="D58" t="s">
        <v>2623</v>
      </c>
      <c r="E58" t="s">
        <v>1524</v>
      </c>
      <c r="F58" t="str">
        <f>VLOOKUP(E58,GACETA!$A$1:$C$186,3,0)</f>
        <v>E</v>
      </c>
      <c r="G58" t="s">
        <v>375</v>
      </c>
      <c r="H58" t="str">
        <f t="shared" si="0"/>
        <v>L00 115 0105020201 E</v>
      </c>
      <c r="I58" t="s">
        <v>1038</v>
      </c>
    </row>
    <row r="59" spans="1:9" x14ac:dyDescent="0.3">
      <c r="A59" t="s">
        <v>46</v>
      </c>
      <c r="B59" t="s">
        <v>2586</v>
      </c>
      <c r="C59">
        <v>115</v>
      </c>
      <c r="D59" t="s">
        <v>2623</v>
      </c>
      <c r="E59" t="s">
        <v>1524</v>
      </c>
      <c r="F59" t="str">
        <f>VLOOKUP(E59,GACETA!$A$1:$C$186,3,0)</f>
        <v>E</v>
      </c>
      <c r="G59" t="s">
        <v>375</v>
      </c>
      <c r="H59" t="str">
        <f t="shared" si="0"/>
        <v>L00 115 0105020201 E</v>
      </c>
      <c r="I59" t="s">
        <v>1039</v>
      </c>
    </row>
    <row r="60" spans="1:9" x14ac:dyDescent="0.3">
      <c r="A60" t="s">
        <v>46</v>
      </c>
      <c r="B60" t="s">
        <v>2586</v>
      </c>
      <c r="C60">
        <v>115</v>
      </c>
      <c r="D60" t="s">
        <v>2623</v>
      </c>
      <c r="E60" t="s">
        <v>1524</v>
      </c>
      <c r="F60" t="str">
        <f>VLOOKUP(E60,GACETA!$A$1:$C$186,3,0)</f>
        <v>E</v>
      </c>
      <c r="G60" t="s">
        <v>375</v>
      </c>
      <c r="H60" t="str">
        <f t="shared" si="0"/>
        <v>L00 115 0105020201 E</v>
      </c>
      <c r="I60" t="s">
        <v>1040</v>
      </c>
    </row>
    <row r="61" spans="1:9" x14ac:dyDescent="0.3">
      <c r="A61" t="s">
        <v>46</v>
      </c>
      <c r="B61" t="s">
        <v>2586</v>
      </c>
      <c r="C61">
        <v>115</v>
      </c>
      <c r="D61" t="s">
        <v>2623</v>
      </c>
      <c r="E61" t="s">
        <v>1524</v>
      </c>
      <c r="F61" t="str">
        <f>VLOOKUP(E61,GACETA!$A$1:$C$186,3,0)</f>
        <v>E</v>
      </c>
      <c r="G61" t="s">
        <v>375</v>
      </c>
      <c r="H61" t="str">
        <f t="shared" si="0"/>
        <v>L00 115 0105020201 E</v>
      </c>
      <c r="I61" t="s">
        <v>1041</v>
      </c>
    </row>
    <row r="62" spans="1:9" x14ac:dyDescent="0.3">
      <c r="A62" t="s">
        <v>46</v>
      </c>
      <c r="B62" t="s">
        <v>2586</v>
      </c>
      <c r="C62">
        <v>115</v>
      </c>
      <c r="D62" t="s">
        <v>2623</v>
      </c>
      <c r="E62" t="s">
        <v>1524</v>
      </c>
      <c r="F62" t="str">
        <f>VLOOKUP(E62,GACETA!$A$1:$C$186,3,0)</f>
        <v>E</v>
      </c>
      <c r="G62" t="s">
        <v>375</v>
      </c>
      <c r="H62" t="str">
        <f t="shared" si="0"/>
        <v>L00 115 0105020201 E</v>
      </c>
      <c r="I62" t="s">
        <v>1042</v>
      </c>
    </row>
    <row r="63" spans="1:9" x14ac:dyDescent="0.3">
      <c r="A63" t="s">
        <v>46</v>
      </c>
      <c r="B63" t="s">
        <v>2586</v>
      </c>
      <c r="C63">
        <v>115</v>
      </c>
      <c r="D63" t="s">
        <v>2623</v>
      </c>
      <c r="E63" t="s">
        <v>1524</v>
      </c>
      <c r="F63" t="str">
        <f>VLOOKUP(E63,GACETA!$A$1:$C$186,3,0)</f>
        <v>E</v>
      </c>
      <c r="G63" t="s">
        <v>375</v>
      </c>
      <c r="H63" t="str">
        <f t="shared" si="0"/>
        <v>L00 115 0105020201 E</v>
      </c>
      <c r="I63" t="s">
        <v>1043</v>
      </c>
    </row>
    <row r="64" spans="1:9" x14ac:dyDescent="0.3">
      <c r="A64" t="s">
        <v>46</v>
      </c>
      <c r="B64" t="s">
        <v>2586</v>
      </c>
      <c r="C64">
        <v>115</v>
      </c>
      <c r="D64" t="s">
        <v>2623</v>
      </c>
      <c r="E64" t="s">
        <v>1524</v>
      </c>
      <c r="F64" t="str">
        <f>VLOOKUP(E64,GACETA!$A$1:$C$186,3,0)</f>
        <v>E</v>
      </c>
      <c r="G64" t="s">
        <v>375</v>
      </c>
      <c r="H64" t="str">
        <f t="shared" si="0"/>
        <v>L00 115 0105020201 E</v>
      </c>
      <c r="I64" t="s">
        <v>1044</v>
      </c>
    </row>
    <row r="65" spans="1:9" x14ac:dyDescent="0.3">
      <c r="A65" t="s">
        <v>46</v>
      </c>
      <c r="B65" t="s">
        <v>2586</v>
      </c>
      <c r="C65">
        <v>115</v>
      </c>
      <c r="D65" t="s">
        <v>2623</v>
      </c>
      <c r="E65" t="s">
        <v>1524</v>
      </c>
      <c r="F65" t="str">
        <f>VLOOKUP(E65,GACETA!$A$1:$C$186,3,0)</f>
        <v>E</v>
      </c>
      <c r="G65" t="s">
        <v>375</v>
      </c>
      <c r="H65" t="str">
        <f t="shared" si="0"/>
        <v>L00 115 0105020201 E</v>
      </c>
      <c r="I65" t="s">
        <v>1045</v>
      </c>
    </row>
    <row r="66" spans="1:9" x14ac:dyDescent="0.3">
      <c r="A66" t="s">
        <v>46</v>
      </c>
      <c r="B66" t="s">
        <v>2586</v>
      </c>
      <c r="C66">
        <v>115</v>
      </c>
      <c r="D66" t="s">
        <v>2623</v>
      </c>
      <c r="E66" t="s">
        <v>1524</v>
      </c>
      <c r="F66" t="str">
        <f>VLOOKUP(E66,GACETA!$A$1:$C$186,3,0)</f>
        <v>E</v>
      </c>
      <c r="G66" t="s">
        <v>375</v>
      </c>
      <c r="H66" t="str">
        <f t="shared" si="0"/>
        <v>L00 115 0105020201 E</v>
      </c>
      <c r="I66" t="s">
        <v>1046</v>
      </c>
    </row>
    <row r="67" spans="1:9" x14ac:dyDescent="0.3">
      <c r="A67" t="s">
        <v>46</v>
      </c>
      <c r="B67" t="s">
        <v>2586</v>
      </c>
      <c r="C67">
        <v>115</v>
      </c>
      <c r="D67" t="s">
        <v>2623</v>
      </c>
      <c r="E67" t="s">
        <v>1524</v>
      </c>
      <c r="F67" t="str">
        <f>VLOOKUP(E67,GACETA!$A$1:$C$186,3,0)</f>
        <v>E</v>
      </c>
      <c r="G67" t="s">
        <v>375</v>
      </c>
      <c r="H67" t="str">
        <f t="shared" si="0"/>
        <v>L00 115 0105020201 E</v>
      </c>
      <c r="I67" t="s">
        <v>1047</v>
      </c>
    </row>
    <row r="68" spans="1:9" x14ac:dyDescent="0.3">
      <c r="A68" t="s">
        <v>46</v>
      </c>
      <c r="B68" t="s">
        <v>2586</v>
      </c>
      <c r="C68">
        <v>115</v>
      </c>
      <c r="D68" t="s">
        <v>2623</v>
      </c>
      <c r="E68" t="s">
        <v>1524</v>
      </c>
      <c r="F68" t="str">
        <f>VLOOKUP(E68,GACETA!$A$1:$C$186,3,0)</f>
        <v>E</v>
      </c>
      <c r="G68" t="s">
        <v>375</v>
      </c>
      <c r="H68" t="str">
        <f t="shared" si="0"/>
        <v>L00 115 0105020201 E</v>
      </c>
      <c r="I68" t="s">
        <v>1048</v>
      </c>
    </row>
    <row r="69" spans="1:9" x14ac:dyDescent="0.3">
      <c r="A69" t="s">
        <v>46</v>
      </c>
      <c r="B69" t="s">
        <v>2586</v>
      </c>
      <c r="C69">
        <v>115</v>
      </c>
      <c r="D69" t="s">
        <v>2623</v>
      </c>
      <c r="E69" t="s">
        <v>1524</v>
      </c>
      <c r="F69" t="str">
        <f>VLOOKUP(E69,GACETA!$A$1:$C$186,3,0)</f>
        <v>E</v>
      </c>
      <c r="G69" t="s">
        <v>375</v>
      </c>
      <c r="H69" t="str">
        <f t="shared" si="0"/>
        <v>L00 115 0105020201 E</v>
      </c>
      <c r="I69" t="s">
        <v>1049</v>
      </c>
    </row>
    <row r="70" spans="1:9" x14ac:dyDescent="0.3">
      <c r="A70" t="s">
        <v>46</v>
      </c>
      <c r="B70" t="s">
        <v>2586</v>
      </c>
      <c r="C70">
        <v>115</v>
      </c>
      <c r="D70" t="s">
        <v>2623</v>
      </c>
      <c r="E70" t="s">
        <v>1524</v>
      </c>
      <c r="F70" t="str">
        <f>VLOOKUP(E70,GACETA!$A$1:$C$186,3,0)</f>
        <v>E</v>
      </c>
      <c r="G70" t="s">
        <v>375</v>
      </c>
      <c r="H70" t="str">
        <f t="shared" si="0"/>
        <v>L00 115 0105020201 E</v>
      </c>
      <c r="I70" t="s">
        <v>1050</v>
      </c>
    </row>
    <row r="71" spans="1:9" x14ac:dyDescent="0.3">
      <c r="A71" t="s">
        <v>46</v>
      </c>
      <c r="B71" t="s">
        <v>2586</v>
      </c>
      <c r="C71">
        <v>115</v>
      </c>
      <c r="D71" t="s">
        <v>2623</v>
      </c>
      <c r="E71" t="s">
        <v>1525</v>
      </c>
      <c r="F71" t="str">
        <f>VLOOKUP(E71,GACETA!$A$1:$C$186,3,0)</f>
        <v>E</v>
      </c>
      <c r="G71" t="s">
        <v>394</v>
      </c>
      <c r="H71" t="str">
        <f t="shared" ref="H71:H134" si="1">CONCATENATE(A71," ",C71," ",E71," ",F71)</f>
        <v>L00 115 0105020209 E</v>
      </c>
      <c r="I71" t="s">
        <v>1051</v>
      </c>
    </row>
    <row r="72" spans="1:9" x14ac:dyDescent="0.3">
      <c r="A72" t="s">
        <v>46</v>
      </c>
      <c r="B72" t="s">
        <v>2586</v>
      </c>
      <c r="C72">
        <v>119</v>
      </c>
      <c r="D72" t="s">
        <v>2627</v>
      </c>
      <c r="E72" t="s">
        <v>1526</v>
      </c>
      <c r="F72" t="str">
        <f>VLOOKUP(E72,GACETA!$A$1:$C$186,3,0)</f>
        <v>K</v>
      </c>
      <c r="G72" t="s">
        <v>398</v>
      </c>
      <c r="H72" t="str">
        <f t="shared" si="1"/>
        <v>L00 119 0105020304 K</v>
      </c>
      <c r="I72" t="s">
        <v>399</v>
      </c>
    </row>
    <row r="73" spans="1:9" x14ac:dyDescent="0.3">
      <c r="A73" t="s">
        <v>46</v>
      </c>
      <c r="B73" t="s">
        <v>2586</v>
      </c>
      <c r="C73">
        <v>119</v>
      </c>
      <c r="D73" t="s">
        <v>2627</v>
      </c>
      <c r="E73" t="s">
        <v>1526</v>
      </c>
      <c r="F73" t="str">
        <f>VLOOKUP(E73,GACETA!$A$1:$C$186,3,0)</f>
        <v>K</v>
      </c>
      <c r="G73" t="s">
        <v>398</v>
      </c>
      <c r="H73" t="str">
        <f t="shared" si="1"/>
        <v>L00 119 0105020304 K</v>
      </c>
      <c r="I73" t="s">
        <v>401</v>
      </c>
    </row>
    <row r="74" spans="1:9" x14ac:dyDescent="0.3">
      <c r="A74" t="s">
        <v>46</v>
      </c>
      <c r="B74" t="s">
        <v>2586</v>
      </c>
      <c r="C74">
        <v>119</v>
      </c>
      <c r="D74" t="s">
        <v>2627</v>
      </c>
      <c r="E74" t="s">
        <v>1526</v>
      </c>
      <c r="F74" t="str">
        <f>VLOOKUP(E74,GACETA!$A$1:$C$186,3,0)</f>
        <v>K</v>
      </c>
      <c r="G74" t="s">
        <v>398</v>
      </c>
      <c r="H74" t="str">
        <f t="shared" si="1"/>
        <v>L00 119 0105020304 K</v>
      </c>
      <c r="I74" t="s">
        <v>1052</v>
      </c>
    </row>
    <row r="75" spans="1:9" x14ac:dyDescent="0.3">
      <c r="A75" t="s">
        <v>46</v>
      </c>
      <c r="B75" t="s">
        <v>2586</v>
      </c>
      <c r="C75">
        <v>119</v>
      </c>
      <c r="D75" t="s">
        <v>2627</v>
      </c>
      <c r="E75" t="s">
        <v>1526</v>
      </c>
      <c r="F75" t="str">
        <f>VLOOKUP(E75,GACETA!$A$1:$C$186,3,0)</f>
        <v>K</v>
      </c>
      <c r="G75" t="s">
        <v>398</v>
      </c>
      <c r="H75" t="str">
        <f t="shared" si="1"/>
        <v>L00 119 0105020304 K</v>
      </c>
      <c r="I75" t="s">
        <v>405</v>
      </c>
    </row>
    <row r="76" spans="1:9" x14ac:dyDescent="0.3">
      <c r="A76" t="s">
        <v>46</v>
      </c>
      <c r="B76" t="s">
        <v>2586</v>
      </c>
      <c r="C76">
        <v>119</v>
      </c>
      <c r="D76" t="s">
        <v>2627</v>
      </c>
      <c r="E76" t="s">
        <v>1529</v>
      </c>
      <c r="F76" t="str">
        <f>VLOOKUP(E76,GACETA!$A$1:$C$186,3,0)</f>
        <v>P</v>
      </c>
      <c r="G76" t="s">
        <v>408</v>
      </c>
      <c r="H76" t="str">
        <f t="shared" si="1"/>
        <v>L00 119 0105020508 P</v>
      </c>
      <c r="I76" t="s">
        <v>409</v>
      </c>
    </row>
    <row r="77" spans="1:9" x14ac:dyDescent="0.3">
      <c r="A77" t="s">
        <v>46</v>
      </c>
      <c r="B77" t="s">
        <v>2586</v>
      </c>
      <c r="C77">
        <v>117</v>
      </c>
      <c r="D77" t="s">
        <v>2625</v>
      </c>
      <c r="E77" t="s">
        <v>1531</v>
      </c>
      <c r="F77" t="str">
        <f>VLOOKUP(E77,GACETA!$A$1:$C$186,3,0)</f>
        <v>O</v>
      </c>
      <c r="G77" t="s">
        <v>411</v>
      </c>
      <c r="H77" t="str">
        <f t="shared" si="1"/>
        <v>L00 117 0105020510 O</v>
      </c>
      <c r="I77" t="s">
        <v>412</v>
      </c>
    </row>
    <row r="78" spans="1:9" x14ac:dyDescent="0.3">
      <c r="A78" t="s">
        <v>46</v>
      </c>
      <c r="B78" t="s">
        <v>2586</v>
      </c>
      <c r="C78">
        <v>117</v>
      </c>
      <c r="D78" t="s">
        <v>2625</v>
      </c>
      <c r="E78" t="s">
        <v>1531</v>
      </c>
      <c r="F78" t="str">
        <f>VLOOKUP(E78,GACETA!$A$1:$C$186,3,0)</f>
        <v>O</v>
      </c>
      <c r="G78" t="s">
        <v>411</v>
      </c>
      <c r="H78" t="str">
        <f t="shared" si="1"/>
        <v>L00 117 0105020510 O</v>
      </c>
      <c r="I78" t="s">
        <v>413</v>
      </c>
    </row>
    <row r="79" spans="1:9" x14ac:dyDescent="0.3">
      <c r="A79" t="s">
        <v>46</v>
      </c>
      <c r="B79" t="s">
        <v>2586</v>
      </c>
      <c r="C79">
        <v>117</v>
      </c>
      <c r="D79" t="s">
        <v>2625</v>
      </c>
      <c r="E79" t="s">
        <v>1531</v>
      </c>
      <c r="F79" t="str">
        <f>VLOOKUP(E79,GACETA!$A$1:$C$186,3,0)</f>
        <v>O</v>
      </c>
      <c r="G79" t="s">
        <v>411</v>
      </c>
      <c r="H79" t="str">
        <f t="shared" si="1"/>
        <v>L00 117 0105020510 O</v>
      </c>
      <c r="I79" t="s">
        <v>415</v>
      </c>
    </row>
    <row r="80" spans="1:9" x14ac:dyDescent="0.3">
      <c r="A80" t="s">
        <v>46</v>
      </c>
      <c r="B80" t="s">
        <v>2586</v>
      </c>
      <c r="C80">
        <v>117</v>
      </c>
      <c r="D80" t="s">
        <v>2625</v>
      </c>
      <c r="E80" t="s">
        <v>1531</v>
      </c>
      <c r="F80" t="str">
        <f>VLOOKUP(E80,GACETA!$A$1:$C$186,3,0)</f>
        <v>O</v>
      </c>
      <c r="G80" t="s">
        <v>411</v>
      </c>
      <c r="H80" t="str">
        <f t="shared" si="1"/>
        <v>L00 117 0105020510 O</v>
      </c>
      <c r="I80" t="s">
        <v>417</v>
      </c>
    </row>
    <row r="81" spans="1:9" x14ac:dyDescent="0.3">
      <c r="A81" t="s">
        <v>46</v>
      </c>
      <c r="B81" t="s">
        <v>2586</v>
      </c>
      <c r="C81">
        <v>116</v>
      </c>
      <c r="D81" t="s">
        <v>2624</v>
      </c>
      <c r="E81" t="s">
        <v>1532</v>
      </c>
      <c r="F81" t="str">
        <f>VLOOKUP(E81,GACETA!$A$1:$C$186,3,0)</f>
        <v>O</v>
      </c>
      <c r="G81" t="s">
        <v>418</v>
      </c>
      <c r="H81" t="str">
        <f t="shared" si="1"/>
        <v>L00 116 0105020511 O</v>
      </c>
      <c r="I81" t="s">
        <v>419</v>
      </c>
    </row>
    <row r="82" spans="1:9" x14ac:dyDescent="0.3">
      <c r="A82" t="s">
        <v>46</v>
      </c>
      <c r="B82" t="s">
        <v>2586</v>
      </c>
      <c r="C82">
        <v>116</v>
      </c>
      <c r="D82" t="s">
        <v>2624</v>
      </c>
      <c r="E82" t="s">
        <v>1532</v>
      </c>
      <c r="F82" t="str">
        <f>VLOOKUP(E82,GACETA!$A$1:$C$186,3,0)</f>
        <v>O</v>
      </c>
      <c r="G82" t="s">
        <v>418</v>
      </c>
      <c r="H82" t="str">
        <f t="shared" si="1"/>
        <v>L00 116 0105020511 O</v>
      </c>
      <c r="I82" t="s">
        <v>420</v>
      </c>
    </row>
    <row r="83" spans="1:9" x14ac:dyDescent="0.3">
      <c r="A83" t="s">
        <v>46</v>
      </c>
      <c r="B83" t="s">
        <v>2586</v>
      </c>
      <c r="C83">
        <v>116</v>
      </c>
      <c r="D83" t="s">
        <v>2624</v>
      </c>
      <c r="E83" t="s">
        <v>1532</v>
      </c>
      <c r="F83" t="str">
        <f>VLOOKUP(E83,GACETA!$A$1:$C$186,3,0)</f>
        <v>O</v>
      </c>
      <c r="G83" t="s">
        <v>418</v>
      </c>
      <c r="H83" t="str">
        <f t="shared" si="1"/>
        <v>L00 116 0105020511 O</v>
      </c>
      <c r="I83" t="s">
        <v>422</v>
      </c>
    </row>
    <row r="84" spans="1:9" x14ac:dyDescent="0.3">
      <c r="A84" t="s">
        <v>46</v>
      </c>
      <c r="B84" t="s">
        <v>2586</v>
      </c>
      <c r="C84">
        <v>116</v>
      </c>
      <c r="D84" t="s">
        <v>2624</v>
      </c>
      <c r="E84" t="s">
        <v>1532</v>
      </c>
      <c r="F84" t="str">
        <f>VLOOKUP(E84,GACETA!$A$1:$C$186,3,0)</f>
        <v>O</v>
      </c>
      <c r="G84" t="s">
        <v>418</v>
      </c>
      <c r="H84" t="str">
        <f t="shared" si="1"/>
        <v>L00 116 0105020511 O</v>
      </c>
      <c r="I84" t="s">
        <v>423</v>
      </c>
    </row>
    <row r="85" spans="1:9" x14ac:dyDescent="0.3">
      <c r="A85" t="s">
        <v>46</v>
      </c>
      <c r="B85" t="s">
        <v>2586</v>
      </c>
      <c r="C85">
        <v>116</v>
      </c>
      <c r="D85" t="s">
        <v>2624</v>
      </c>
      <c r="E85" t="s">
        <v>1532</v>
      </c>
      <c r="F85" t="str">
        <f>VLOOKUP(E85,GACETA!$A$1:$C$186,3,0)</f>
        <v>O</v>
      </c>
      <c r="G85" t="s">
        <v>418</v>
      </c>
      <c r="H85" t="str">
        <f t="shared" si="1"/>
        <v>L00 116 0105020511 O</v>
      </c>
      <c r="I85" t="s">
        <v>424</v>
      </c>
    </row>
    <row r="86" spans="1:9" x14ac:dyDescent="0.3">
      <c r="A86" t="s">
        <v>46</v>
      </c>
      <c r="B86" t="s">
        <v>2586</v>
      </c>
      <c r="C86">
        <v>116</v>
      </c>
      <c r="D86" t="s">
        <v>2624</v>
      </c>
      <c r="E86" t="s">
        <v>1686</v>
      </c>
      <c r="F86" t="str">
        <f>VLOOKUP(E86,GACETA!$A$1:$C$186,3,0)</f>
        <v>D</v>
      </c>
      <c r="G86" t="s">
        <v>1489</v>
      </c>
      <c r="H86" t="str">
        <f t="shared" si="1"/>
        <v>L00 116 0401010104 D</v>
      </c>
      <c r="I86" t="s">
        <v>428</v>
      </c>
    </row>
    <row r="87" spans="1:9" x14ac:dyDescent="0.3">
      <c r="A87" t="s">
        <v>46</v>
      </c>
      <c r="B87" t="s">
        <v>2586</v>
      </c>
      <c r="C87">
        <v>116</v>
      </c>
      <c r="D87" t="s">
        <v>2624</v>
      </c>
      <c r="E87" t="s">
        <v>1687</v>
      </c>
      <c r="F87" t="str">
        <f>VLOOKUP(E87,GACETA!$A$1:$C$186,3,0)</f>
        <v>D</v>
      </c>
      <c r="G87" t="s">
        <v>1491</v>
      </c>
      <c r="H87" t="str">
        <f t="shared" si="1"/>
        <v>L00 116 0401010105 D</v>
      </c>
      <c r="I87" t="s">
        <v>431</v>
      </c>
    </row>
    <row r="88" spans="1:9" x14ac:dyDescent="0.3">
      <c r="A88" t="s">
        <v>46</v>
      </c>
      <c r="B88" t="s">
        <v>2586</v>
      </c>
      <c r="C88">
        <v>115</v>
      </c>
      <c r="D88" t="s">
        <v>2623</v>
      </c>
      <c r="E88" t="s">
        <v>1688</v>
      </c>
      <c r="F88" t="str">
        <f>VLOOKUP(E88,GACETA!$A$1:$C$186,3,0)</f>
        <v>C</v>
      </c>
      <c r="G88" t="s">
        <v>1492</v>
      </c>
      <c r="H88" t="str">
        <f t="shared" si="1"/>
        <v>L00 115 0402010103 C</v>
      </c>
      <c r="I88" t="s">
        <v>434</v>
      </c>
    </row>
    <row r="89" spans="1:9" x14ac:dyDescent="0.3">
      <c r="A89" t="s">
        <v>46</v>
      </c>
      <c r="B89" t="s">
        <v>2586</v>
      </c>
      <c r="C89">
        <v>116</v>
      </c>
      <c r="D89" t="s">
        <v>2624</v>
      </c>
      <c r="E89" t="s">
        <v>1689</v>
      </c>
      <c r="F89" t="str">
        <f>VLOOKUP(E89,GACETA!$A$1:$C$186,3,0)</f>
        <v>O</v>
      </c>
      <c r="G89" t="s">
        <v>436</v>
      </c>
      <c r="H89" t="str">
        <f t="shared" si="1"/>
        <v>L00 116 0402010104 O</v>
      </c>
      <c r="I89" t="s">
        <v>1053</v>
      </c>
    </row>
    <row r="90" spans="1:9" x14ac:dyDescent="0.3">
      <c r="A90" t="s">
        <v>46</v>
      </c>
      <c r="B90" t="s">
        <v>2586</v>
      </c>
      <c r="C90">
        <v>116</v>
      </c>
      <c r="D90" t="s">
        <v>2624</v>
      </c>
      <c r="E90" t="s">
        <v>1887</v>
      </c>
      <c r="F90" t="s">
        <v>2725</v>
      </c>
      <c r="G90" t="s">
        <v>440</v>
      </c>
      <c r="H90" t="str">
        <f t="shared" si="1"/>
        <v>L00 116 0404010101 H</v>
      </c>
      <c r="I90" t="s">
        <v>441</v>
      </c>
    </row>
    <row r="91" spans="1:9" x14ac:dyDescent="0.3">
      <c r="A91" t="s">
        <v>46</v>
      </c>
      <c r="B91" t="s">
        <v>2586</v>
      </c>
      <c r="C91">
        <v>155</v>
      </c>
      <c r="D91" t="s">
        <v>2661</v>
      </c>
      <c r="E91" t="s">
        <v>1516</v>
      </c>
      <c r="F91" t="str">
        <f>VLOOKUP(E91,GACETA!$A$1:$C$186,3,0)</f>
        <v>L</v>
      </c>
      <c r="G91" t="s">
        <v>474</v>
      </c>
      <c r="H91" t="str">
        <f t="shared" si="1"/>
        <v>L00 155 0103050104 L</v>
      </c>
      <c r="I91" t="s">
        <v>444</v>
      </c>
    </row>
    <row r="92" spans="1:9" x14ac:dyDescent="0.3">
      <c r="A92" t="s">
        <v>46</v>
      </c>
      <c r="B92" t="s">
        <v>2586</v>
      </c>
      <c r="C92">
        <v>155</v>
      </c>
      <c r="D92" t="s">
        <v>2661</v>
      </c>
      <c r="E92" t="s">
        <v>1516</v>
      </c>
      <c r="F92" t="str">
        <f>VLOOKUP(E92,GACETA!$A$1:$C$186,3,0)</f>
        <v>L</v>
      </c>
      <c r="G92" t="s">
        <v>474</v>
      </c>
      <c r="H92" t="str">
        <f t="shared" si="1"/>
        <v>L00 155 0103050104 L</v>
      </c>
      <c r="I92" t="s">
        <v>445</v>
      </c>
    </row>
    <row r="93" spans="1:9" x14ac:dyDescent="0.3">
      <c r="A93" t="s">
        <v>46</v>
      </c>
      <c r="B93" t="s">
        <v>2586</v>
      </c>
      <c r="C93">
        <v>155</v>
      </c>
      <c r="D93" t="s">
        <v>2661</v>
      </c>
      <c r="E93" t="s">
        <v>1516</v>
      </c>
      <c r="F93" t="str">
        <f>VLOOKUP(E93,GACETA!$A$1:$C$186,3,0)</f>
        <v>L</v>
      </c>
      <c r="G93" t="s">
        <v>474</v>
      </c>
      <c r="H93" t="str">
        <f t="shared" si="1"/>
        <v>L00 155 0103050104 L</v>
      </c>
      <c r="I93" t="s">
        <v>447</v>
      </c>
    </row>
    <row r="94" spans="1:9" x14ac:dyDescent="0.3">
      <c r="A94" t="s">
        <v>46</v>
      </c>
      <c r="B94" t="s">
        <v>2586</v>
      </c>
      <c r="C94">
        <v>155</v>
      </c>
      <c r="D94" t="s">
        <v>2661</v>
      </c>
      <c r="E94" t="s">
        <v>1516</v>
      </c>
      <c r="F94" t="str">
        <f>VLOOKUP(E94,GACETA!$A$1:$C$186,3,0)</f>
        <v>L</v>
      </c>
      <c r="G94" t="s">
        <v>474</v>
      </c>
      <c r="H94" t="str">
        <f t="shared" si="1"/>
        <v>L00 155 0103050104 L</v>
      </c>
      <c r="I94" t="s">
        <v>449</v>
      </c>
    </row>
    <row r="95" spans="1:9" x14ac:dyDescent="0.3">
      <c r="A95" t="s">
        <v>46</v>
      </c>
      <c r="B95" t="s">
        <v>2586</v>
      </c>
      <c r="C95">
        <v>155</v>
      </c>
      <c r="D95" t="s">
        <v>2661</v>
      </c>
      <c r="E95" t="s">
        <v>1516</v>
      </c>
      <c r="F95" t="str">
        <f>VLOOKUP(E95,GACETA!$A$1:$C$186,3,0)</f>
        <v>L</v>
      </c>
      <c r="G95" t="s">
        <v>474</v>
      </c>
      <c r="H95" t="str">
        <f t="shared" si="1"/>
        <v>L00 155 0103050104 L</v>
      </c>
      <c r="I95" t="s">
        <v>450</v>
      </c>
    </row>
    <row r="96" spans="1:9" x14ac:dyDescent="0.3">
      <c r="A96" t="s">
        <v>46</v>
      </c>
      <c r="B96" t="s">
        <v>2586</v>
      </c>
      <c r="C96">
        <v>155</v>
      </c>
      <c r="D96" t="s">
        <v>2661</v>
      </c>
      <c r="E96" t="s">
        <v>1516</v>
      </c>
      <c r="F96" t="str">
        <f>VLOOKUP(E96,GACETA!$A$1:$C$186,3,0)</f>
        <v>L</v>
      </c>
      <c r="G96" t="s">
        <v>474</v>
      </c>
      <c r="H96" t="str">
        <f t="shared" si="1"/>
        <v>L00 155 0103050104 L</v>
      </c>
      <c r="I96" t="s">
        <v>452</v>
      </c>
    </row>
    <row r="97" spans="1:9" x14ac:dyDescent="0.3">
      <c r="A97" t="s">
        <v>46</v>
      </c>
      <c r="B97" t="s">
        <v>2586</v>
      </c>
      <c r="C97">
        <v>155</v>
      </c>
      <c r="D97" t="s">
        <v>2661</v>
      </c>
      <c r="E97" t="s">
        <v>1516</v>
      </c>
      <c r="F97" t="str">
        <f>VLOOKUP(E97,GACETA!$A$1:$C$186,3,0)</f>
        <v>L</v>
      </c>
      <c r="G97" t="s">
        <v>474</v>
      </c>
      <c r="H97" t="str">
        <f t="shared" si="1"/>
        <v>L00 155 0103050104 L</v>
      </c>
      <c r="I97" t="s">
        <v>454</v>
      </c>
    </row>
    <row r="98" spans="1:9" x14ac:dyDescent="0.3">
      <c r="A98" t="s">
        <v>46</v>
      </c>
      <c r="B98" t="s">
        <v>2586</v>
      </c>
      <c r="C98">
        <v>118</v>
      </c>
      <c r="D98" t="s">
        <v>2626</v>
      </c>
      <c r="E98" t="s">
        <v>1551</v>
      </c>
      <c r="F98" t="str">
        <f>VLOOKUP(E98,GACETA!$A$1:$C$186,3,0)</f>
        <v>E</v>
      </c>
      <c r="G98" t="s">
        <v>463</v>
      </c>
      <c r="H98" t="str">
        <f t="shared" si="1"/>
        <v>L00 118 0108010201 E</v>
      </c>
      <c r="I98" t="s">
        <v>1032</v>
      </c>
    </row>
    <row r="99" spans="1:9" x14ac:dyDescent="0.3">
      <c r="A99" t="s">
        <v>46</v>
      </c>
      <c r="B99" t="s">
        <v>2586</v>
      </c>
      <c r="C99">
        <v>118</v>
      </c>
      <c r="D99" t="s">
        <v>2626</v>
      </c>
      <c r="E99" t="s">
        <v>1551</v>
      </c>
      <c r="F99" t="str">
        <f>VLOOKUP(E99,GACETA!$A$1:$C$186,3,0)</f>
        <v>E</v>
      </c>
      <c r="G99" t="s">
        <v>463</v>
      </c>
      <c r="H99" t="str">
        <f t="shared" si="1"/>
        <v>L00 118 0108010201 E</v>
      </c>
      <c r="I99" t="s">
        <v>1033</v>
      </c>
    </row>
    <row r="100" spans="1:9" x14ac:dyDescent="0.3">
      <c r="A100" t="s">
        <v>46</v>
      </c>
      <c r="B100" t="s">
        <v>2586</v>
      </c>
      <c r="C100">
        <v>118</v>
      </c>
      <c r="D100" t="s">
        <v>2626</v>
      </c>
      <c r="E100" t="s">
        <v>1551</v>
      </c>
      <c r="F100" t="str">
        <f>VLOOKUP(E100,GACETA!$A$1:$C$186,3,0)</f>
        <v>E</v>
      </c>
      <c r="G100" t="s">
        <v>463</v>
      </c>
      <c r="H100" t="str">
        <f t="shared" si="1"/>
        <v>L00 118 0108010201 E</v>
      </c>
      <c r="I100" t="s">
        <v>1034</v>
      </c>
    </row>
    <row r="101" spans="1:9" x14ac:dyDescent="0.3">
      <c r="A101" t="s">
        <v>46</v>
      </c>
      <c r="B101" t="s">
        <v>2586</v>
      </c>
      <c r="C101">
        <v>118</v>
      </c>
      <c r="D101" t="s">
        <v>2626</v>
      </c>
      <c r="E101" t="s">
        <v>1551</v>
      </c>
      <c r="F101" t="str">
        <f>VLOOKUP(E101,GACETA!$A$1:$C$186,3,0)</f>
        <v>E</v>
      </c>
      <c r="G101" t="s">
        <v>463</v>
      </c>
      <c r="H101" t="str">
        <f t="shared" si="1"/>
        <v>L00 118 0108010201 E</v>
      </c>
      <c r="I101" t="s">
        <v>1035</v>
      </c>
    </row>
    <row r="102" spans="1:9" x14ac:dyDescent="0.3">
      <c r="A102" t="s">
        <v>46</v>
      </c>
      <c r="B102" t="s">
        <v>2586</v>
      </c>
      <c r="C102">
        <v>118</v>
      </c>
      <c r="D102" t="s">
        <v>2626</v>
      </c>
      <c r="E102" t="s">
        <v>1551</v>
      </c>
      <c r="F102" t="str">
        <f>VLOOKUP(E102,GACETA!$A$1:$C$186,3,0)</f>
        <v>E</v>
      </c>
      <c r="G102" t="s">
        <v>463</v>
      </c>
      <c r="H102" t="str">
        <f t="shared" si="1"/>
        <v>L00 118 0108010201 E</v>
      </c>
      <c r="I102" t="s">
        <v>1036</v>
      </c>
    </row>
    <row r="103" spans="1:9" x14ac:dyDescent="0.3">
      <c r="A103" t="s">
        <v>46</v>
      </c>
      <c r="B103" t="s">
        <v>2586</v>
      </c>
      <c r="C103">
        <v>118</v>
      </c>
      <c r="D103" t="s">
        <v>2626</v>
      </c>
      <c r="E103" t="s">
        <v>1551</v>
      </c>
      <c r="F103" t="str">
        <f>VLOOKUP(E103,GACETA!$A$1:$C$186,3,0)</f>
        <v>E</v>
      </c>
      <c r="G103" t="s">
        <v>463</v>
      </c>
      <c r="H103" t="str">
        <f t="shared" si="1"/>
        <v>L00 118 0108010201 E</v>
      </c>
      <c r="I103" t="s">
        <v>1037</v>
      </c>
    </row>
    <row r="104" spans="1:9" x14ac:dyDescent="0.3">
      <c r="A104" t="s">
        <v>46</v>
      </c>
      <c r="B104" t="s">
        <v>2586</v>
      </c>
      <c r="C104">
        <v>137</v>
      </c>
      <c r="D104" t="s">
        <v>2645</v>
      </c>
      <c r="E104" t="s">
        <v>1556</v>
      </c>
      <c r="F104" t="str">
        <f>VLOOKUP(E104,GACETA!$A$1:$C$186,3,0)</f>
        <v>E</v>
      </c>
      <c r="G104" t="s">
        <v>1404</v>
      </c>
      <c r="H104" t="str">
        <f t="shared" si="1"/>
        <v>L00 137 0108050103 E</v>
      </c>
      <c r="I104" t="s">
        <v>1056</v>
      </c>
    </row>
    <row r="105" spans="1:9" x14ac:dyDescent="0.3">
      <c r="A105" t="s">
        <v>46</v>
      </c>
      <c r="B105" t="s">
        <v>2586</v>
      </c>
      <c r="C105">
        <v>137</v>
      </c>
      <c r="D105" t="s">
        <v>2645</v>
      </c>
      <c r="E105" t="s">
        <v>1556</v>
      </c>
      <c r="F105" t="str">
        <f>VLOOKUP(E105,GACETA!$A$1:$C$186,3,0)</f>
        <v>E</v>
      </c>
      <c r="G105" t="s">
        <v>1404</v>
      </c>
      <c r="H105" t="str">
        <f t="shared" si="1"/>
        <v>L00 137 0108050103 E</v>
      </c>
      <c r="I105" t="s">
        <v>1057</v>
      </c>
    </row>
    <row r="106" spans="1:9" x14ac:dyDescent="0.3">
      <c r="A106" t="s">
        <v>46</v>
      </c>
      <c r="B106" t="s">
        <v>2586</v>
      </c>
      <c r="C106">
        <v>137</v>
      </c>
      <c r="D106" t="s">
        <v>2645</v>
      </c>
      <c r="E106" t="s">
        <v>1556</v>
      </c>
      <c r="F106" t="str">
        <f>VLOOKUP(E106,GACETA!$A$1:$C$186,3,0)</f>
        <v>E</v>
      </c>
      <c r="G106" t="s">
        <v>1404</v>
      </c>
      <c r="H106" t="str">
        <f t="shared" si="1"/>
        <v>L00 137 0108050103 E</v>
      </c>
      <c r="I106" t="s">
        <v>1059</v>
      </c>
    </row>
    <row r="107" spans="1:9" x14ac:dyDescent="0.3">
      <c r="A107" t="s">
        <v>46</v>
      </c>
      <c r="B107" t="s">
        <v>2586</v>
      </c>
      <c r="C107">
        <v>137</v>
      </c>
      <c r="D107" t="s">
        <v>2645</v>
      </c>
      <c r="E107" t="s">
        <v>1556</v>
      </c>
      <c r="F107" t="str">
        <f>VLOOKUP(E107,GACETA!$A$1:$C$186,3,0)</f>
        <v>E</v>
      </c>
      <c r="G107" t="s">
        <v>1404</v>
      </c>
      <c r="H107" t="str">
        <f t="shared" si="1"/>
        <v>L00 137 0108050103 E</v>
      </c>
      <c r="I107" t="s">
        <v>1058</v>
      </c>
    </row>
    <row r="108" spans="1:9" x14ac:dyDescent="0.3">
      <c r="A108" t="s">
        <v>46</v>
      </c>
      <c r="B108" t="s">
        <v>2586</v>
      </c>
      <c r="C108">
        <v>137</v>
      </c>
      <c r="D108" t="s">
        <v>2645</v>
      </c>
      <c r="E108" t="s">
        <v>1556</v>
      </c>
      <c r="F108" t="str">
        <f>VLOOKUP(E108,GACETA!$A$1:$C$186,3,0)</f>
        <v>E</v>
      </c>
      <c r="G108" t="s">
        <v>1404</v>
      </c>
      <c r="H108" t="str">
        <f t="shared" si="1"/>
        <v>L00 137 0108050103 E</v>
      </c>
      <c r="I108" t="s">
        <v>1054</v>
      </c>
    </row>
    <row r="109" spans="1:9" x14ac:dyDescent="0.3">
      <c r="A109" t="s">
        <v>47</v>
      </c>
      <c r="B109" t="s">
        <v>961</v>
      </c>
      <c r="C109">
        <v>134</v>
      </c>
      <c r="D109" t="s">
        <v>2642</v>
      </c>
      <c r="E109" t="s">
        <v>1512</v>
      </c>
      <c r="F109" t="str">
        <f>VLOOKUP(E109,GACETA!$A$1:$C$186,3,0)</f>
        <v>O</v>
      </c>
      <c r="G109" t="s">
        <v>1387</v>
      </c>
      <c r="H109" t="str">
        <f t="shared" si="1"/>
        <v>K00 134 0103040101 O</v>
      </c>
      <c r="I109" t="s">
        <v>982</v>
      </c>
    </row>
    <row r="110" spans="1:9" x14ac:dyDescent="0.3">
      <c r="A110" t="s">
        <v>47</v>
      </c>
      <c r="B110" t="s">
        <v>961</v>
      </c>
      <c r="C110">
        <v>134</v>
      </c>
      <c r="D110" t="s">
        <v>2642</v>
      </c>
      <c r="E110" t="s">
        <v>1512</v>
      </c>
      <c r="F110" t="str">
        <f>VLOOKUP(E110,GACETA!$A$1:$C$186,3,0)</f>
        <v>O</v>
      </c>
      <c r="G110" t="s">
        <v>1387</v>
      </c>
      <c r="H110" t="str">
        <f t="shared" si="1"/>
        <v>K00 134 0103040101 O</v>
      </c>
      <c r="I110" t="s">
        <v>983</v>
      </c>
    </row>
    <row r="111" spans="1:9" x14ac:dyDescent="0.3">
      <c r="A111" t="s">
        <v>47</v>
      </c>
      <c r="B111" t="s">
        <v>961</v>
      </c>
      <c r="C111">
        <v>134</v>
      </c>
      <c r="D111" t="s">
        <v>2642</v>
      </c>
      <c r="E111" t="s">
        <v>1512</v>
      </c>
      <c r="F111" t="str">
        <f>VLOOKUP(E111,GACETA!$A$1:$C$186,3,0)</f>
        <v>O</v>
      </c>
      <c r="G111" t="s">
        <v>1387</v>
      </c>
      <c r="H111" t="str">
        <f t="shared" si="1"/>
        <v>K00 134 0103040101 O</v>
      </c>
      <c r="I111" t="s">
        <v>984</v>
      </c>
    </row>
    <row r="112" spans="1:9" x14ac:dyDescent="0.3">
      <c r="A112" t="s">
        <v>47</v>
      </c>
      <c r="B112" t="s">
        <v>961</v>
      </c>
      <c r="C112">
        <v>134</v>
      </c>
      <c r="D112" t="s">
        <v>2642</v>
      </c>
      <c r="E112" t="s">
        <v>1512</v>
      </c>
      <c r="F112" t="str">
        <f>VLOOKUP(E112,GACETA!$A$1:$C$186,3,0)</f>
        <v>O</v>
      </c>
      <c r="G112" t="s">
        <v>1387</v>
      </c>
      <c r="H112" t="str">
        <f t="shared" si="1"/>
        <v>K00 134 0103040101 O</v>
      </c>
      <c r="I112" t="s">
        <v>985</v>
      </c>
    </row>
    <row r="113" spans="1:9" x14ac:dyDescent="0.3">
      <c r="A113" t="s">
        <v>47</v>
      </c>
      <c r="B113" t="s">
        <v>961</v>
      </c>
      <c r="C113">
        <v>135</v>
      </c>
      <c r="D113" t="s">
        <v>2643</v>
      </c>
      <c r="E113" t="s">
        <v>1512</v>
      </c>
      <c r="F113" t="str">
        <f>VLOOKUP(E113,GACETA!$A$1:$C$186,3,0)</f>
        <v>O</v>
      </c>
      <c r="G113" t="s">
        <v>1387</v>
      </c>
      <c r="H113" t="str">
        <f t="shared" si="1"/>
        <v>K00 135 0103040101 O</v>
      </c>
      <c r="I113" t="s">
        <v>986</v>
      </c>
    </row>
    <row r="114" spans="1:9" x14ac:dyDescent="0.3">
      <c r="A114" t="s">
        <v>47</v>
      </c>
      <c r="B114" t="s">
        <v>961</v>
      </c>
      <c r="C114">
        <v>135</v>
      </c>
      <c r="D114" t="s">
        <v>2643</v>
      </c>
      <c r="E114" t="s">
        <v>1512</v>
      </c>
      <c r="F114" t="str">
        <f>VLOOKUP(E114,GACETA!$A$1:$C$186,3,0)</f>
        <v>O</v>
      </c>
      <c r="G114" t="s">
        <v>1387</v>
      </c>
      <c r="H114" t="str">
        <f t="shared" si="1"/>
        <v>K00 135 0103040101 O</v>
      </c>
      <c r="I114" t="s">
        <v>987</v>
      </c>
    </row>
    <row r="115" spans="1:9" x14ac:dyDescent="0.3">
      <c r="A115" t="s">
        <v>47</v>
      </c>
      <c r="B115" t="s">
        <v>961</v>
      </c>
      <c r="C115">
        <v>135</v>
      </c>
      <c r="D115" t="s">
        <v>2643</v>
      </c>
      <c r="E115" t="s">
        <v>1512</v>
      </c>
      <c r="F115" t="str">
        <f>VLOOKUP(E115,GACETA!$A$1:$C$186,3,0)</f>
        <v>O</v>
      </c>
      <c r="G115" t="s">
        <v>1387</v>
      </c>
      <c r="H115" t="str">
        <f t="shared" si="1"/>
        <v>K00 135 0103040101 O</v>
      </c>
      <c r="I115" t="s">
        <v>988</v>
      </c>
    </row>
    <row r="116" spans="1:9" x14ac:dyDescent="0.3">
      <c r="A116" t="s">
        <v>47</v>
      </c>
      <c r="B116" t="s">
        <v>961</v>
      </c>
      <c r="C116">
        <v>139</v>
      </c>
      <c r="D116" t="s">
        <v>2647</v>
      </c>
      <c r="E116" t="s">
        <v>1513</v>
      </c>
      <c r="F116" t="str">
        <f>VLOOKUP(E116,GACETA!$A$1:$C$186,3,0)</f>
        <v>P</v>
      </c>
      <c r="G116" t="s">
        <v>1494</v>
      </c>
      <c r="H116" t="str">
        <f t="shared" si="1"/>
        <v>K00 139 0103040102 P</v>
      </c>
      <c r="I116" t="s">
        <v>364</v>
      </c>
    </row>
    <row r="117" spans="1:9" x14ac:dyDescent="0.3">
      <c r="A117" t="s">
        <v>47</v>
      </c>
      <c r="B117" t="s">
        <v>961</v>
      </c>
      <c r="C117">
        <v>139</v>
      </c>
      <c r="D117" t="s">
        <v>2647</v>
      </c>
      <c r="E117" t="s">
        <v>1513</v>
      </c>
      <c r="F117" t="str">
        <f>VLOOKUP(E117,GACETA!$A$1:$C$186,3,0)</f>
        <v>P</v>
      </c>
      <c r="G117" t="s">
        <v>1494</v>
      </c>
      <c r="H117" t="str">
        <f t="shared" si="1"/>
        <v>K00 139 0103040102 P</v>
      </c>
      <c r="I117" t="s">
        <v>758</v>
      </c>
    </row>
    <row r="118" spans="1:9" x14ac:dyDescent="0.3">
      <c r="A118" t="s">
        <v>47</v>
      </c>
      <c r="B118" t="s">
        <v>961</v>
      </c>
      <c r="C118">
        <v>139</v>
      </c>
      <c r="D118" t="s">
        <v>2647</v>
      </c>
      <c r="E118" t="s">
        <v>1513</v>
      </c>
      <c r="F118" t="str">
        <f>VLOOKUP(E118,GACETA!$A$1:$C$186,3,0)</f>
        <v>P</v>
      </c>
      <c r="G118" t="s">
        <v>1494</v>
      </c>
      <c r="H118" t="str">
        <f t="shared" si="1"/>
        <v>K00 139 0103040102 P</v>
      </c>
      <c r="I118" t="s">
        <v>759</v>
      </c>
    </row>
    <row r="119" spans="1:9" x14ac:dyDescent="0.3">
      <c r="A119" t="s">
        <v>47</v>
      </c>
      <c r="B119" t="s">
        <v>961</v>
      </c>
      <c r="C119">
        <v>136</v>
      </c>
      <c r="D119" t="s">
        <v>2644</v>
      </c>
      <c r="E119" t="s">
        <v>1882</v>
      </c>
      <c r="F119" t="s">
        <v>1388</v>
      </c>
      <c r="G119" t="s">
        <v>1389</v>
      </c>
      <c r="H119" t="str">
        <f t="shared" si="1"/>
        <v>K00 136 0103040201 O</v>
      </c>
      <c r="I119" t="s">
        <v>746</v>
      </c>
    </row>
    <row r="120" spans="1:9" x14ac:dyDescent="0.3">
      <c r="A120" t="s">
        <v>47</v>
      </c>
      <c r="B120" t="s">
        <v>961</v>
      </c>
      <c r="C120">
        <v>136</v>
      </c>
      <c r="D120" t="s">
        <v>2644</v>
      </c>
      <c r="E120" t="s">
        <v>1882</v>
      </c>
      <c r="F120" t="s">
        <v>1388</v>
      </c>
      <c r="G120" t="s">
        <v>1389</v>
      </c>
      <c r="H120" t="str">
        <f t="shared" si="1"/>
        <v>K00 136 0103040201 O</v>
      </c>
      <c r="I120" t="s">
        <v>747</v>
      </c>
    </row>
    <row r="121" spans="1:9" x14ac:dyDescent="0.3">
      <c r="A121" t="s">
        <v>47</v>
      </c>
      <c r="B121" t="s">
        <v>961</v>
      </c>
      <c r="C121">
        <v>136</v>
      </c>
      <c r="D121" t="s">
        <v>2644</v>
      </c>
      <c r="E121" t="s">
        <v>1882</v>
      </c>
      <c r="F121" t="s">
        <v>1388</v>
      </c>
      <c r="G121" t="s">
        <v>1389</v>
      </c>
      <c r="H121" t="str">
        <f t="shared" si="1"/>
        <v>K00 136 0103040201 O</v>
      </c>
      <c r="I121" t="s">
        <v>368</v>
      </c>
    </row>
    <row r="122" spans="1:9" x14ac:dyDescent="0.3">
      <c r="A122" t="s">
        <v>47</v>
      </c>
      <c r="B122" t="s">
        <v>961</v>
      </c>
      <c r="C122">
        <v>136</v>
      </c>
      <c r="D122" t="s">
        <v>2644</v>
      </c>
      <c r="E122" t="s">
        <v>1882</v>
      </c>
      <c r="F122" t="s">
        <v>1388</v>
      </c>
      <c r="G122" t="s">
        <v>1389</v>
      </c>
      <c r="H122" t="str">
        <f t="shared" si="1"/>
        <v>K00 136 0103040201 O</v>
      </c>
      <c r="I122" t="s">
        <v>367</v>
      </c>
    </row>
    <row r="123" spans="1:9" x14ac:dyDescent="0.3">
      <c r="A123" t="s">
        <v>47</v>
      </c>
      <c r="B123" t="s">
        <v>961</v>
      </c>
      <c r="C123">
        <v>138</v>
      </c>
      <c r="D123" t="s">
        <v>2646</v>
      </c>
      <c r="E123" t="s">
        <v>1883</v>
      </c>
      <c r="F123" t="s">
        <v>1388</v>
      </c>
      <c r="G123" t="s">
        <v>369</v>
      </c>
      <c r="H123" t="str">
        <f t="shared" si="1"/>
        <v>K00 138 0103040202 O</v>
      </c>
      <c r="I123" t="s">
        <v>370</v>
      </c>
    </row>
    <row r="124" spans="1:9" x14ac:dyDescent="0.3">
      <c r="A124" t="s">
        <v>47</v>
      </c>
      <c r="B124" t="s">
        <v>961</v>
      </c>
      <c r="C124">
        <v>138</v>
      </c>
      <c r="D124" t="s">
        <v>2646</v>
      </c>
      <c r="E124" t="s">
        <v>1883</v>
      </c>
      <c r="F124" t="s">
        <v>1388</v>
      </c>
      <c r="G124" t="s">
        <v>369</v>
      </c>
      <c r="H124" t="str">
        <f t="shared" si="1"/>
        <v>K00 138 0103040202 O</v>
      </c>
      <c r="I124" t="s">
        <v>371</v>
      </c>
    </row>
    <row r="125" spans="1:9" x14ac:dyDescent="0.3">
      <c r="A125" t="s">
        <v>47</v>
      </c>
      <c r="B125" t="s">
        <v>961</v>
      </c>
      <c r="C125">
        <v>138</v>
      </c>
      <c r="D125" t="s">
        <v>2646</v>
      </c>
      <c r="E125" t="s">
        <v>1514</v>
      </c>
      <c r="F125" t="str">
        <f>VLOOKUP(E125,GACETA!$A$1:$C$186,3,0)</f>
        <v>O</v>
      </c>
      <c r="G125" t="s">
        <v>1495</v>
      </c>
      <c r="H125" t="str">
        <f t="shared" si="1"/>
        <v>K00 138 0103040203 O</v>
      </c>
      <c r="I125" t="s">
        <v>749</v>
      </c>
    </row>
    <row r="126" spans="1:9" x14ac:dyDescent="0.3">
      <c r="A126" t="s">
        <v>47</v>
      </c>
      <c r="B126" t="s">
        <v>961</v>
      </c>
      <c r="C126">
        <v>138</v>
      </c>
      <c r="D126" t="s">
        <v>2646</v>
      </c>
      <c r="E126" t="s">
        <v>1514</v>
      </c>
      <c r="F126" t="str">
        <f>VLOOKUP(E126,GACETA!$A$1:$C$186,3,0)</f>
        <v>O</v>
      </c>
      <c r="G126" t="s">
        <v>1495</v>
      </c>
      <c r="H126" t="str">
        <f t="shared" si="1"/>
        <v>K00 138 0103040203 O</v>
      </c>
      <c r="I126" t="s">
        <v>750</v>
      </c>
    </row>
    <row r="127" spans="1:9" x14ac:dyDescent="0.3">
      <c r="A127" t="s">
        <v>47</v>
      </c>
      <c r="B127" t="s">
        <v>961</v>
      </c>
      <c r="C127">
        <v>138</v>
      </c>
      <c r="D127" t="s">
        <v>2646</v>
      </c>
      <c r="E127" t="s">
        <v>1514</v>
      </c>
      <c r="F127" t="str">
        <f>VLOOKUP(E127,GACETA!$A$1:$C$186,3,0)</f>
        <v>O</v>
      </c>
      <c r="G127" t="s">
        <v>1495</v>
      </c>
      <c r="H127" t="str">
        <f t="shared" si="1"/>
        <v>K00 138 0103040203 O</v>
      </c>
      <c r="I127" t="s">
        <v>753</v>
      </c>
    </row>
    <row r="128" spans="1:9" x14ac:dyDescent="0.3">
      <c r="A128" t="s">
        <v>47</v>
      </c>
      <c r="B128" t="s">
        <v>961</v>
      </c>
      <c r="C128">
        <v>138</v>
      </c>
      <c r="D128" t="s">
        <v>2646</v>
      </c>
      <c r="E128" t="s">
        <v>1514</v>
      </c>
      <c r="F128" t="str">
        <f>VLOOKUP(E128,GACETA!$A$1:$C$186,3,0)</f>
        <v>O</v>
      </c>
      <c r="G128" t="s">
        <v>1495</v>
      </c>
      <c r="H128" t="str">
        <f t="shared" si="1"/>
        <v>K00 138 0103040203 O</v>
      </c>
      <c r="I128" t="s">
        <v>752</v>
      </c>
    </row>
    <row r="129" spans="1:9" x14ac:dyDescent="0.3">
      <c r="A129" t="s">
        <v>47</v>
      </c>
      <c r="B129" t="s">
        <v>961</v>
      </c>
      <c r="C129">
        <v>138</v>
      </c>
      <c r="D129" t="s">
        <v>2646</v>
      </c>
      <c r="E129" t="s">
        <v>1515</v>
      </c>
      <c r="F129" t="str">
        <f>VLOOKUP(E129,GACETA!$A$1:$C$186,3,0)</f>
        <v>O</v>
      </c>
      <c r="G129" t="s">
        <v>373</v>
      </c>
      <c r="H129" t="str">
        <f t="shared" si="1"/>
        <v>K00 138 0103040205 O</v>
      </c>
      <c r="I129" t="s">
        <v>751</v>
      </c>
    </row>
    <row r="130" spans="1:9" x14ac:dyDescent="0.3">
      <c r="A130" t="s">
        <v>47</v>
      </c>
      <c r="B130" t="s">
        <v>961</v>
      </c>
      <c r="C130">
        <v>138</v>
      </c>
      <c r="D130" t="s">
        <v>2646</v>
      </c>
      <c r="E130" t="s">
        <v>1515</v>
      </c>
      <c r="F130" t="str">
        <f>VLOOKUP(E130,GACETA!$A$1:$C$186,3,0)</f>
        <v>O</v>
      </c>
      <c r="G130" t="s">
        <v>373</v>
      </c>
      <c r="H130" t="str">
        <f t="shared" si="1"/>
        <v>K00 138 0103040205 O</v>
      </c>
      <c r="I130" t="s">
        <v>754</v>
      </c>
    </row>
    <row r="131" spans="1:9" x14ac:dyDescent="0.3">
      <c r="A131" t="s">
        <v>47</v>
      </c>
      <c r="B131" t="s">
        <v>961</v>
      </c>
      <c r="C131">
        <v>138</v>
      </c>
      <c r="D131" t="s">
        <v>2646</v>
      </c>
      <c r="E131" t="s">
        <v>1515</v>
      </c>
      <c r="F131" t="str">
        <f>VLOOKUP(E131,GACETA!$A$1:$C$186,3,0)</f>
        <v>O</v>
      </c>
      <c r="G131" t="s">
        <v>373</v>
      </c>
      <c r="H131" t="str">
        <f t="shared" si="1"/>
        <v>K00 138 0103040205 O</v>
      </c>
      <c r="I131" t="s">
        <v>755</v>
      </c>
    </row>
    <row r="132" spans="1:9" x14ac:dyDescent="0.3">
      <c r="A132" t="s">
        <v>60</v>
      </c>
      <c r="B132" t="s">
        <v>2571</v>
      </c>
      <c r="C132">
        <v>120</v>
      </c>
      <c r="D132" t="s">
        <v>2628</v>
      </c>
      <c r="E132" t="s">
        <v>1523</v>
      </c>
      <c r="F132" t="str">
        <f>VLOOKUP(E132,GACETA!$A$1:$C$186,3,0)</f>
        <v>E</v>
      </c>
      <c r="G132" t="s">
        <v>1497</v>
      </c>
      <c r="H132" t="str">
        <f t="shared" si="1"/>
        <v>E00 120 0105020105 E</v>
      </c>
      <c r="I132" t="s">
        <v>162</v>
      </c>
    </row>
    <row r="133" spans="1:9" x14ac:dyDescent="0.3">
      <c r="A133" t="s">
        <v>60</v>
      </c>
      <c r="B133" t="s">
        <v>2571</v>
      </c>
      <c r="C133">
        <v>120</v>
      </c>
      <c r="D133" t="s">
        <v>2628</v>
      </c>
      <c r="E133" t="s">
        <v>1523</v>
      </c>
      <c r="F133" t="str">
        <f>VLOOKUP(E133,GACETA!$A$1:$C$186,3,0)</f>
        <v>E</v>
      </c>
      <c r="G133" t="s">
        <v>1497</v>
      </c>
      <c r="H133" t="str">
        <f t="shared" si="1"/>
        <v>E00 120 0105020105 E</v>
      </c>
      <c r="I133" t="s">
        <v>163</v>
      </c>
    </row>
    <row r="134" spans="1:9" x14ac:dyDescent="0.3">
      <c r="A134" t="s">
        <v>60</v>
      </c>
      <c r="B134" t="s">
        <v>2571</v>
      </c>
      <c r="C134">
        <v>120</v>
      </c>
      <c r="D134" t="s">
        <v>2628</v>
      </c>
      <c r="E134" t="s">
        <v>1533</v>
      </c>
      <c r="F134" t="str">
        <f>VLOOKUP(E134,GACETA!$A$1:$C$186,3,0)</f>
        <v>P</v>
      </c>
      <c r="G134" t="s">
        <v>165</v>
      </c>
      <c r="H134" t="str">
        <f t="shared" si="1"/>
        <v>E00 120 0105020601 P</v>
      </c>
      <c r="I134" t="s">
        <v>166</v>
      </c>
    </row>
    <row r="135" spans="1:9" x14ac:dyDescent="0.3">
      <c r="A135" t="s">
        <v>60</v>
      </c>
      <c r="B135" t="s">
        <v>2571</v>
      </c>
      <c r="C135">
        <v>120</v>
      </c>
      <c r="D135" t="s">
        <v>2628</v>
      </c>
      <c r="E135" t="s">
        <v>1533</v>
      </c>
      <c r="F135" t="str">
        <f>VLOOKUP(E135,GACETA!$A$1:$C$186,3,0)</f>
        <v>P</v>
      </c>
      <c r="G135" t="s">
        <v>165</v>
      </c>
      <c r="H135" t="str">
        <f t="shared" ref="H135:H198" si="2">CONCATENATE(A135," ",C135," ",E135," ",F135)</f>
        <v>E00 120 0105020601 P</v>
      </c>
      <c r="I135" t="s">
        <v>168</v>
      </c>
    </row>
    <row r="136" spans="1:9" x14ac:dyDescent="0.3">
      <c r="A136" t="s">
        <v>60</v>
      </c>
      <c r="B136" t="s">
        <v>2571</v>
      </c>
      <c r="C136">
        <v>120</v>
      </c>
      <c r="D136" t="s">
        <v>2628</v>
      </c>
      <c r="E136" t="s">
        <v>1534</v>
      </c>
      <c r="F136" t="str">
        <f>VLOOKUP(E136,GACETA!$A$1:$C$186,3,0)</f>
        <v>M</v>
      </c>
      <c r="G136" t="s">
        <v>1397</v>
      </c>
      <c r="H136" t="str">
        <f t="shared" si="2"/>
        <v>E00 120 0105020602 M</v>
      </c>
      <c r="I136" t="s">
        <v>171</v>
      </c>
    </row>
    <row r="137" spans="1:9" x14ac:dyDescent="0.3">
      <c r="A137" t="s">
        <v>60</v>
      </c>
      <c r="B137" t="s">
        <v>2571</v>
      </c>
      <c r="C137">
        <v>120</v>
      </c>
      <c r="D137" t="s">
        <v>2628</v>
      </c>
      <c r="E137" t="s">
        <v>1534</v>
      </c>
      <c r="F137" t="str">
        <f>VLOOKUP(E137,GACETA!$A$1:$C$186,3,0)</f>
        <v>M</v>
      </c>
      <c r="G137" t="s">
        <v>1397</v>
      </c>
      <c r="H137" t="str">
        <f t="shared" si="2"/>
        <v>E00 120 0105020602 M</v>
      </c>
      <c r="I137" t="s">
        <v>992</v>
      </c>
    </row>
    <row r="138" spans="1:9" x14ac:dyDescent="0.3">
      <c r="A138" t="s">
        <v>60</v>
      </c>
      <c r="B138" t="s">
        <v>2571</v>
      </c>
      <c r="C138">
        <v>121</v>
      </c>
      <c r="D138" t="s">
        <v>2629</v>
      </c>
      <c r="E138" t="s">
        <v>1535</v>
      </c>
      <c r="F138" t="str">
        <f>VLOOKUP(E138,GACETA!$A$1:$C$186,3,0)</f>
        <v>M</v>
      </c>
      <c r="G138" t="s">
        <v>174</v>
      </c>
      <c r="H138" t="str">
        <f t="shared" si="2"/>
        <v>E00 121 0105020603 M</v>
      </c>
      <c r="I138" t="s">
        <v>175</v>
      </c>
    </row>
    <row r="139" spans="1:9" x14ac:dyDescent="0.3">
      <c r="A139" t="s">
        <v>60</v>
      </c>
      <c r="B139" t="s">
        <v>2571</v>
      </c>
      <c r="C139">
        <v>121</v>
      </c>
      <c r="D139" t="s">
        <v>2629</v>
      </c>
      <c r="E139" t="s">
        <v>1535</v>
      </c>
      <c r="F139" t="str">
        <f>VLOOKUP(E139,GACETA!$A$1:$C$186,3,0)</f>
        <v>M</v>
      </c>
      <c r="G139" t="s">
        <v>174</v>
      </c>
      <c r="H139" t="str">
        <f t="shared" si="2"/>
        <v>E00 121 0105020603 M</v>
      </c>
      <c r="I139" t="s">
        <v>993</v>
      </c>
    </row>
    <row r="140" spans="1:9" x14ac:dyDescent="0.3">
      <c r="A140" t="s">
        <v>60</v>
      </c>
      <c r="B140" t="s">
        <v>2571</v>
      </c>
      <c r="C140">
        <v>114</v>
      </c>
      <c r="D140" t="s">
        <v>2622</v>
      </c>
      <c r="E140" t="s">
        <v>1536</v>
      </c>
      <c r="F140" t="str">
        <f>VLOOKUP(E140,GACETA!$A$1:$C$186,3,0)</f>
        <v>M</v>
      </c>
      <c r="G140" t="s">
        <v>106</v>
      </c>
      <c r="H140" t="str">
        <f t="shared" si="2"/>
        <v>E00 114 0105020606 M</v>
      </c>
      <c r="I140" t="s">
        <v>458</v>
      </c>
    </row>
    <row r="141" spans="1:9" x14ac:dyDescent="0.3">
      <c r="A141" t="s">
        <v>60</v>
      </c>
      <c r="B141" t="s">
        <v>2571</v>
      </c>
      <c r="C141">
        <v>114</v>
      </c>
      <c r="D141" t="s">
        <v>2622</v>
      </c>
      <c r="E141" t="s">
        <v>1536</v>
      </c>
      <c r="F141" t="str">
        <f>VLOOKUP(E141,GACETA!$A$1:$C$186,3,0)</f>
        <v>M</v>
      </c>
      <c r="G141" t="s">
        <v>106</v>
      </c>
      <c r="H141" t="str">
        <f t="shared" si="2"/>
        <v>E00 114 0105020606 M</v>
      </c>
      <c r="I141" t="s">
        <v>995</v>
      </c>
    </row>
    <row r="142" spans="1:9" x14ac:dyDescent="0.3">
      <c r="A142" t="s">
        <v>50</v>
      </c>
      <c r="B142" t="s">
        <v>2584</v>
      </c>
      <c r="C142">
        <v>112</v>
      </c>
      <c r="D142" t="s">
        <v>2620</v>
      </c>
      <c r="E142" t="s">
        <v>1585</v>
      </c>
      <c r="F142" t="str">
        <f>VLOOKUP(E142,GACETA!$A$1:$C$186,3,0)</f>
        <v>S</v>
      </c>
      <c r="G142" t="s">
        <v>336</v>
      </c>
      <c r="H142" t="str">
        <f t="shared" si="2"/>
        <v>I01 112 0202020101 S</v>
      </c>
      <c r="I142" t="s">
        <v>996</v>
      </c>
    </row>
    <row r="143" spans="1:9" x14ac:dyDescent="0.3">
      <c r="A143" t="s">
        <v>50</v>
      </c>
      <c r="B143" t="s">
        <v>2584</v>
      </c>
      <c r="C143">
        <v>112</v>
      </c>
      <c r="D143" t="s">
        <v>2620</v>
      </c>
      <c r="E143" t="s">
        <v>1585</v>
      </c>
      <c r="F143" t="str">
        <f>VLOOKUP(E143,GACETA!$A$1:$C$186,3,0)</f>
        <v>S</v>
      </c>
      <c r="G143" t="s">
        <v>336</v>
      </c>
      <c r="H143" t="str">
        <f t="shared" si="2"/>
        <v>I01 112 0202020101 S</v>
      </c>
      <c r="I143" t="s">
        <v>997</v>
      </c>
    </row>
    <row r="144" spans="1:9" x14ac:dyDescent="0.3">
      <c r="A144" t="s">
        <v>50</v>
      </c>
      <c r="B144" t="s">
        <v>2584</v>
      </c>
      <c r="C144">
        <v>112</v>
      </c>
      <c r="D144" t="s">
        <v>2620</v>
      </c>
      <c r="E144" t="s">
        <v>1585</v>
      </c>
      <c r="F144" t="str">
        <f>VLOOKUP(E144,GACETA!$A$1:$C$186,3,0)</f>
        <v>S</v>
      </c>
      <c r="G144" t="s">
        <v>336</v>
      </c>
      <c r="H144" t="str">
        <f t="shared" si="2"/>
        <v>I01 112 0202020101 S</v>
      </c>
      <c r="I144" t="s">
        <v>998</v>
      </c>
    </row>
    <row r="145" spans="1:9" x14ac:dyDescent="0.3">
      <c r="A145" t="s">
        <v>50</v>
      </c>
      <c r="B145" t="s">
        <v>2584</v>
      </c>
      <c r="C145">
        <v>112</v>
      </c>
      <c r="D145" t="s">
        <v>2620</v>
      </c>
      <c r="E145" t="s">
        <v>1585</v>
      </c>
      <c r="F145" t="str">
        <f>VLOOKUP(E145,GACETA!$A$1:$C$186,3,0)</f>
        <v>S</v>
      </c>
      <c r="G145" t="s">
        <v>336</v>
      </c>
      <c r="H145" t="str">
        <f t="shared" si="2"/>
        <v>I01 112 0202020101 S</v>
      </c>
      <c r="I145" t="s">
        <v>999</v>
      </c>
    </row>
    <row r="146" spans="1:9" x14ac:dyDescent="0.3">
      <c r="A146" t="s">
        <v>50</v>
      </c>
      <c r="B146" t="s">
        <v>2584</v>
      </c>
      <c r="C146">
        <v>112</v>
      </c>
      <c r="D146" t="s">
        <v>2620</v>
      </c>
      <c r="E146" t="s">
        <v>1585</v>
      </c>
      <c r="F146" t="str">
        <f>VLOOKUP(E146,GACETA!$A$1:$C$186,3,0)</f>
        <v>S</v>
      </c>
      <c r="G146" t="s">
        <v>336</v>
      </c>
      <c r="H146" t="str">
        <f t="shared" si="2"/>
        <v>I01 112 0202020101 S</v>
      </c>
      <c r="I146" t="s">
        <v>1001</v>
      </c>
    </row>
    <row r="147" spans="1:9" s="235" customFormat="1" x14ac:dyDescent="0.3">
      <c r="B147" s="235" t="e">
        <v>#N/A</v>
      </c>
      <c r="D147" s="235" t="e">
        <v>#N/A</v>
      </c>
      <c r="E147" s="235" t="s">
        <v>2724</v>
      </c>
      <c r="F147" s="235" t="e">
        <f>VLOOKUP(E147,GACETA!$A$1:$C$186,3,0)</f>
        <v>#N/A</v>
      </c>
      <c r="G147" s="235" t="e">
        <v>#N/A</v>
      </c>
      <c r="H147" t="e">
        <f t="shared" si="2"/>
        <v>#N/A</v>
      </c>
      <c r="I147" s="235" t="s">
        <v>1006</v>
      </c>
    </row>
    <row r="148" spans="1:9" x14ac:dyDescent="0.3">
      <c r="A148" t="s">
        <v>50</v>
      </c>
      <c r="B148" t="s">
        <v>2584</v>
      </c>
      <c r="C148">
        <v>112</v>
      </c>
      <c r="D148" t="s">
        <v>2620</v>
      </c>
      <c r="E148" t="s">
        <v>1585</v>
      </c>
      <c r="F148" t="str">
        <f>VLOOKUP(E148,GACETA!$A$1:$C$186,3,0)</f>
        <v>S</v>
      </c>
      <c r="G148" t="s">
        <v>336</v>
      </c>
      <c r="H148" t="str">
        <f t="shared" si="2"/>
        <v>I01 112 0202020101 S</v>
      </c>
      <c r="I148" t="s">
        <v>1003</v>
      </c>
    </row>
    <row r="149" spans="1:9" x14ac:dyDescent="0.3">
      <c r="A149" t="s">
        <v>50</v>
      </c>
      <c r="B149" t="s">
        <v>2584</v>
      </c>
      <c r="C149">
        <v>112</v>
      </c>
      <c r="D149" t="s">
        <v>2620</v>
      </c>
      <c r="E149" t="s">
        <v>1586</v>
      </c>
      <c r="F149" t="str">
        <f>VLOOKUP(E149,GACETA!$A$1:$C$186,3,0)</f>
        <v>M</v>
      </c>
      <c r="G149" t="s">
        <v>1416</v>
      </c>
      <c r="H149" t="str">
        <f t="shared" si="2"/>
        <v>I01 112 0202020102 M</v>
      </c>
      <c r="I149" t="s">
        <v>1007</v>
      </c>
    </row>
    <row r="150" spans="1:9" x14ac:dyDescent="0.3">
      <c r="A150" t="s">
        <v>50</v>
      </c>
      <c r="B150" t="s">
        <v>2584</v>
      </c>
      <c r="C150">
        <v>112</v>
      </c>
      <c r="D150" t="s">
        <v>2620</v>
      </c>
      <c r="E150" t="s">
        <v>1586</v>
      </c>
      <c r="F150" t="str">
        <f>VLOOKUP(E150,GACETA!$A$1:$C$186,3,0)</f>
        <v>M</v>
      </c>
      <c r="G150" t="s">
        <v>1416</v>
      </c>
      <c r="H150" t="str">
        <f t="shared" si="2"/>
        <v>I01 112 0202020102 M</v>
      </c>
      <c r="I150" t="s">
        <v>1008</v>
      </c>
    </row>
    <row r="151" spans="1:9" x14ac:dyDescent="0.3">
      <c r="A151" t="s">
        <v>50</v>
      </c>
      <c r="B151" t="s">
        <v>2584</v>
      </c>
      <c r="C151">
        <v>112</v>
      </c>
      <c r="D151" t="s">
        <v>2620</v>
      </c>
      <c r="E151" t="s">
        <v>1586</v>
      </c>
      <c r="F151" t="str">
        <f>VLOOKUP(E151,GACETA!$A$1:$C$186,3,0)</f>
        <v>M</v>
      </c>
      <c r="G151" t="s">
        <v>1416</v>
      </c>
      <c r="H151" t="str">
        <f t="shared" si="2"/>
        <v>I01 112 0202020102 M</v>
      </c>
      <c r="I151" t="s">
        <v>1010</v>
      </c>
    </row>
    <row r="152" spans="1:9" x14ac:dyDescent="0.3">
      <c r="A152" t="s">
        <v>50</v>
      </c>
      <c r="B152" t="s">
        <v>2584</v>
      </c>
      <c r="C152">
        <v>112</v>
      </c>
      <c r="D152" t="s">
        <v>2620</v>
      </c>
      <c r="E152" t="s">
        <v>1586</v>
      </c>
      <c r="F152" t="str">
        <f>VLOOKUP(E152,GACETA!$A$1:$C$186,3,0)</f>
        <v>M</v>
      </c>
      <c r="G152" t="s">
        <v>1416</v>
      </c>
      <c r="H152" t="str">
        <f t="shared" si="2"/>
        <v>I01 112 0202020102 M</v>
      </c>
      <c r="I152" t="s">
        <v>1011</v>
      </c>
    </row>
    <row r="153" spans="1:9" x14ac:dyDescent="0.3">
      <c r="A153" t="s">
        <v>50</v>
      </c>
      <c r="B153" t="s">
        <v>2584</v>
      </c>
      <c r="C153">
        <v>112</v>
      </c>
      <c r="D153" t="s">
        <v>2620</v>
      </c>
      <c r="E153" t="s">
        <v>1586</v>
      </c>
      <c r="F153" t="str">
        <f>VLOOKUP(E153,GACETA!$A$1:$C$186,3,0)</f>
        <v>M</v>
      </c>
      <c r="G153" t="s">
        <v>1416</v>
      </c>
      <c r="H153" t="str">
        <f t="shared" si="2"/>
        <v>I01 112 0202020102 M</v>
      </c>
      <c r="I153" t="s">
        <v>1012</v>
      </c>
    </row>
    <row r="154" spans="1:9" x14ac:dyDescent="0.3">
      <c r="A154" t="s">
        <v>50</v>
      </c>
      <c r="B154" t="s">
        <v>2584</v>
      </c>
      <c r="C154">
        <v>112</v>
      </c>
      <c r="D154" t="s">
        <v>2620</v>
      </c>
      <c r="E154" t="s">
        <v>1586</v>
      </c>
      <c r="F154" t="str">
        <f>VLOOKUP(E154,GACETA!$A$1:$C$186,3,0)</f>
        <v>M</v>
      </c>
      <c r="G154" t="s">
        <v>1416</v>
      </c>
      <c r="H154" t="str">
        <f t="shared" si="2"/>
        <v>I01 112 0202020102 M</v>
      </c>
      <c r="I154" t="s">
        <v>1014</v>
      </c>
    </row>
    <row r="155" spans="1:9" x14ac:dyDescent="0.3">
      <c r="A155" t="s">
        <v>41</v>
      </c>
      <c r="B155" t="s">
        <v>2554</v>
      </c>
      <c r="C155">
        <v>103</v>
      </c>
      <c r="D155" t="s">
        <v>2554</v>
      </c>
      <c r="E155" t="s">
        <v>1554</v>
      </c>
      <c r="F155" t="str">
        <f>VLOOKUP(E155,GACETA!$A$1:$C$186,3,0)</f>
        <v>F</v>
      </c>
      <c r="G155" t="s">
        <v>128</v>
      </c>
      <c r="H155" t="str">
        <f t="shared" si="2"/>
        <v>A01 103 0108030103 F</v>
      </c>
      <c r="I155" t="s">
        <v>1016</v>
      </c>
    </row>
    <row r="156" spans="1:9" x14ac:dyDescent="0.3">
      <c r="A156" t="s">
        <v>41</v>
      </c>
      <c r="B156" t="s">
        <v>2554</v>
      </c>
      <c r="C156">
        <v>103</v>
      </c>
      <c r="D156" t="s">
        <v>2554</v>
      </c>
      <c r="E156" t="s">
        <v>1554</v>
      </c>
      <c r="F156" t="str">
        <f>VLOOKUP(E156,GACETA!$A$1:$C$186,3,0)</f>
        <v>F</v>
      </c>
      <c r="G156" t="s">
        <v>128</v>
      </c>
      <c r="H156" t="str">
        <f t="shared" si="2"/>
        <v>A01 103 0108030103 F</v>
      </c>
      <c r="I156" t="s">
        <v>1017</v>
      </c>
    </row>
    <row r="157" spans="1:9" x14ac:dyDescent="0.3">
      <c r="A157" t="s">
        <v>41</v>
      </c>
      <c r="B157" t="s">
        <v>2554</v>
      </c>
      <c r="C157">
        <v>103</v>
      </c>
      <c r="D157" t="s">
        <v>2554</v>
      </c>
      <c r="E157" t="s">
        <v>1554</v>
      </c>
      <c r="F157" t="str">
        <f>VLOOKUP(E157,GACETA!$A$1:$C$186,3,0)</f>
        <v>F</v>
      </c>
      <c r="G157" t="s">
        <v>128</v>
      </c>
      <c r="H157" t="str">
        <f t="shared" si="2"/>
        <v>A01 103 0108030103 F</v>
      </c>
      <c r="I157" t="s">
        <v>133</v>
      </c>
    </row>
    <row r="158" spans="1:9" x14ac:dyDescent="0.3">
      <c r="A158" t="s">
        <v>41</v>
      </c>
      <c r="B158" t="s">
        <v>2554</v>
      </c>
      <c r="C158">
        <v>103</v>
      </c>
      <c r="D158" t="s">
        <v>2554</v>
      </c>
      <c r="E158" t="s">
        <v>1554</v>
      </c>
      <c r="F158" t="str">
        <f>VLOOKUP(E158,GACETA!$A$1:$C$186,3,0)</f>
        <v>F</v>
      </c>
      <c r="G158" t="s">
        <v>128</v>
      </c>
      <c r="H158" t="str">
        <f t="shared" si="2"/>
        <v>A01 103 0108030103 F</v>
      </c>
      <c r="I158" t="s">
        <v>1019</v>
      </c>
    </row>
    <row r="159" spans="1:9" x14ac:dyDescent="0.3">
      <c r="A159" t="s">
        <v>41</v>
      </c>
      <c r="B159" t="s">
        <v>2554</v>
      </c>
      <c r="C159">
        <v>103</v>
      </c>
      <c r="D159" t="s">
        <v>2554</v>
      </c>
      <c r="E159" t="s">
        <v>1554</v>
      </c>
      <c r="F159" t="str">
        <f>VLOOKUP(E159,GACETA!$A$1:$C$186,3,0)</f>
        <v>F</v>
      </c>
      <c r="G159" t="s">
        <v>128</v>
      </c>
      <c r="H159" t="str">
        <f t="shared" si="2"/>
        <v>A01 103 0108030103 F</v>
      </c>
      <c r="I159" t="s">
        <v>1020</v>
      </c>
    </row>
    <row r="160" spans="1:9" x14ac:dyDescent="0.3">
      <c r="A160" t="s">
        <v>41</v>
      </c>
      <c r="B160" t="s">
        <v>2554</v>
      </c>
      <c r="C160">
        <v>103</v>
      </c>
      <c r="D160" t="s">
        <v>2554</v>
      </c>
      <c r="E160" t="s">
        <v>1554</v>
      </c>
      <c r="F160" t="str">
        <f>VLOOKUP(E160,GACETA!$A$1:$C$186,3,0)</f>
        <v>F</v>
      </c>
      <c r="G160" t="s">
        <v>128</v>
      </c>
      <c r="H160" t="str">
        <f t="shared" si="2"/>
        <v>A01 103 0108030103 F</v>
      </c>
      <c r="I160" t="s">
        <v>1022</v>
      </c>
    </row>
    <row r="161" spans="1:9" x14ac:dyDescent="0.3">
      <c r="A161" t="s">
        <v>41</v>
      </c>
      <c r="B161" t="s">
        <v>2554</v>
      </c>
      <c r="C161">
        <v>103</v>
      </c>
      <c r="D161" t="s">
        <v>2554</v>
      </c>
      <c r="E161" t="s">
        <v>1554</v>
      </c>
      <c r="F161" t="str">
        <f>VLOOKUP(E161,GACETA!$A$1:$C$186,3,0)</f>
        <v>F</v>
      </c>
      <c r="G161" t="s">
        <v>128</v>
      </c>
      <c r="H161" t="str">
        <f t="shared" si="2"/>
        <v>A01 103 0108030103 F</v>
      </c>
      <c r="I161" t="s">
        <v>1024</v>
      </c>
    </row>
    <row r="162" spans="1:9" x14ac:dyDescent="0.3">
      <c r="A162" t="s">
        <v>54</v>
      </c>
      <c r="B162" t="s">
        <v>63</v>
      </c>
      <c r="C162">
        <v>140</v>
      </c>
      <c r="D162" t="s">
        <v>2648</v>
      </c>
      <c r="E162" t="s">
        <v>1650</v>
      </c>
      <c r="F162" t="str">
        <f>VLOOKUP(E162,GACETA!$A$1:$C$186,3,0)</f>
        <v>M</v>
      </c>
      <c r="G162" t="s">
        <v>1464</v>
      </c>
      <c r="H162" t="str">
        <f t="shared" si="2"/>
        <v>N00 140 0301020106 M</v>
      </c>
      <c r="I162" t="s">
        <v>1026</v>
      </c>
    </row>
    <row r="163" spans="1:9" x14ac:dyDescent="0.3">
      <c r="A163" t="s">
        <v>54</v>
      </c>
      <c r="B163" t="s">
        <v>63</v>
      </c>
      <c r="C163">
        <v>140</v>
      </c>
      <c r="D163" t="s">
        <v>2648</v>
      </c>
      <c r="E163" t="s">
        <v>1650</v>
      </c>
      <c r="F163" t="str">
        <f>VLOOKUP(E163,GACETA!$A$1:$C$186,3,0)</f>
        <v>M</v>
      </c>
      <c r="G163" t="s">
        <v>1464</v>
      </c>
      <c r="H163" t="str">
        <f t="shared" si="2"/>
        <v>N00 140 0301020106 M</v>
      </c>
      <c r="I163" t="s">
        <v>503</v>
      </c>
    </row>
    <row r="164" spans="1:9" x14ac:dyDescent="0.3">
      <c r="A164" t="s">
        <v>54</v>
      </c>
      <c r="B164" t="s">
        <v>63</v>
      </c>
      <c r="C164">
        <v>140</v>
      </c>
      <c r="D164" t="s">
        <v>2648</v>
      </c>
      <c r="E164" t="s">
        <v>1651</v>
      </c>
      <c r="F164" t="str">
        <f>VLOOKUP(E164,GACETA!$A$1:$C$186,3,0)</f>
        <v>E</v>
      </c>
      <c r="G164" t="s">
        <v>498</v>
      </c>
      <c r="H164" t="str">
        <f t="shared" si="2"/>
        <v>N00 140 0301020107 E</v>
      </c>
      <c r="I164" t="s">
        <v>499</v>
      </c>
    </row>
    <row r="165" spans="1:9" x14ac:dyDescent="0.3">
      <c r="A165" t="s">
        <v>54</v>
      </c>
      <c r="B165" t="s">
        <v>63</v>
      </c>
      <c r="C165">
        <v>131</v>
      </c>
      <c r="D165" t="s">
        <v>2639</v>
      </c>
      <c r="E165" t="s">
        <v>1673</v>
      </c>
      <c r="F165" t="str">
        <f>VLOOKUP(E165,GACETA!$A$1:$C$186,3,0)</f>
        <v>F</v>
      </c>
      <c r="G165" t="s">
        <v>1479</v>
      </c>
      <c r="H165" t="str">
        <f t="shared" si="2"/>
        <v>N00 131 0304020102 F</v>
      </c>
      <c r="I165" t="s">
        <v>1027</v>
      </c>
    </row>
    <row r="166" spans="1:9" x14ac:dyDescent="0.3">
      <c r="A166" t="s">
        <v>54</v>
      </c>
      <c r="B166" t="s">
        <v>63</v>
      </c>
      <c r="C166">
        <v>131</v>
      </c>
      <c r="D166" t="s">
        <v>2639</v>
      </c>
      <c r="E166" t="s">
        <v>1673</v>
      </c>
      <c r="F166" t="str">
        <f>VLOOKUP(E166,GACETA!$A$1:$C$186,3,0)</f>
        <v>F</v>
      </c>
      <c r="G166" t="s">
        <v>1479</v>
      </c>
      <c r="H166" t="str">
        <f t="shared" si="2"/>
        <v>N00 131 0304020102 F</v>
      </c>
      <c r="I166" t="s">
        <v>1028</v>
      </c>
    </row>
    <row r="167" spans="1:9" x14ac:dyDescent="0.3">
      <c r="A167" t="s">
        <v>54</v>
      </c>
      <c r="B167" t="s">
        <v>63</v>
      </c>
      <c r="C167">
        <v>137</v>
      </c>
      <c r="D167" t="s">
        <v>2645</v>
      </c>
      <c r="E167" t="s">
        <v>1537</v>
      </c>
      <c r="F167" t="str">
        <f>VLOOKUP(E167,GACETA!$A$1:$C$186,3,0)</f>
        <v>O</v>
      </c>
      <c r="G167" t="s">
        <v>508</v>
      </c>
      <c r="H167" t="str">
        <f t="shared" si="2"/>
        <v>N00 137 0105020608 O</v>
      </c>
      <c r="I167" t="s">
        <v>509</v>
      </c>
    </row>
    <row r="168" spans="1:9" x14ac:dyDescent="0.3">
      <c r="A168" t="s">
        <v>54</v>
      </c>
      <c r="B168" t="s">
        <v>63</v>
      </c>
      <c r="C168">
        <v>137</v>
      </c>
      <c r="D168" t="s">
        <v>2645</v>
      </c>
      <c r="E168" t="s">
        <v>1537</v>
      </c>
      <c r="F168" t="str">
        <f>VLOOKUP(E168,GACETA!$A$1:$C$186,3,0)</f>
        <v>O</v>
      </c>
      <c r="G168" t="s">
        <v>508</v>
      </c>
      <c r="H168" t="str">
        <f t="shared" si="2"/>
        <v>N00 137 0105020608 O</v>
      </c>
      <c r="I168" t="s">
        <v>510</v>
      </c>
    </row>
    <row r="169" spans="1:9" x14ac:dyDescent="0.3">
      <c r="A169" t="s">
        <v>54</v>
      </c>
      <c r="B169" t="s">
        <v>63</v>
      </c>
      <c r="C169">
        <v>137</v>
      </c>
      <c r="D169" t="s">
        <v>2645</v>
      </c>
      <c r="E169" t="s">
        <v>1537</v>
      </c>
      <c r="F169" t="str">
        <f>VLOOKUP(E169,GACETA!$A$1:$C$186,3,0)</f>
        <v>O</v>
      </c>
      <c r="G169" t="s">
        <v>508</v>
      </c>
      <c r="H169" t="str">
        <f t="shared" si="2"/>
        <v>N00 137 0105020608 O</v>
      </c>
      <c r="I169" t="s">
        <v>511</v>
      </c>
    </row>
    <row r="170" spans="1:9" x14ac:dyDescent="0.3">
      <c r="A170" t="s">
        <v>54</v>
      </c>
      <c r="B170" t="s">
        <v>63</v>
      </c>
      <c r="C170">
        <v>137</v>
      </c>
      <c r="D170" t="s">
        <v>2645</v>
      </c>
      <c r="E170" t="s">
        <v>1537</v>
      </c>
      <c r="F170" t="str">
        <f>VLOOKUP(E170,GACETA!$A$1:$C$186,3,0)</f>
        <v>O</v>
      </c>
      <c r="G170" t="s">
        <v>508</v>
      </c>
      <c r="H170" t="str">
        <f t="shared" si="2"/>
        <v>N00 137 0105020608 O</v>
      </c>
      <c r="I170" t="s">
        <v>1029</v>
      </c>
    </row>
    <row r="171" spans="1:9" x14ac:dyDescent="0.3">
      <c r="A171" t="s">
        <v>54</v>
      </c>
      <c r="B171" t="s">
        <v>63</v>
      </c>
      <c r="C171">
        <v>149</v>
      </c>
      <c r="D171" t="s">
        <v>2656</v>
      </c>
      <c r="E171" t="s">
        <v>1681</v>
      </c>
      <c r="F171" t="str">
        <f>VLOOKUP(E171,GACETA!$A$1:$C$186,3,0)</f>
        <v>F</v>
      </c>
      <c r="G171" t="s">
        <v>513</v>
      </c>
      <c r="H171" t="str">
        <f t="shared" si="2"/>
        <v>N00 149 0307010101 F</v>
      </c>
      <c r="I171" t="s">
        <v>514</v>
      </c>
    </row>
    <row r="172" spans="1:9" x14ac:dyDescent="0.3">
      <c r="A172" t="s">
        <v>54</v>
      </c>
      <c r="B172" t="s">
        <v>63</v>
      </c>
      <c r="C172">
        <v>133</v>
      </c>
      <c r="D172" t="s">
        <v>2641</v>
      </c>
      <c r="E172" t="s">
        <v>1685</v>
      </c>
      <c r="F172" t="str">
        <f>VLOOKUP(E172,GACETA!$A$1:$C$186,3,0)</f>
        <v>F</v>
      </c>
      <c r="G172" t="s">
        <v>516</v>
      </c>
      <c r="H172" t="str">
        <f t="shared" si="2"/>
        <v>N00 133 0309030104 F</v>
      </c>
      <c r="I172" t="s">
        <v>1031</v>
      </c>
    </row>
    <row r="173" spans="1:9" x14ac:dyDescent="0.3">
      <c r="A173" t="s">
        <v>61</v>
      </c>
      <c r="B173" t="s">
        <v>711</v>
      </c>
      <c r="C173">
        <v>123</v>
      </c>
      <c r="D173" t="s">
        <v>2631</v>
      </c>
      <c r="E173" t="s">
        <v>1517</v>
      </c>
      <c r="F173" t="str">
        <f>VLOOKUP(E173,GACETA!$A$1:$C$186,3,0)</f>
        <v>P</v>
      </c>
      <c r="G173" t="s">
        <v>183</v>
      </c>
      <c r="H173" t="str">
        <f t="shared" si="2"/>
        <v>F00 123 0103080104 P</v>
      </c>
      <c r="I173" t="s">
        <v>1064</v>
      </c>
    </row>
    <row r="174" spans="1:9" x14ac:dyDescent="0.3">
      <c r="A174" t="s">
        <v>61</v>
      </c>
      <c r="B174" t="s">
        <v>711</v>
      </c>
      <c r="C174">
        <v>123</v>
      </c>
      <c r="D174" t="s">
        <v>2631</v>
      </c>
      <c r="E174" t="s">
        <v>1517</v>
      </c>
      <c r="F174" t="str">
        <f>VLOOKUP(E174,GACETA!$A$1:$C$186,3,0)</f>
        <v>P</v>
      </c>
      <c r="G174" t="s">
        <v>183</v>
      </c>
      <c r="H174" t="str">
        <f t="shared" si="2"/>
        <v>F00 123 0103080104 P</v>
      </c>
      <c r="I174" t="s">
        <v>1065</v>
      </c>
    </row>
    <row r="175" spans="1:9" x14ac:dyDescent="0.3">
      <c r="A175" t="s">
        <v>61</v>
      </c>
      <c r="B175" t="s">
        <v>711</v>
      </c>
      <c r="C175">
        <v>123</v>
      </c>
      <c r="D175" t="s">
        <v>2631</v>
      </c>
      <c r="E175" t="s">
        <v>1517</v>
      </c>
      <c r="F175" t="str">
        <f>VLOOKUP(E175,GACETA!$A$1:$C$186,3,0)</f>
        <v>P</v>
      </c>
      <c r="G175" t="s">
        <v>183</v>
      </c>
      <c r="H175" t="str">
        <f t="shared" si="2"/>
        <v>F00 123 0103080104 P</v>
      </c>
      <c r="I175" t="s">
        <v>1066</v>
      </c>
    </row>
    <row r="176" spans="1:9" x14ac:dyDescent="0.3">
      <c r="A176" t="s">
        <v>61</v>
      </c>
      <c r="B176" t="s">
        <v>711</v>
      </c>
      <c r="C176">
        <v>123</v>
      </c>
      <c r="D176" t="s">
        <v>2631</v>
      </c>
      <c r="E176" t="s">
        <v>1517</v>
      </c>
      <c r="F176" t="str">
        <f>VLOOKUP(E176,GACETA!$A$1:$C$186,3,0)</f>
        <v>P</v>
      </c>
      <c r="G176" t="s">
        <v>183</v>
      </c>
      <c r="H176" t="str">
        <f t="shared" si="2"/>
        <v>F00 123 0103080104 P</v>
      </c>
      <c r="I176" t="s">
        <v>1067</v>
      </c>
    </row>
    <row r="177" spans="1:9" x14ac:dyDescent="0.3">
      <c r="A177" t="s">
        <v>61</v>
      </c>
      <c r="B177" t="s">
        <v>711</v>
      </c>
      <c r="C177">
        <v>123</v>
      </c>
      <c r="D177" t="s">
        <v>2631</v>
      </c>
      <c r="E177" t="s">
        <v>1517</v>
      </c>
      <c r="F177" t="str">
        <f>VLOOKUP(E177,GACETA!$A$1:$C$186,3,0)</f>
        <v>P</v>
      </c>
      <c r="G177" t="s">
        <v>183</v>
      </c>
      <c r="H177" t="str">
        <f t="shared" si="2"/>
        <v>F00 123 0103080104 P</v>
      </c>
      <c r="I177" t="s">
        <v>1068</v>
      </c>
    </row>
    <row r="178" spans="1:9" x14ac:dyDescent="0.3">
      <c r="A178" t="s">
        <v>61</v>
      </c>
      <c r="B178" t="s">
        <v>711</v>
      </c>
      <c r="C178">
        <v>123</v>
      </c>
      <c r="D178" t="s">
        <v>2631</v>
      </c>
      <c r="E178" t="s">
        <v>1517</v>
      </c>
      <c r="F178" t="str">
        <f>VLOOKUP(E178,GACETA!$A$1:$C$186,3,0)</f>
        <v>P</v>
      </c>
      <c r="G178" t="s">
        <v>183</v>
      </c>
      <c r="H178" t="str">
        <f t="shared" si="2"/>
        <v>F00 123 0103080104 P</v>
      </c>
      <c r="I178" t="s">
        <v>1069</v>
      </c>
    </row>
    <row r="179" spans="1:9" x14ac:dyDescent="0.3">
      <c r="A179" t="s">
        <v>61</v>
      </c>
      <c r="B179" t="s">
        <v>711</v>
      </c>
      <c r="C179">
        <v>123</v>
      </c>
      <c r="D179" t="s">
        <v>2631</v>
      </c>
      <c r="E179" t="s">
        <v>1518</v>
      </c>
      <c r="F179" t="str">
        <f>VLOOKUP(E179,GACETA!$A$1:$C$186,3,0)</f>
        <v>M</v>
      </c>
      <c r="G179" t="s">
        <v>186</v>
      </c>
      <c r="H179" t="str">
        <f t="shared" si="2"/>
        <v>F00 123 0103080107 M</v>
      </c>
      <c r="I179" t="s">
        <v>1060</v>
      </c>
    </row>
    <row r="180" spans="1:9" s="235" customFormat="1" x14ac:dyDescent="0.3">
      <c r="E180" s="235" t="s">
        <v>1518</v>
      </c>
      <c r="F180" s="235" t="str">
        <f>VLOOKUP(E180,GACETA!$A$1:$C$186,3,0)</f>
        <v>M</v>
      </c>
      <c r="G180" s="235" t="s">
        <v>186</v>
      </c>
      <c r="H180" t="str">
        <f t="shared" si="2"/>
        <v xml:space="preserve">  0103080107 M</v>
      </c>
      <c r="I180" s="235" t="s">
        <v>189</v>
      </c>
    </row>
    <row r="181" spans="1:9" x14ac:dyDescent="0.3">
      <c r="A181" t="s">
        <v>61</v>
      </c>
      <c r="B181" t="s">
        <v>711</v>
      </c>
      <c r="C181">
        <v>123</v>
      </c>
      <c r="D181" t="s">
        <v>2631</v>
      </c>
      <c r="E181" t="s">
        <v>1518</v>
      </c>
      <c r="F181" t="str">
        <f>VLOOKUP(E181,GACETA!$A$1:$C$186,3,0)</f>
        <v>M</v>
      </c>
      <c r="G181" t="s">
        <v>186</v>
      </c>
      <c r="H181" t="str">
        <f t="shared" si="2"/>
        <v>F00 123 0103080107 M</v>
      </c>
      <c r="I181" t="s">
        <v>1061</v>
      </c>
    </row>
    <row r="182" spans="1:9" x14ac:dyDescent="0.3">
      <c r="A182" t="s">
        <v>61</v>
      </c>
      <c r="B182" t="s">
        <v>711</v>
      </c>
      <c r="C182">
        <v>123</v>
      </c>
      <c r="D182" t="s">
        <v>2631</v>
      </c>
      <c r="E182" t="s">
        <v>1518</v>
      </c>
      <c r="F182" t="str">
        <f>VLOOKUP(E182,GACETA!$A$1:$C$186,3,0)</f>
        <v>M</v>
      </c>
      <c r="G182" t="s">
        <v>186</v>
      </c>
      <c r="H182" t="str">
        <f t="shared" si="2"/>
        <v>F00 123 0103080107 M</v>
      </c>
      <c r="I182" t="s">
        <v>1062</v>
      </c>
    </row>
    <row r="183" spans="1:9" x14ac:dyDescent="0.3">
      <c r="A183" t="s">
        <v>61</v>
      </c>
      <c r="B183" t="s">
        <v>711</v>
      </c>
      <c r="C183">
        <v>123</v>
      </c>
      <c r="D183" t="s">
        <v>2631</v>
      </c>
      <c r="E183" t="s">
        <v>1576</v>
      </c>
      <c r="F183" t="str">
        <f>VLOOKUP(E183,GACETA!$A$1:$C$186,3,0)</f>
        <v>K</v>
      </c>
      <c r="G183" t="s">
        <v>220</v>
      </c>
      <c r="H183" t="str">
        <f t="shared" si="2"/>
        <v>F00 123 0202010106 K</v>
      </c>
      <c r="I183" t="s">
        <v>1074</v>
      </c>
    </row>
    <row r="184" spans="1:9" x14ac:dyDescent="0.3">
      <c r="A184" t="s">
        <v>61</v>
      </c>
      <c r="B184" t="s">
        <v>711</v>
      </c>
      <c r="C184">
        <v>123</v>
      </c>
      <c r="D184" t="s">
        <v>2631</v>
      </c>
      <c r="E184" t="s">
        <v>1576</v>
      </c>
      <c r="F184" t="str">
        <f>VLOOKUP(E184,GACETA!$A$1:$C$186,3,0)</f>
        <v>K</v>
      </c>
      <c r="G184" t="s">
        <v>220</v>
      </c>
      <c r="H184" t="str">
        <f t="shared" si="2"/>
        <v>F00 123 0202010106 K</v>
      </c>
      <c r="I184" t="s">
        <v>1076</v>
      </c>
    </row>
    <row r="185" spans="1:9" x14ac:dyDescent="0.3">
      <c r="A185" t="s">
        <v>61</v>
      </c>
      <c r="B185" t="s">
        <v>711</v>
      </c>
      <c r="C185">
        <v>123</v>
      </c>
      <c r="D185" t="s">
        <v>2631</v>
      </c>
      <c r="E185" t="s">
        <v>1576</v>
      </c>
      <c r="F185" t="str">
        <f>VLOOKUP(E185,GACETA!$A$1:$C$186,3,0)</f>
        <v>K</v>
      </c>
      <c r="G185" t="s">
        <v>220</v>
      </c>
      <c r="H185" t="str">
        <f t="shared" si="2"/>
        <v>F00 123 0202010106 K</v>
      </c>
      <c r="I185" t="s">
        <v>1077</v>
      </c>
    </row>
    <row r="186" spans="1:9" x14ac:dyDescent="0.3">
      <c r="A186" t="s">
        <v>61</v>
      </c>
      <c r="B186" t="s">
        <v>711</v>
      </c>
      <c r="C186">
        <v>123</v>
      </c>
      <c r="D186" t="s">
        <v>2631</v>
      </c>
      <c r="E186" t="s">
        <v>1592</v>
      </c>
      <c r="F186" t="str">
        <f>VLOOKUP(E186,GACETA!$A$1:$C$186,3,0)</f>
        <v>E</v>
      </c>
      <c r="G186" t="s">
        <v>1421</v>
      </c>
      <c r="H186" t="str">
        <f t="shared" si="2"/>
        <v>F00 123 0202050104 E</v>
      </c>
      <c r="I186" t="s">
        <v>1079</v>
      </c>
    </row>
    <row r="187" spans="1:9" x14ac:dyDescent="0.3">
      <c r="A187" t="s">
        <v>61</v>
      </c>
      <c r="B187" t="s">
        <v>711</v>
      </c>
      <c r="C187">
        <v>123</v>
      </c>
      <c r="D187" t="s">
        <v>2631</v>
      </c>
      <c r="E187" t="s">
        <v>1592</v>
      </c>
      <c r="F187" t="str">
        <f>VLOOKUP(E187,GACETA!$A$1:$C$186,3,0)</f>
        <v>E</v>
      </c>
      <c r="G187" t="s">
        <v>1421</v>
      </c>
      <c r="H187" t="str">
        <f t="shared" si="2"/>
        <v>F00 123 0202050104 E</v>
      </c>
      <c r="I187" t="s">
        <v>1080</v>
      </c>
    </row>
    <row r="188" spans="1:9" x14ac:dyDescent="0.3">
      <c r="A188" t="s">
        <v>61</v>
      </c>
      <c r="B188" t="s">
        <v>711</v>
      </c>
      <c r="C188">
        <v>123</v>
      </c>
      <c r="D188" t="s">
        <v>2631</v>
      </c>
      <c r="E188" t="s">
        <v>1592</v>
      </c>
      <c r="F188" t="str">
        <f>VLOOKUP(E188,GACETA!$A$1:$C$186,3,0)</f>
        <v>E</v>
      </c>
      <c r="G188" t="s">
        <v>1421</v>
      </c>
      <c r="H188" t="str">
        <f t="shared" si="2"/>
        <v>F00 123 0202050104 E</v>
      </c>
      <c r="I188" t="s">
        <v>1081</v>
      </c>
    </row>
    <row r="189" spans="1:9" x14ac:dyDescent="0.3">
      <c r="A189" t="s">
        <v>61</v>
      </c>
      <c r="B189" t="s">
        <v>711</v>
      </c>
      <c r="C189">
        <v>123</v>
      </c>
      <c r="D189" t="s">
        <v>2631</v>
      </c>
      <c r="E189" t="s">
        <v>1552</v>
      </c>
      <c r="F189" t="str">
        <f>VLOOKUP(E189,GACETA!$A$1:$C$186,3,0)</f>
        <v>E</v>
      </c>
      <c r="G189" t="s">
        <v>1498</v>
      </c>
      <c r="H189" t="str">
        <f t="shared" si="2"/>
        <v>F00 123 0108010301 E</v>
      </c>
      <c r="I189" t="s">
        <v>482</v>
      </c>
    </row>
    <row r="190" spans="1:9" x14ac:dyDescent="0.3">
      <c r="A190" t="s">
        <v>61</v>
      </c>
      <c r="B190" t="s">
        <v>711</v>
      </c>
      <c r="C190">
        <v>123</v>
      </c>
      <c r="D190" t="s">
        <v>2631</v>
      </c>
      <c r="E190" t="s">
        <v>1552</v>
      </c>
      <c r="F190" t="str">
        <f>VLOOKUP(E190,GACETA!$A$1:$C$186,3,0)</f>
        <v>E</v>
      </c>
      <c r="G190" t="s">
        <v>1498</v>
      </c>
      <c r="H190" t="str">
        <f t="shared" si="2"/>
        <v>F00 123 0108010301 E</v>
      </c>
      <c r="I190" t="s">
        <v>1082</v>
      </c>
    </row>
    <row r="191" spans="1:9" x14ac:dyDescent="0.3">
      <c r="A191" t="s">
        <v>61</v>
      </c>
      <c r="B191" t="s">
        <v>711</v>
      </c>
      <c r="C191">
        <v>123</v>
      </c>
      <c r="D191" t="s">
        <v>2631</v>
      </c>
      <c r="E191" t="s">
        <v>1552</v>
      </c>
      <c r="F191" t="str">
        <f>VLOOKUP(E191,GACETA!$A$1:$C$186,3,0)</f>
        <v>E</v>
      </c>
      <c r="G191" t="s">
        <v>1498</v>
      </c>
      <c r="H191" t="str">
        <f t="shared" si="2"/>
        <v>F00 123 0108010301 E</v>
      </c>
      <c r="I191" t="s">
        <v>1083</v>
      </c>
    </row>
    <row r="192" spans="1:9" x14ac:dyDescent="0.3">
      <c r="A192" t="s">
        <v>55</v>
      </c>
      <c r="B192" t="s">
        <v>2579</v>
      </c>
      <c r="C192">
        <v>160</v>
      </c>
      <c r="D192" t="s">
        <v>2666</v>
      </c>
      <c r="E192" t="s">
        <v>1565</v>
      </c>
      <c r="F192" t="str">
        <f>VLOOKUP(E192,GACETA!$A$1:$C$186,3,0)</f>
        <v>V</v>
      </c>
      <c r="G192" t="s">
        <v>241</v>
      </c>
      <c r="H192" t="str">
        <f t="shared" si="2"/>
        <v>G00 160 0201040109 V</v>
      </c>
      <c r="I192" t="s">
        <v>1230</v>
      </c>
    </row>
    <row r="193" spans="1:9" x14ac:dyDescent="0.3">
      <c r="A193" t="s">
        <v>55</v>
      </c>
      <c r="B193" t="s">
        <v>2579</v>
      </c>
      <c r="C193">
        <v>160</v>
      </c>
      <c r="D193" t="s">
        <v>2666</v>
      </c>
      <c r="E193" t="s">
        <v>1569</v>
      </c>
      <c r="F193" t="str">
        <f>VLOOKUP(E193,GACETA!$A$1:$C$186,3,0)</f>
        <v>F</v>
      </c>
      <c r="G193" t="s">
        <v>1232</v>
      </c>
      <c r="H193" t="str">
        <f t="shared" si="2"/>
        <v>G00 160 0201050101 F</v>
      </c>
      <c r="I193" t="s">
        <v>1237</v>
      </c>
    </row>
    <row r="194" spans="1:9" x14ac:dyDescent="0.3">
      <c r="A194" t="s">
        <v>55</v>
      </c>
      <c r="B194" t="s">
        <v>2579</v>
      </c>
      <c r="C194">
        <v>160</v>
      </c>
      <c r="D194" t="s">
        <v>2666</v>
      </c>
      <c r="E194" t="s">
        <v>1570</v>
      </c>
      <c r="F194" t="str">
        <f>VLOOKUP(E194,GACETA!$A$1:$C$186,3,0)</f>
        <v>V</v>
      </c>
      <c r="G194" t="s">
        <v>259</v>
      </c>
      <c r="H194" t="str">
        <f t="shared" si="2"/>
        <v>G00 160 0201050102 V</v>
      </c>
      <c r="I194" t="s">
        <v>1233</v>
      </c>
    </row>
    <row r="195" spans="1:9" x14ac:dyDescent="0.3">
      <c r="A195" t="s">
        <v>55</v>
      </c>
      <c r="B195" t="s">
        <v>2579</v>
      </c>
      <c r="C195">
        <v>160</v>
      </c>
      <c r="D195" t="s">
        <v>2666</v>
      </c>
      <c r="E195" t="s">
        <v>1570</v>
      </c>
      <c r="F195" t="str">
        <f>VLOOKUP(E195,GACETA!$A$1:$C$186,3,0)</f>
        <v>V</v>
      </c>
      <c r="G195" t="s">
        <v>259</v>
      </c>
      <c r="H195" t="str">
        <f t="shared" si="2"/>
        <v>G00 160 0201050102 V</v>
      </c>
      <c r="I195" t="s">
        <v>1234</v>
      </c>
    </row>
    <row r="196" spans="1:9" x14ac:dyDescent="0.3">
      <c r="A196" t="s">
        <v>55</v>
      </c>
      <c r="B196" t="s">
        <v>2579</v>
      </c>
      <c r="C196">
        <v>160</v>
      </c>
      <c r="D196" t="s">
        <v>2666</v>
      </c>
      <c r="E196" t="s">
        <v>1663</v>
      </c>
      <c r="F196" t="str">
        <f>VLOOKUP(E196,GACETA!$A$1:$C$186,3,0)</f>
        <v>V</v>
      </c>
      <c r="G196" t="s">
        <v>1084</v>
      </c>
      <c r="H196" t="str">
        <f t="shared" si="2"/>
        <v>G00 160 0302020103 V</v>
      </c>
      <c r="I196" t="s">
        <v>1238</v>
      </c>
    </row>
    <row r="197" spans="1:9" x14ac:dyDescent="0.3">
      <c r="A197" t="s">
        <v>55</v>
      </c>
      <c r="B197" t="s">
        <v>2579</v>
      </c>
      <c r="C197">
        <v>160</v>
      </c>
      <c r="D197" t="s">
        <v>2666</v>
      </c>
      <c r="E197" t="s">
        <v>1665</v>
      </c>
      <c r="F197" t="str">
        <f>VLOOKUP(E197,GACETA!$A$1:$C$186,3,0)</f>
        <v>V</v>
      </c>
      <c r="G197" t="s">
        <v>1474</v>
      </c>
      <c r="H197" t="str">
        <f t="shared" si="2"/>
        <v>G00 160 0302020105 V</v>
      </c>
      <c r="I197" t="s">
        <v>1239</v>
      </c>
    </row>
    <row r="198" spans="1:9" x14ac:dyDescent="0.3">
      <c r="A198" t="s">
        <v>61</v>
      </c>
      <c r="B198" t="s">
        <v>711</v>
      </c>
      <c r="C198">
        <v>124</v>
      </c>
      <c r="D198" t="s">
        <v>2632</v>
      </c>
      <c r="E198" t="s">
        <v>1559</v>
      </c>
      <c r="F198" t="str">
        <f>VLOOKUP(E198,GACETA!$A$1:$C$186,3,0)</f>
        <v>K</v>
      </c>
      <c r="G198" t="s">
        <v>1406</v>
      </c>
      <c r="H198" t="str">
        <f t="shared" si="2"/>
        <v>F00 124 0201030101 K</v>
      </c>
      <c r="I198" t="s">
        <v>1089</v>
      </c>
    </row>
    <row r="199" spans="1:9" x14ac:dyDescent="0.3">
      <c r="A199" t="s">
        <v>61</v>
      </c>
      <c r="B199" t="s">
        <v>711</v>
      </c>
      <c r="C199">
        <v>124</v>
      </c>
      <c r="D199" t="s">
        <v>2632</v>
      </c>
      <c r="E199" t="s">
        <v>1559</v>
      </c>
      <c r="F199" t="str">
        <f>VLOOKUP(E199,GACETA!$A$1:$C$186,3,0)</f>
        <v>K</v>
      </c>
      <c r="G199" t="s">
        <v>1406</v>
      </c>
      <c r="H199" t="str">
        <f t="shared" ref="H199:H262" si="3">CONCATENATE(A199," ",C199," ",E199," ",F199)</f>
        <v>F00 124 0201030101 K</v>
      </c>
      <c r="I199" t="s">
        <v>1090</v>
      </c>
    </row>
    <row r="200" spans="1:9" x14ac:dyDescent="0.3">
      <c r="A200" t="s">
        <v>61</v>
      </c>
      <c r="B200" t="s">
        <v>711</v>
      </c>
      <c r="C200">
        <v>124</v>
      </c>
      <c r="D200" t="s">
        <v>2632</v>
      </c>
      <c r="E200" t="s">
        <v>1559</v>
      </c>
      <c r="F200" t="str">
        <f>VLOOKUP(E200,GACETA!$A$1:$C$186,3,0)</f>
        <v>K</v>
      </c>
      <c r="G200" t="s">
        <v>1406</v>
      </c>
      <c r="H200" t="str">
        <f t="shared" si="3"/>
        <v>F00 124 0201030101 K</v>
      </c>
      <c r="I200" t="s">
        <v>1091</v>
      </c>
    </row>
    <row r="201" spans="1:9" x14ac:dyDescent="0.3">
      <c r="A201" t="s">
        <v>61</v>
      </c>
      <c r="B201" t="s">
        <v>711</v>
      </c>
      <c r="C201">
        <v>124</v>
      </c>
      <c r="D201" t="s">
        <v>2632</v>
      </c>
      <c r="E201" t="s">
        <v>1579</v>
      </c>
      <c r="F201" t="str">
        <f>VLOOKUP(E201,GACETA!$A$1:$C$186,3,0)</f>
        <v>K</v>
      </c>
      <c r="G201" t="s">
        <v>1092</v>
      </c>
      <c r="H201" t="str">
        <f t="shared" si="3"/>
        <v>F00 124 0202010109 K</v>
      </c>
      <c r="I201" t="s">
        <v>1188</v>
      </c>
    </row>
    <row r="202" spans="1:9" x14ac:dyDescent="0.3">
      <c r="A202" t="s">
        <v>61</v>
      </c>
      <c r="B202" t="s">
        <v>711</v>
      </c>
      <c r="C202">
        <v>124</v>
      </c>
      <c r="D202" t="s">
        <v>2632</v>
      </c>
      <c r="E202" t="s">
        <v>1579</v>
      </c>
      <c r="F202" t="str">
        <f>VLOOKUP(E202,GACETA!$A$1:$C$186,3,0)</f>
        <v>K</v>
      </c>
      <c r="G202" t="s">
        <v>1092</v>
      </c>
      <c r="H202" t="str">
        <f t="shared" si="3"/>
        <v>F00 124 0202010109 K</v>
      </c>
      <c r="I202" t="s">
        <v>1189</v>
      </c>
    </row>
    <row r="203" spans="1:9" x14ac:dyDescent="0.3">
      <c r="A203" t="s">
        <v>61</v>
      </c>
      <c r="B203" t="s">
        <v>711</v>
      </c>
      <c r="C203">
        <v>124</v>
      </c>
      <c r="D203" t="s">
        <v>2632</v>
      </c>
      <c r="E203" t="s">
        <v>1579</v>
      </c>
      <c r="F203" t="str">
        <f>VLOOKUP(E203,GACETA!$A$1:$C$186,3,0)</f>
        <v>K</v>
      </c>
      <c r="G203" t="s">
        <v>1092</v>
      </c>
      <c r="H203" t="str">
        <f t="shared" si="3"/>
        <v>F00 124 0202010109 K</v>
      </c>
      <c r="I203" t="s">
        <v>1187</v>
      </c>
    </row>
    <row r="204" spans="1:9" x14ac:dyDescent="0.3">
      <c r="A204" t="s">
        <v>61</v>
      </c>
      <c r="B204" t="s">
        <v>711</v>
      </c>
      <c r="C204">
        <v>124</v>
      </c>
      <c r="D204" t="s">
        <v>2632</v>
      </c>
      <c r="E204" t="s">
        <v>1579</v>
      </c>
      <c r="F204" t="str">
        <f>VLOOKUP(E204,GACETA!$A$1:$C$186,3,0)</f>
        <v>K</v>
      </c>
      <c r="G204" t="s">
        <v>1092</v>
      </c>
      <c r="H204" t="str">
        <f t="shared" si="3"/>
        <v>F00 124 0202010109 K</v>
      </c>
      <c r="I204" t="s">
        <v>1095</v>
      </c>
    </row>
    <row r="205" spans="1:9" x14ac:dyDescent="0.3">
      <c r="A205" t="s">
        <v>61</v>
      </c>
      <c r="B205" t="s">
        <v>711</v>
      </c>
      <c r="C205">
        <v>124</v>
      </c>
      <c r="D205" t="s">
        <v>2632</v>
      </c>
      <c r="E205" t="s">
        <v>1580</v>
      </c>
      <c r="F205" t="str">
        <f>VLOOKUP(E205,GACETA!$A$1:$C$186,3,0)</f>
        <v>K</v>
      </c>
      <c r="G205" t="s">
        <v>202</v>
      </c>
      <c r="H205" t="str">
        <f t="shared" si="3"/>
        <v>F00 124 0202010110 K</v>
      </c>
      <c r="I205" t="s">
        <v>1096</v>
      </c>
    </row>
    <row r="206" spans="1:9" x14ac:dyDescent="0.3">
      <c r="A206" t="s">
        <v>61</v>
      </c>
      <c r="B206" t="s">
        <v>711</v>
      </c>
      <c r="C206">
        <v>124</v>
      </c>
      <c r="D206" t="s">
        <v>2632</v>
      </c>
      <c r="E206" t="s">
        <v>1580</v>
      </c>
      <c r="F206" t="str">
        <f>VLOOKUP(E206,GACETA!$A$1:$C$186,3,0)</f>
        <v>K</v>
      </c>
      <c r="G206" t="s">
        <v>202</v>
      </c>
      <c r="H206" t="str">
        <f t="shared" si="3"/>
        <v>F00 124 0202010110 K</v>
      </c>
      <c r="I206" t="s">
        <v>1097</v>
      </c>
    </row>
    <row r="207" spans="1:9" x14ac:dyDescent="0.3">
      <c r="A207" t="s">
        <v>61</v>
      </c>
      <c r="B207" t="s">
        <v>711</v>
      </c>
      <c r="C207">
        <v>124</v>
      </c>
      <c r="D207" t="s">
        <v>2632</v>
      </c>
      <c r="E207" t="s">
        <v>1581</v>
      </c>
      <c r="F207" t="str">
        <f>VLOOKUP(E207,GACETA!$A$1:$C$186,3,0)</f>
        <v>K</v>
      </c>
      <c r="G207" t="s">
        <v>206</v>
      </c>
      <c r="H207" t="str">
        <f t="shared" si="3"/>
        <v>F00 124 0202010111 K</v>
      </c>
      <c r="I207" t="s">
        <v>1098</v>
      </c>
    </row>
    <row r="208" spans="1:9" x14ac:dyDescent="0.3">
      <c r="A208" t="s">
        <v>61</v>
      </c>
      <c r="B208" t="s">
        <v>711</v>
      </c>
      <c r="C208">
        <v>124</v>
      </c>
      <c r="D208" t="s">
        <v>2632</v>
      </c>
      <c r="E208" t="s">
        <v>1581</v>
      </c>
      <c r="F208" t="str">
        <f>VLOOKUP(E208,GACETA!$A$1:$C$186,3,0)</f>
        <v>K</v>
      </c>
      <c r="G208" t="s">
        <v>206</v>
      </c>
      <c r="H208" t="str">
        <f t="shared" si="3"/>
        <v>F00 124 0202010111 K</v>
      </c>
      <c r="I208" t="s">
        <v>1099</v>
      </c>
    </row>
    <row r="209" spans="1:9" x14ac:dyDescent="0.3">
      <c r="A209" t="s">
        <v>61</v>
      </c>
      <c r="B209" t="s">
        <v>711</v>
      </c>
      <c r="C209">
        <v>124</v>
      </c>
      <c r="D209" t="s">
        <v>2632</v>
      </c>
      <c r="E209" t="s">
        <v>1582</v>
      </c>
      <c r="F209" t="str">
        <f>VLOOKUP(E209,GACETA!$A$1:$C$186,3,0)</f>
        <v>K</v>
      </c>
      <c r="G209" t="s">
        <v>203</v>
      </c>
      <c r="H209" t="str">
        <f t="shared" si="3"/>
        <v>F00 124 0202010112 K</v>
      </c>
      <c r="I209" t="s">
        <v>825</v>
      </c>
    </row>
    <row r="210" spans="1:9" x14ac:dyDescent="0.3">
      <c r="A210" t="s">
        <v>61</v>
      </c>
      <c r="B210" t="s">
        <v>711</v>
      </c>
      <c r="C210">
        <v>124</v>
      </c>
      <c r="D210" t="s">
        <v>2632</v>
      </c>
      <c r="E210" t="s">
        <v>1582</v>
      </c>
      <c r="F210" t="str">
        <f>VLOOKUP(E210,GACETA!$A$1:$C$186,3,0)</f>
        <v>K</v>
      </c>
      <c r="G210" t="s">
        <v>203</v>
      </c>
      <c r="H210" t="str">
        <f t="shared" si="3"/>
        <v>F00 124 0202010112 K</v>
      </c>
      <c r="I210" t="s">
        <v>1101</v>
      </c>
    </row>
    <row r="211" spans="1:9" x14ac:dyDescent="0.3">
      <c r="A211" t="s">
        <v>61</v>
      </c>
      <c r="B211" t="s">
        <v>711</v>
      </c>
      <c r="C211">
        <v>124</v>
      </c>
      <c r="D211" t="s">
        <v>2632</v>
      </c>
      <c r="E211" t="s">
        <v>1582</v>
      </c>
      <c r="F211" t="str">
        <f>VLOOKUP(E211,GACETA!$A$1:$C$186,3,0)</f>
        <v>K</v>
      </c>
      <c r="G211" t="s">
        <v>203</v>
      </c>
      <c r="H211" t="str">
        <f t="shared" si="3"/>
        <v>F00 124 0202010112 K</v>
      </c>
      <c r="I211" t="s">
        <v>1102</v>
      </c>
    </row>
    <row r="212" spans="1:9" x14ac:dyDescent="0.3">
      <c r="A212" t="s">
        <v>61</v>
      </c>
      <c r="B212" t="s">
        <v>711</v>
      </c>
      <c r="C212">
        <v>124</v>
      </c>
      <c r="D212" t="s">
        <v>2632</v>
      </c>
      <c r="E212" t="s">
        <v>1583</v>
      </c>
      <c r="F212" t="str">
        <f>VLOOKUP(E212,GACETA!$A$1:$C$186,3,0)</f>
        <v>K</v>
      </c>
      <c r="G212" t="s">
        <v>204</v>
      </c>
      <c r="H212" t="str">
        <f t="shared" si="3"/>
        <v>F00 124 0202010113 K</v>
      </c>
      <c r="I212" t="s">
        <v>204</v>
      </c>
    </row>
    <row r="213" spans="1:9" x14ac:dyDescent="0.3">
      <c r="A213" t="s">
        <v>61</v>
      </c>
      <c r="B213" t="s">
        <v>711</v>
      </c>
      <c r="C213">
        <v>124</v>
      </c>
      <c r="D213" t="s">
        <v>2632</v>
      </c>
      <c r="E213" t="s">
        <v>1583</v>
      </c>
      <c r="F213" t="str">
        <f>VLOOKUP(E213,GACETA!$A$1:$C$186,3,0)</f>
        <v>K</v>
      </c>
      <c r="G213" t="s">
        <v>204</v>
      </c>
      <c r="H213" t="str">
        <f t="shared" si="3"/>
        <v>F00 124 0202010113 K</v>
      </c>
      <c r="I213" t="s">
        <v>1101</v>
      </c>
    </row>
    <row r="214" spans="1:9" x14ac:dyDescent="0.3">
      <c r="A214" t="s">
        <v>61</v>
      </c>
      <c r="B214" t="s">
        <v>711</v>
      </c>
      <c r="C214">
        <v>124</v>
      </c>
      <c r="D214" t="s">
        <v>2632</v>
      </c>
      <c r="E214" t="s">
        <v>1583</v>
      </c>
      <c r="F214" t="str">
        <f>VLOOKUP(E214,GACETA!$A$1:$C$186,3,0)</f>
        <v>K</v>
      </c>
      <c r="G214" t="s">
        <v>204</v>
      </c>
      <c r="H214" t="str">
        <f t="shared" si="3"/>
        <v>F00 124 0202010113 K</v>
      </c>
      <c r="I214" t="s">
        <v>1102</v>
      </c>
    </row>
    <row r="215" spans="1:9" x14ac:dyDescent="0.3">
      <c r="A215" t="s">
        <v>61</v>
      </c>
      <c r="B215" t="s">
        <v>711</v>
      </c>
      <c r="C215">
        <v>124</v>
      </c>
      <c r="D215" t="s">
        <v>2632</v>
      </c>
      <c r="E215" t="s">
        <v>1587</v>
      </c>
      <c r="F215" t="str">
        <f>VLOOKUP(E215,GACETA!$A$1:$C$186,3,0)</f>
        <v>K</v>
      </c>
      <c r="G215" t="s">
        <v>1417</v>
      </c>
      <c r="H215" t="str">
        <f t="shared" si="3"/>
        <v>F00 124 0202030105 K</v>
      </c>
      <c r="I215" t="s">
        <v>211</v>
      </c>
    </row>
    <row r="216" spans="1:9" x14ac:dyDescent="0.3">
      <c r="A216" t="s">
        <v>61</v>
      </c>
      <c r="B216" t="s">
        <v>711</v>
      </c>
      <c r="C216">
        <v>124</v>
      </c>
      <c r="D216" t="s">
        <v>2632</v>
      </c>
      <c r="E216" t="s">
        <v>1587</v>
      </c>
      <c r="F216" t="str">
        <f>VLOOKUP(E216,GACETA!$A$1:$C$186,3,0)</f>
        <v>K</v>
      </c>
      <c r="G216" t="s">
        <v>1417</v>
      </c>
      <c r="H216" t="str">
        <f t="shared" si="3"/>
        <v>F00 124 0202030105 K</v>
      </c>
      <c r="I216" t="s">
        <v>1087</v>
      </c>
    </row>
    <row r="217" spans="1:9" x14ac:dyDescent="0.3">
      <c r="A217" t="s">
        <v>61</v>
      </c>
      <c r="B217" t="s">
        <v>711</v>
      </c>
      <c r="C217">
        <v>124</v>
      </c>
      <c r="D217" t="s">
        <v>2632</v>
      </c>
      <c r="E217" t="s">
        <v>1587</v>
      </c>
      <c r="F217" t="str">
        <f>VLOOKUP(E217,GACETA!$A$1:$C$186,3,0)</f>
        <v>K</v>
      </c>
      <c r="G217" t="s">
        <v>1417</v>
      </c>
      <c r="H217" t="str">
        <f t="shared" si="3"/>
        <v>F00 124 0202030105 K</v>
      </c>
      <c r="I217" t="s">
        <v>212</v>
      </c>
    </row>
    <row r="218" spans="1:9" x14ac:dyDescent="0.3">
      <c r="A218" t="s">
        <v>23</v>
      </c>
      <c r="B218" t="s">
        <v>22</v>
      </c>
      <c r="C218">
        <v>172</v>
      </c>
      <c r="D218" t="s">
        <v>2676</v>
      </c>
      <c r="E218" t="s">
        <v>1636</v>
      </c>
      <c r="F218" t="str">
        <f>VLOOKUP(E218,GACETA!$A$1:$C$186,3,0)</f>
        <v>S</v>
      </c>
      <c r="G218" t="s">
        <v>1458</v>
      </c>
      <c r="H218" t="str">
        <f t="shared" si="3"/>
        <v>A00 172 0206080502 S</v>
      </c>
      <c r="I218" t="s">
        <v>1128</v>
      </c>
    </row>
    <row r="219" spans="1:9" x14ac:dyDescent="0.3">
      <c r="A219" t="s">
        <v>23</v>
      </c>
      <c r="B219" t="s">
        <v>22</v>
      </c>
      <c r="C219">
        <v>172</v>
      </c>
      <c r="D219" t="s">
        <v>2676</v>
      </c>
      <c r="E219" t="s">
        <v>1636</v>
      </c>
      <c r="F219" t="str">
        <f>VLOOKUP(E219,GACETA!$A$1:$C$186,3,0)</f>
        <v>S</v>
      </c>
      <c r="G219" t="s">
        <v>1458</v>
      </c>
      <c r="H219" t="str">
        <f t="shared" si="3"/>
        <v>A00 172 0206080502 S</v>
      </c>
      <c r="I219" t="s">
        <v>1129</v>
      </c>
    </row>
    <row r="220" spans="1:9" x14ac:dyDescent="0.3">
      <c r="A220" t="s">
        <v>23</v>
      </c>
      <c r="B220" t="s">
        <v>22</v>
      </c>
      <c r="C220">
        <v>172</v>
      </c>
      <c r="D220" t="s">
        <v>2676</v>
      </c>
      <c r="E220" t="s">
        <v>1636</v>
      </c>
      <c r="F220" t="str">
        <f>VLOOKUP(E220,GACETA!$A$1:$C$186,3,0)</f>
        <v>S</v>
      </c>
      <c r="G220" t="s">
        <v>1458</v>
      </c>
      <c r="H220" t="str">
        <f t="shared" si="3"/>
        <v>A00 172 0206080502 S</v>
      </c>
      <c r="I220" t="s">
        <v>1130</v>
      </c>
    </row>
    <row r="221" spans="1:9" x14ac:dyDescent="0.3">
      <c r="A221" t="s">
        <v>23</v>
      </c>
      <c r="B221" t="s">
        <v>22</v>
      </c>
      <c r="C221">
        <v>172</v>
      </c>
      <c r="D221" t="s">
        <v>2676</v>
      </c>
      <c r="E221" t="s">
        <v>1636</v>
      </c>
      <c r="F221" t="str">
        <f>VLOOKUP(E221,GACETA!$A$1:$C$186,3,0)</f>
        <v>S</v>
      </c>
      <c r="G221" t="s">
        <v>1458</v>
      </c>
      <c r="H221" t="str">
        <f t="shared" si="3"/>
        <v>A00 172 0206080502 S</v>
      </c>
      <c r="I221" t="s">
        <v>698</v>
      </c>
    </row>
    <row r="222" spans="1:9" x14ac:dyDescent="0.3">
      <c r="A222" t="s">
        <v>23</v>
      </c>
      <c r="B222" t="s">
        <v>22</v>
      </c>
      <c r="C222">
        <v>172</v>
      </c>
      <c r="D222" t="s">
        <v>2676</v>
      </c>
      <c r="E222" t="s">
        <v>1636</v>
      </c>
      <c r="F222" t="str">
        <f>VLOOKUP(E222,GACETA!$A$1:$C$186,3,0)</f>
        <v>S</v>
      </c>
      <c r="G222" t="s">
        <v>1458</v>
      </c>
      <c r="H222" t="str">
        <f t="shared" si="3"/>
        <v>A00 172 0206080502 S</v>
      </c>
      <c r="I222" t="s">
        <v>1133</v>
      </c>
    </row>
    <row r="223" spans="1:9" x14ac:dyDescent="0.3">
      <c r="A223" t="s">
        <v>23</v>
      </c>
      <c r="B223" t="s">
        <v>22</v>
      </c>
      <c r="C223">
        <v>172</v>
      </c>
      <c r="D223" t="s">
        <v>2676</v>
      </c>
      <c r="E223" t="s">
        <v>1653</v>
      </c>
      <c r="F223" t="str">
        <f>VLOOKUP(E223,GACETA!$A$1:$C$186,3,0)</f>
        <v>E</v>
      </c>
      <c r="G223" t="s">
        <v>650</v>
      </c>
      <c r="H223" t="str">
        <f t="shared" si="3"/>
        <v>A00 172 0301020301 E</v>
      </c>
      <c r="I223" t="s">
        <v>691</v>
      </c>
    </row>
    <row r="224" spans="1:9" x14ac:dyDescent="0.3">
      <c r="A224" t="s">
        <v>23</v>
      </c>
      <c r="B224" t="s">
        <v>22</v>
      </c>
      <c r="C224">
        <v>172</v>
      </c>
      <c r="D224" t="s">
        <v>2676</v>
      </c>
      <c r="E224" t="s">
        <v>1654</v>
      </c>
      <c r="F224" t="str">
        <f>VLOOKUP(E224,GACETA!$A$1:$C$186,3,0)</f>
        <v>S</v>
      </c>
      <c r="G224" t="s">
        <v>838</v>
      </c>
      <c r="H224" t="str">
        <f t="shared" si="3"/>
        <v>A00 172 0301020302 S</v>
      </c>
      <c r="I224" t="s">
        <v>692</v>
      </c>
    </row>
    <row r="225" spans="1:9" x14ac:dyDescent="0.3">
      <c r="A225" t="s">
        <v>52</v>
      </c>
      <c r="B225" t="s">
        <v>2590</v>
      </c>
      <c r="C225">
        <v>141</v>
      </c>
      <c r="D225" t="s">
        <v>1435</v>
      </c>
      <c r="E225" t="s">
        <v>1609</v>
      </c>
      <c r="F225" t="str">
        <f>VLOOKUP(E225,GACETA!$A$1:$C$186,3,0)</f>
        <v>S</v>
      </c>
      <c r="G225" t="s">
        <v>518</v>
      </c>
      <c r="H225" t="str">
        <f t="shared" si="3"/>
        <v>O00 141 0205010110 S</v>
      </c>
      <c r="I225" t="s">
        <v>1175</v>
      </c>
    </row>
    <row r="226" spans="1:9" x14ac:dyDescent="0.3">
      <c r="A226" t="s">
        <v>52</v>
      </c>
      <c r="B226" t="s">
        <v>2590</v>
      </c>
      <c r="C226">
        <v>141</v>
      </c>
      <c r="D226" t="s">
        <v>1435</v>
      </c>
      <c r="E226" t="s">
        <v>1609</v>
      </c>
      <c r="F226" t="str">
        <f>VLOOKUP(E226,GACETA!$A$1:$C$186,3,0)</f>
        <v>S</v>
      </c>
      <c r="G226" t="s">
        <v>518</v>
      </c>
      <c r="H226" t="str">
        <f t="shared" si="3"/>
        <v>O00 141 0205010110 S</v>
      </c>
      <c r="I226" t="s">
        <v>1176</v>
      </c>
    </row>
    <row r="227" spans="1:9" x14ac:dyDescent="0.3">
      <c r="A227" t="s">
        <v>52</v>
      </c>
      <c r="B227" t="s">
        <v>2590</v>
      </c>
      <c r="C227">
        <v>141</v>
      </c>
      <c r="D227" t="s">
        <v>1435</v>
      </c>
      <c r="E227" t="s">
        <v>1609</v>
      </c>
      <c r="F227" t="str">
        <f>VLOOKUP(E227,GACETA!$A$1:$C$186,3,0)</f>
        <v>S</v>
      </c>
      <c r="G227" t="s">
        <v>518</v>
      </c>
      <c r="H227" t="str">
        <f t="shared" si="3"/>
        <v>O00 141 0205010110 S</v>
      </c>
      <c r="I227" t="s">
        <v>1177</v>
      </c>
    </row>
    <row r="228" spans="1:9" x14ac:dyDescent="0.3">
      <c r="A228" t="s">
        <v>52</v>
      </c>
      <c r="B228" t="s">
        <v>2590</v>
      </c>
      <c r="C228">
        <v>141</v>
      </c>
      <c r="D228" t="s">
        <v>1435</v>
      </c>
      <c r="E228" t="s">
        <v>1610</v>
      </c>
      <c r="F228" t="str">
        <f>VLOOKUP(E228,GACETA!$A$1:$C$186,3,0)</f>
        <v>S</v>
      </c>
      <c r="G228" t="s">
        <v>217</v>
      </c>
      <c r="H228" t="str">
        <f t="shared" si="3"/>
        <v>O00 141 0205020105 S</v>
      </c>
      <c r="I228" t="s">
        <v>1182</v>
      </c>
    </row>
    <row r="229" spans="1:9" s="235" customFormat="1" x14ac:dyDescent="0.3">
      <c r="B229" s="235" t="e">
        <v>#N/A</v>
      </c>
      <c r="D229" s="235" t="e">
        <v>#N/A</v>
      </c>
      <c r="E229" s="235" t="s">
        <v>2724</v>
      </c>
      <c r="F229" s="235" t="e">
        <f>VLOOKUP(E229,GACETA!$A$1:$C$186,3,0)</f>
        <v>#N/A</v>
      </c>
      <c r="G229" s="235" t="e">
        <v>#N/A</v>
      </c>
      <c r="H229" t="e">
        <f t="shared" si="3"/>
        <v>#N/A</v>
      </c>
      <c r="I229" s="235" t="s">
        <v>528</v>
      </c>
    </row>
    <row r="230" spans="1:9" x14ac:dyDescent="0.3">
      <c r="A230" t="s">
        <v>52</v>
      </c>
      <c r="B230" t="s">
        <v>2590</v>
      </c>
      <c r="C230">
        <v>141</v>
      </c>
      <c r="D230" t="s">
        <v>1435</v>
      </c>
      <c r="E230" t="s">
        <v>1610</v>
      </c>
      <c r="F230" t="str">
        <f>VLOOKUP(E230,GACETA!$A$1:$C$186,3,0)</f>
        <v>S</v>
      </c>
      <c r="G230" t="s">
        <v>217</v>
      </c>
      <c r="H230" t="str">
        <f t="shared" si="3"/>
        <v>O00 141 0205020105 S</v>
      </c>
      <c r="I230" t="s">
        <v>1183</v>
      </c>
    </row>
    <row r="231" spans="1:9" x14ac:dyDescent="0.3">
      <c r="A231" t="s">
        <v>52</v>
      </c>
      <c r="B231" t="s">
        <v>2590</v>
      </c>
      <c r="C231">
        <v>141</v>
      </c>
      <c r="D231" t="s">
        <v>1435</v>
      </c>
      <c r="E231" t="s">
        <v>1611</v>
      </c>
      <c r="F231" t="str">
        <f>VLOOKUP(E231,GACETA!$A$1:$C$186,3,0)</f>
        <v>S</v>
      </c>
      <c r="G231" t="s">
        <v>530</v>
      </c>
      <c r="H231" t="str">
        <f t="shared" si="3"/>
        <v>O00 141 0205030105 S</v>
      </c>
      <c r="I231" t="s">
        <v>1184</v>
      </c>
    </row>
    <row r="232" spans="1:9" x14ac:dyDescent="0.3">
      <c r="A232" t="s">
        <v>52</v>
      </c>
      <c r="B232" t="s">
        <v>2590</v>
      </c>
      <c r="C232">
        <v>141</v>
      </c>
      <c r="D232" t="s">
        <v>1435</v>
      </c>
      <c r="E232" t="s">
        <v>1611</v>
      </c>
      <c r="F232" t="str">
        <f>VLOOKUP(E232,GACETA!$A$1:$C$186,3,0)</f>
        <v>S</v>
      </c>
      <c r="G232" t="s">
        <v>530</v>
      </c>
      <c r="H232" t="str">
        <f t="shared" si="3"/>
        <v>O00 141 0205030105 S</v>
      </c>
      <c r="I232" t="s">
        <v>1185</v>
      </c>
    </row>
    <row r="233" spans="1:9" x14ac:dyDescent="0.3">
      <c r="A233" t="s">
        <v>52</v>
      </c>
      <c r="B233" t="s">
        <v>2590</v>
      </c>
      <c r="C233">
        <v>141</v>
      </c>
      <c r="D233" t="s">
        <v>1435</v>
      </c>
      <c r="E233" t="s">
        <v>1612</v>
      </c>
      <c r="F233" t="str">
        <f>VLOOKUP(E233,GACETA!$A$1:$C$186,3,0)</f>
        <v>S</v>
      </c>
      <c r="G233" t="s">
        <v>534</v>
      </c>
      <c r="H233" t="str">
        <f t="shared" si="3"/>
        <v>O00 141 0205050101 S</v>
      </c>
      <c r="I233" t="s">
        <v>535</v>
      </c>
    </row>
    <row r="234" spans="1:9" x14ac:dyDescent="0.3">
      <c r="A234" t="s">
        <v>52</v>
      </c>
      <c r="B234" t="s">
        <v>2590</v>
      </c>
      <c r="C234">
        <v>141</v>
      </c>
      <c r="D234" t="s">
        <v>1435</v>
      </c>
      <c r="E234" t="s">
        <v>1613</v>
      </c>
      <c r="F234" t="str">
        <f>VLOOKUP(E234,GACETA!$A$1:$C$186,3,0)</f>
        <v>S</v>
      </c>
      <c r="G234" t="s">
        <v>537</v>
      </c>
      <c r="H234" t="str">
        <f t="shared" si="3"/>
        <v>O00 141 0205050102 S</v>
      </c>
      <c r="I234" t="s">
        <v>1180</v>
      </c>
    </row>
    <row r="235" spans="1:9" x14ac:dyDescent="0.3">
      <c r="A235" t="s">
        <v>51</v>
      </c>
      <c r="B235" t="s">
        <v>2585</v>
      </c>
      <c r="C235">
        <v>102</v>
      </c>
      <c r="D235" t="s">
        <v>43</v>
      </c>
      <c r="E235" t="s">
        <v>1506</v>
      </c>
      <c r="F235" t="str">
        <f>VLOOKUP(E235,GACETA!$A$1:$C$186,3,0)</f>
        <v>E</v>
      </c>
      <c r="G235" t="s">
        <v>151</v>
      </c>
      <c r="H235" t="str">
        <f t="shared" si="3"/>
        <v>J00 102 0102040102 E</v>
      </c>
      <c r="I235" t="s">
        <v>1190</v>
      </c>
    </row>
    <row r="236" spans="1:9" x14ac:dyDescent="0.3">
      <c r="A236" t="s">
        <v>51</v>
      </c>
      <c r="B236" t="s">
        <v>2585</v>
      </c>
      <c r="C236">
        <v>102</v>
      </c>
      <c r="D236" t="s">
        <v>43</v>
      </c>
      <c r="E236" t="s">
        <v>1506</v>
      </c>
      <c r="F236" t="str">
        <f>VLOOKUP(E236,GACETA!$A$1:$C$186,3,0)</f>
        <v>E</v>
      </c>
      <c r="G236" t="s">
        <v>151</v>
      </c>
      <c r="H236" t="str">
        <f t="shared" si="3"/>
        <v>J00 102 0102040102 E</v>
      </c>
      <c r="I236" t="s">
        <v>1191</v>
      </c>
    </row>
    <row r="237" spans="1:9" x14ac:dyDescent="0.3">
      <c r="A237" t="s">
        <v>51</v>
      </c>
      <c r="B237" t="s">
        <v>2585</v>
      </c>
      <c r="C237">
        <v>102</v>
      </c>
      <c r="D237" t="s">
        <v>43</v>
      </c>
      <c r="E237" t="s">
        <v>1506</v>
      </c>
      <c r="F237" t="str">
        <f>VLOOKUP(E237,GACETA!$A$1:$C$186,3,0)</f>
        <v>E</v>
      </c>
      <c r="G237" t="s">
        <v>151</v>
      </c>
      <c r="H237" t="str">
        <f t="shared" si="3"/>
        <v>J00 102 0102040102 E</v>
      </c>
      <c r="I237" t="s">
        <v>1192</v>
      </c>
    </row>
    <row r="238" spans="1:9" x14ac:dyDescent="0.3">
      <c r="A238" t="s">
        <v>51</v>
      </c>
      <c r="B238" t="s">
        <v>2585</v>
      </c>
      <c r="C238">
        <v>144</v>
      </c>
      <c r="D238" t="s">
        <v>2651</v>
      </c>
      <c r="E238" t="s">
        <v>1510</v>
      </c>
      <c r="F238" t="str">
        <f>VLOOKUP(E238,GACETA!$A$1:$C$186,3,0)</f>
        <v>E</v>
      </c>
      <c r="G238" t="s">
        <v>1386</v>
      </c>
      <c r="H238" t="str">
        <f t="shared" si="3"/>
        <v>J00 144 0103020104 E</v>
      </c>
      <c r="I238" t="s">
        <v>1194</v>
      </c>
    </row>
    <row r="239" spans="1:9" x14ac:dyDescent="0.3">
      <c r="A239" t="s">
        <v>51</v>
      </c>
      <c r="B239" t="s">
        <v>2585</v>
      </c>
      <c r="C239">
        <v>144</v>
      </c>
      <c r="D239" t="s">
        <v>2651</v>
      </c>
      <c r="E239" t="s">
        <v>1510</v>
      </c>
      <c r="F239" t="str">
        <f>VLOOKUP(E239,GACETA!$A$1:$C$186,3,0)</f>
        <v>E</v>
      </c>
      <c r="G239" t="s">
        <v>1386</v>
      </c>
      <c r="H239" t="str">
        <f t="shared" si="3"/>
        <v>J00 144 0103020104 E</v>
      </c>
      <c r="I239" t="s">
        <v>1195</v>
      </c>
    </row>
    <row r="240" spans="1:9" x14ac:dyDescent="0.3">
      <c r="A240" t="s">
        <v>51</v>
      </c>
      <c r="B240" t="s">
        <v>2585</v>
      </c>
      <c r="C240">
        <v>144</v>
      </c>
      <c r="D240" t="s">
        <v>2651</v>
      </c>
      <c r="E240" t="s">
        <v>1510</v>
      </c>
      <c r="F240" t="str">
        <f>VLOOKUP(E240,GACETA!$A$1:$C$186,3,0)</f>
        <v>E</v>
      </c>
      <c r="G240" t="s">
        <v>1386</v>
      </c>
      <c r="H240" t="str">
        <f t="shared" si="3"/>
        <v>J00 144 0103020104 E</v>
      </c>
      <c r="I240" t="s">
        <v>1196</v>
      </c>
    </row>
    <row r="241" spans="1:9" x14ac:dyDescent="0.3">
      <c r="A241" t="s">
        <v>51</v>
      </c>
      <c r="B241" t="s">
        <v>2585</v>
      </c>
      <c r="C241">
        <v>144</v>
      </c>
      <c r="D241" t="s">
        <v>2651</v>
      </c>
      <c r="E241" t="s">
        <v>1510</v>
      </c>
      <c r="F241" t="str">
        <f>VLOOKUP(E241,GACETA!$A$1:$C$186,3,0)</f>
        <v>E</v>
      </c>
      <c r="G241" t="s">
        <v>1386</v>
      </c>
      <c r="H241" t="str">
        <f t="shared" si="3"/>
        <v>J00 144 0103020104 E</v>
      </c>
      <c r="I241" t="s">
        <v>1197</v>
      </c>
    </row>
    <row r="242" spans="1:9" x14ac:dyDescent="0.3">
      <c r="A242" t="s">
        <v>51</v>
      </c>
      <c r="B242" t="s">
        <v>2585</v>
      </c>
      <c r="C242">
        <v>111</v>
      </c>
      <c r="D242" t="s">
        <v>2619</v>
      </c>
      <c r="E242" t="s">
        <v>1608</v>
      </c>
      <c r="F242" t="str">
        <f>VLOOKUP(E242,GACETA!$A$1:$C$186,3,0)</f>
        <v>E</v>
      </c>
      <c r="G242" t="s">
        <v>1434</v>
      </c>
      <c r="H242" t="str">
        <f t="shared" si="3"/>
        <v>J00 111 0204040102 E</v>
      </c>
      <c r="I242" t="s">
        <v>1199</v>
      </c>
    </row>
    <row r="243" spans="1:9" x14ac:dyDescent="0.3">
      <c r="A243" t="s">
        <v>51</v>
      </c>
      <c r="B243" t="s">
        <v>2585</v>
      </c>
      <c r="C243">
        <v>111</v>
      </c>
      <c r="D243" t="s">
        <v>2619</v>
      </c>
      <c r="E243" t="s">
        <v>1608</v>
      </c>
      <c r="F243" t="str">
        <f>VLOOKUP(E243,GACETA!$A$1:$C$186,3,0)</f>
        <v>E</v>
      </c>
      <c r="G243" t="s">
        <v>1434</v>
      </c>
      <c r="H243" t="str">
        <f t="shared" si="3"/>
        <v>J00 111 0204040102 E</v>
      </c>
      <c r="I243" t="s">
        <v>1200</v>
      </c>
    </row>
    <row r="244" spans="1:9" x14ac:dyDescent="0.3">
      <c r="A244" t="s">
        <v>51</v>
      </c>
      <c r="B244" t="s">
        <v>2585</v>
      </c>
      <c r="C244">
        <v>111</v>
      </c>
      <c r="D244" t="s">
        <v>2619</v>
      </c>
      <c r="E244" t="s">
        <v>1608</v>
      </c>
      <c r="F244" t="str">
        <f>VLOOKUP(E244,GACETA!$A$1:$C$186,3,0)</f>
        <v>E</v>
      </c>
      <c r="G244" t="s">
        <v>1434</v>
      </c>
      <c r="H244" t="str">
        <f t="shared" si="3"/>
        <v>J00 111 0204040102 E</v>
      </c>
      <c r="I244" t="s">
        <v>1202</v>
      </c>
    </row>
    <row r="245" spans="1:9" x14ac:dyDescent="0.3">
      <c r="A245" t="s">
        <v>51</v>
      </c>
      <c r="B245" t="s">
        <v>2585</v>
      </c>
      <c r="C245">
        <v>151</v>
      </c>
      <c r="D245" t="s">
        <v>2657</v>
      </c>
      <c r="E245" t="s">
        <v>1621</v>
      </c>
      <c r="F245" t="str">
        <f>VLOOKUP(E245,GACETA!$A$1:$C$186,3,0)</f>
        <v>P</v>
      </c>
      <c r="G245" t="s">
        <v>1443</v>
      </c>
      <c r="H245" t="str">
        <f t="shared" si="3"/>
        <v>J00 151 0206070101 P</v>
      </c>
      <c r="I245" t="s">
        <v>1204</v>
      </c>
    </row>
    <row r="246" spans="1:9" x14ac:dyDescent="0.3">
      <c r="A246" t="s">
        <v>51</v>
      </c>
      <c r="B246" t="s">
        <v>2585</v>
      </c>
      <c r="C246">
        <v>151</v>
      </c>
      <c r="D246" t="s">
        <v>2657</v>
      </c>
      <c r="E246" t="s">
        <v>1621</v>
      </c>
      <c r="F246" t="str">
        <f>VLOOKUP(E246,GACETA!$A$1:$C$186,3,0)</f>
        <v>P</v>
      </c>
      <c r="G246" t="s">
        <v>1443</v>
      </c>
      <c r="H246" t="str">
        <f t="shared" si="3"/>
        <v>J00 151 0206070101 P</v>
      </c>
      <c r="I246" t="s">
        <v>1205</v>
      </c>
    </row>
    <row r="247" spans="1:9" x14ac:dyDescent="0.3">
      <c r="A247" t="s">
        <v>51</v>
      </c>
      <c r="B247" t="s">
        <v>2585</v>
      </c>
      <c r="C247">
        <v>151</v>
      </c>
      <c r="D247" t="s">
        <v>2657</v>
      </c>
      <c r="E247" t="s">
        <v>1621</v>
      </c>
      <c r="F247" t="str">
        <f>VLOOKUP(E247,GACETA!$A$1:$C$186,3,0)</f>
        <v>P</v>
      </c>
      <c r="G247" t="s">
        <v>1443</v>
      </c>
      <c r="H247" t="str">
        <f t="shared" si="3"/>
        <v>J00 151 0206070101 P</v>
      </c>
      <c r="I247" t="s">
        <v>1206</v>
      </c>
    </row>
    <row r="248" spans="1:9" x14ac:dyDescent="0.3">
      <c r="A248" t="s">
        <v>51</v>
      </c>
      <c r="B248" t="s">
        <v>2585</v>
      </c>
      <c r="C248">
        <v>151</v>
      </c>
      <c r="D248" t="s">
        <v>2657</v>
      </c>
      <c r="E248" t="s">
        <v>1621</v>
      </c>
      <c r="F248" t="str">
        <f>VLOOKUP(E248,GACETA!$A$1:$C$186,3,0)</f>
        <v>P</v>
      </c>
      <c r="G248" t="s">
        <v>1443</v>
      </c>
      <c r="H248" t="str">
        <f t="shared" si="3"/>
        <v>J00 151 0206070101 P</v>
      </c>
      <c r="I248" t="s">
        <v>1207</v>
      </c>
    </row>
    <row r="249" spans="1:9" x14ac:dyDescent="0.3">
      <c r="A249" t="s">
        <v>51</v>
      </c>
      <c r="B249" t="s">
        <v>2585</v>
      </c>
      <c r="C249">
        <v>112</v>
      </c>
      <c r="D249" t="s">
        <v>2620</v>
      </c>
      <c r="E249" t="s">
        <v>1549</v>
      </c>
      <c r="F249" t="str">
        <f>VLOOKUP(E249,GACETA!$A$1:$C$186,3,0)</f>
        <v>E</v>
      </c>
      <c r="G249" t="s">
        <v>486</v>
      </c>
      <c r="H249" t="str">
        <f t="shared" si="3"/>
        <v>J00 112 0108010101 E</v>
      </c>
      <c r="I249" t="s">
        <v>487</v>
      </c>
    </row>
    <row r="250" spans="1:9" x14ac:dyDescent="0.3">
      <c r="A250" t="s">
        <v>51</v>
      </c>
      <c r="B250" t="s">
        <v>2585</v>
      </c>
      <c r="C250">
        <v>112</v>
      </c>
      <c r="D250" t="s">
        <v>2620</v>
      </c>
      <c r="E250" t="s">
        <v>1549</v>
      </c>
      <c r="F250" t="str">
        <f>VLOOKUP(E250,GACETA!$A$1:$C$186,3,0)</f>
        <v>E</v>
      </c>
      <c r="G250" t="s">
        <v>486</v>
      </c>
      <c r="H250" t="str">
        <f t="shared" si="3"/>
        <v>J00 112 0108010101 E</v>
      </c>
      <c r="I250" t="s">
        <v>489</v>
      </c>
    </row>
    <row r="251" spans="1:9" x14ac:dyDescent="0.3">
      <c r="A251" t="s">
        <v>51</v>
      </c>
      <c r="B251" t="s">
        <v>2585</v>
      </c>
      <c r="C251">
        <v>112</v>
      </c>
      <c r="D251" t="s">
        <v>2620</v>
      </c>
      <c r="E251" t="s">
        <v>1549</v>
      </c>
      <c r="F251" t="str">
        <f>VLOOKUP(E251,GACETA!$A$1:$C$186,3,0)</f>
        <v>E</v>
      </c>
      <c r="G251" t="s">
        <v>486</v>
      </c>
      <c r="H251" t="str">
        <f t="shared" si="3"/>
        <v>J00 112 0108010101 E</v>
      </c>
      <c r="I251" t="s">
        <v>491</v>
      </c>
    </row>
    <row r="252" spans="1:9" x14ac:dyDescent="0.3">
      <c r="A252" t="s">
        <v>51</v>
      </c>
      <c r="B252" t="s">
        <v>2585</v>
      </c>
      <c r="C252">
        <v>112</v>
      </c>
      <c r="D252" t="s">
        <v>2620</v>
      </c>
      <c r="E252" t="s">
        <v>1549</v>
      </c>
      <c r="F252" t="str">
        <f>VLOOKUP(E252,GACETA!$A$1:$C$186,3,0)</f>
        <v>E</v>
      </c>
      <c r="G252" t="s">
        <v>486</v>
      </c>
      <c r="H252" t="str">
        <f t="shared" si="3"/>
        <v>J00 112 0108010101 E</v>
      </c>
      <c r="I252" t="s">
        <v>492</v>
      </c>
    </row>
    <row r="253" spans="1:9" x14ac:dyDescent="0.3">
      <c r="A253" t="s">
        <v>51</v>
      </c>
      <c r="B253" t="s">
        <v>2585</v>
      </c>
      <c r="C253">
        <v>112</v>
      </c>
      <c r="D253" t="s">
        <v>2620</v>
      </c>
      <c r="E253" t="s">
        <v>1549</v>
      </c>
      <c r="F253" t="str">
        <f>VLOOKUP(E253,GACETA!$A$1:$C$186,3,0)</f>
        <v>E</v>
      </c>
      <c r="G253" t="s">
        <v>486</v>
      </c>
      <c r="H253" t="str">
        <f t="shared" si="3"/>
        <v>J00 112 0108010101 E</v>
      </c>
      <c r="I253" t="s">
        <v>495</v>
      </c>
    </row>
    <row r="254" spans="1:9" x14ac:dyDescent="0.3">
      <c r="A254" t="s">
        <v>51</v>
      </c>
      <c r="B254" t="s">
        <v>2585</v>
      </c>
      <c r="C254">
        <v>112</v>
      </c>
      <c r="D254" t="s">
        <v>2620</v>
      </c>
      <c r="E254" t="s">
        <v>1549</v>
      </c>
      <c r="F254" t="str">
        <f>VLOOKUP(E254,GACETA!$A$1:$C$186,3,0)</f>
        <v>E</v>
      </c>
      <c r="G254" t="s">
        <v>486</v>
      </c>
      <c r="H254" t="str">
        <f t="shared" si="3"/>
        <v>J00 112 0108010101 E</v>
      </c>
      <c r="I254" t="s">
        <v>1208</v>
      </c>
    </row>
    <row r="255" spans="1:9" x14ac:dyDescent="0.3">
      <c r="A255" t="s">
        <v>57</v>
      </c>
      <c r="B255" t="s">
        <v>2601</v>
      </c>
      <c r="C255">
        <v>152</v>
      </c>
      <c r="D255" t="s">
        <v>2658</v>
      </c>
      <c r="E255" t="s">
        <v>1635</v>
      </c>
      <c r="F255" t="str">
        <f>VLOOKUP(E255,GACETA!$A$1:$C$186,3,0)</f>
        <v>E</v>
      </c>
      <c r="G255" t="s">
        <v>1457</v>
      </c>
      <c r="H255" t="str">
        <f t="shared" si="3"/>
        <v>V00 152 0206080501 E</v>
      </c>
      <c r="I255" t="s">
        <v>791</v>
      </c>
    </row>
    <row r="256" spans="1:9" x14ac:dyDescent="0.3">
      <c r="A256" t="s">
        <v>57</v>
      </c>
      <c r="B256" t="s">
        <v>2601</v>
      </c>
      <c r="C256">
        <v>152</v>
      </c>
      <c r="D256" t="s">
        <v>2658</v>
      </c>
      <c r="E256" t="s">
        <v>1635</v>
      </c>
      <c r="F256" t="str">
        <f>VLOOKUP(E256,GACETA!$A$1:$C$186,3,0)</f>
        <v>E</v>
      </c>
      <c r="G256" t="s">
        <v>1457</v>
      </c>
      <c r="H256" t="str">
        <f t="shared" si="3"/>
        <v>V00 152 0206080501 E</v>
      </c>
      <c r="I256" t="s">
        <v>792</v>
      </c>
    </row>
    <row r="257" spans="1:9" x14ac:dyDescent="0.3">
      <c r="A257" t="s">
        <v>57</v>
      </c>
      <c r="B257" t="s">
        <v>2601</v>
      </c>
      <c r="C257">
        <v>152</v>
      </c>
      <c r="D257" t="s">
        <v>2658</v>
      </c>
      <c r="E257" t="s">
        <v>1635</v>
      </c>
      <c r="F257" t="str">
        <f>VLOOKUP(E257,GACETA!$A$1:$C$186,3,0)</f>
        <v>E</v>
      </c>
      <c r="G257" t="s">
        <v>1457</v>
      </c>
      <c r="H257" t="str">
        <f t="shared" si="3"/>
        <v>V00 152 0206080501 E</v>
      </c>
      <c r="I257" t="s">
        <v>793</v>
      </c>
    </row>
    <row r="258" spans="1:9" x14ac:dyDescent="0.3">
      <c r="A258" t="s">
        <v>57</v>
      </c>
      <c r="B258" t="s">
        <v>2601</v>
      </c>
      <c r="C258">
        <v>152</v>
      </c>
      <c r="D258" t="s">
        <v>2658</v>
      </c>
      <c r="E258" t="s">
        <v>1635</v>
      </c>
      <c r="F258" t="str">
        <f>VLOOKUP(E258,GACETA!$A$1:$C$186,3,0)</f>
        <v>E</v>
      </c>
      <c r="G258" t="s">
        <v>1457</v>
      </c>
      <c r="H258" t="str">
        <f t="shared" si="3"/>
        <v>V00 152 0206080501 E</v>
      </c>
      <c r="I258" t="s">
        <v>1243</v>
      </c>
    </row>
    <row r="259" spans="1:9" x14ac:dyDescent="0.3">
      <c r="A259" t="s">
        <v>57</v>
      </c>
      <c r="B259" t="s">
        <v>2601</v>
      </c>
      <c r="C259">
        <v>152</v>
      </c>
      <c r="D259" t="s">
        <v>2658</v>
      </c>
      <c r="E259" t="s">
        <v>1635</v>
      </c>
      <c r="F259" t="str">
        <f>VLOOKUP(E259,GACETA!$A$1:$C$186,3,0)</f>
        <v>E</v>
      </c>
      <c r="G259" t="s">
        <v>1457</v>
      </c>
      <c r="H259" t="str">
        <f t="shared" si="3"/>
        <v>V00 152 0206080501 E</v>
      </c>
      <c r="I259" t="s">
        <v>1244</v>
      </c>
    </row>
    <row r="260" spans="1:9" x14ac:dyDescent="0.3">
      <c r="A260" t="s">
        <v>57</v>
      </c>
      <c r="B260" t="s">
        <v>2601</v>
      </c>
      <c r="C260">
        <v>152</v>
      </c>
      <c r="D260" t="s">
        <v>2658</v>
      </c>
      <c r="E260" t="s">
        <v>1635</v>
      </c>
      <c r="F260" t="str">
        <f>VLOOKUP(E260,GACETA!$A$1:$C$186,3,0)</f>
        <v>E</v>
      </c>
      <c r="G260" t="s">
        <v>1457</v>
      </c>
      <c r="H260" t="str">
        <f t="shared" si="3"/>
        <v>V00 152 0206080501 E</v>
      </c>
      <c r="I260" t="s">
        <v>1245</v>
      </c>
    </row>
    <row r="261" spans="1:9" x14ac:dyDescent="0.3">
      <c r="A261" t="s">
        <v>57</v>
      </c>
      <c r="B261" t="s">
        <v>2601</v>
      </c>
      <c r="C261">
        <v>152</v>
      </c>
      <c r="D261" t="s">
        <v>2658</v>
      </c>
      <c r="E261" t="s">
        <v>1635</v>
      </c>
      <c r="F261" t="str">
        <f>VLOOKUP(E261,GACETA!$A$1:$C$186,3,0)</f>
        <v>E</v>
      </c>
      <c r="G261" t="s">
        <v>1457</v>
      </c>
      <c r="H261" t="str">
        <f t="shared" si="3"/>
        <v>V00 152 0206080501 E</v>
      </c>
      <c r="I261" t="s">
        <v>1246</v>
      </c>
    </row>
    <row r="262" spans="1:9" x14ac:dyDescent="0.3">
      <c r="A262" t="s">
        <v>57</v>
      </c>
      <c r="B262" t="s">
        <v>2601</v>
      </c>
      <c r="C262">
        <v>152</v>
      </c>
      <c r="D262" t="s">
        <v>2658</v>
      </c>
      <c r="E262" t="s">
        <v>1636</v>
      </c>
      <c r="F262" t="str">
        <f>VLOOKUP(E262,GACETA!$A$1:$C$186,3,0)</f>
        <v>S</v>
      </c>
      <c r="G262" t="s">
        <v>1458</v>
      </c>
      <c r="H262" t="str">
        <f t="shared" si="3"/>
        <v>V00 152 0206080502 S</v>
      </c>
      <c r="I262" t="s">
        <v>1249</v>
      </c>
    </row>
    <row r="263" spans="1:9" x14ac:dyDescent="0.3">
      <c r="A263" t="s">
        <v>57</v>
      </c>
      <c r="B263" t="s">
        <v>2601</v>
      </c>
      <c r="C263">
        <v>152</v>
      </c>
      <c r="D263" t="s">
        <v>2658</v>
      </c>
      <c r="E263" t="s">
        <v>1636</v>
      </c>
      <c r="F263" t="str">
        <f>VLOOKUP(E263,GACETA!$A$1:$C$186,3,0)</f>
        <v>S</v>
      </c>
      <c r="G263" t="s">
        <v>1458</v>
      </c>
      <c r="H263" t="str">
        <f t="shared" ref="H263:H326" si="4">CONCATENATE(A263," ",C263," ",E263," ",F263)</f>
        <v>V00 152 0206080502 S</v>
      </c>
      <c r="I263" t="s">
        <v>1250</v>
      </c>
    </row>
    <row r="264" spans="1:9" x14ac:dyDescent="0.3">
      <c r="A264" t="s">
        <v>57</v>
      </c>
      <c r="B264" t="s">
        <v>2601</v>
      </c>
      <c r="C264">
        <v>152</v>
      </c>
      <c r="D264" t="s">
        <v>2658</v>
      </c>
      <c r="E264" t="s">
        <v>1636</v>
      </c>
      <c r="F264" t="str">
        <f>VLOOKUP(E264,GACETA!$A$1:$C$186,3,0)</f>
        <v>S</v>
      </c>
      <c r="G264" t="s">
        <v>1458</v>
      </c>
      <c r="H264" t="str">
        <f t="shared" si="4"/>
        <v>V00 152 0206080502 S</v>
      </c>
      <c r="I264" t="s">
        <v>1251</v>
      </c>
    </row>
    <row r="265" spans="1:9" x14ac:dyDescent="0.3">
      <c r="A265" t="s">
        <v>57</v>
      </c>
      <c r="B265" t="s">
        <v>2601</v>
      </c>
      <c r="C265">
        <v>152</v>
      </c>
      <c r="D265" t="s">
        <v>2658</v>
      </c>
      <c r="E265" t="s">
        <v>1636</v>
      </c>
      <c r="F265" t="str">
        <f>VLOOKUP(E265,GACETA!$A$1:$C$186,3,0)</f>
        <v>S</v>
      </c>
      <c r="G265" t="s">
        <v>1458</v>
      </c>
      <c r="H265" t="str">
        <f t="shared" si="4"/>
        <v>V00 152 0206080502 S</v>
      </c>
      <c r="I265" t="s">
        <v>1252</v>
      </c>
    </row>
    <row r="266" spans="1:9" x14ac:dyDescent="0.3">
      <c r="A266" t="s">
        <v>57</v>
      </c>
      <c r="B266" t="s">
        <v>2601</v>
      </c>
      <c r="C266">
        <v>152</v>
      </c>
      <c r="D266" t="s">
        <v>2658</v>
      </c>
      <c r="E266" t="s">
        <v>1636</v>
      </c>
      <c r="F266" t="str">
        <f>VLOOKUP(E266,GACETA!$A$1:$C$186,3,0)</f>
        <v>S</v>
      </c>
      <c r="G266" t="s">
        <v>1458</v>
      </c>
      <c r="H266" t="str">
        <f t="shared" si="4"/>
        <v>V00 152 0206080502 S</v>
      </c>
      <c r="I266" t="s">
        <v>1253</v>
      </c>
    </row>
    <row r="267" spans="1:9" x14ac:dyDescent="0.3">
      <c r="A267" t="s">
        <v>57</v>
      </c>
      <c r="B267" t="s">
        <v>2601</v>
      </c>
      <c r="C267">
        <v>152</v>
      </c>
      <c r="D267" t="s">
        <v>2658</v>
      </c>
      <c r="E267" t="s">
        <v>1636</v>
      </c>
      <c r="F267" t="str">
        <f>VLOOKUP(E267,GACETA!$A$1:$C$186,3,0)</f>
        <v>S</v>
      </c>
      <c r="G267" t="s">
        <v>1458</v>
      </c>
      <c r="H267" t="str">
        <f t="shared" si="4"/>
        <v>V00 152 0206080502 S</v>
      </c>
      <c r="I267" t="s">
        <v>1254</v>
      </c>
    </row>
    <row r="268" spans="1:9" x14ac:dyDescent="0.3">
      <c r="A268" t="s">
        <v>57</v>
      </c>
      <c r="B268" t="s">
        <v>2601</v>
      </c>
      <c r="C268">
        <v>152</v>
      </c>
      <c r="D268" t="s">
        <v>2658</v>
      </c>
      <c r="E268" t="s">
        <v>1636</v>
      </c>
      <c r="F268" t="str">
        <f>VLOOKUP(E268,GACETA!$A$1:$C$186,3,0)</f>
        <v>S</v>
      </c>
      <c r="G268" t="s">
        <v>1458</v>
      </c>
      <c r="H268" t="str">
        <f t="shared" si="4"/>
        <v>V00 152 0206080502 S</v>
      </c>
      <c r="I268" t="s">
        <v>1255</v>
      </c>
    </row>
    <row r="269" spans="1:9" x14ac:dyDescent="0.3">
      <c r="A269" t="s">
        <v>57</v>
      </c>
      <c r="B269" t="s">
        <v>2601</v>
      </c>
      <c r="C269">
        <v>152</v>
      </c>
      <c r="D269" t="s">
        <v>2658</v>
      </c>
      <c r="E269" t="s">
        <v>1636</v>
      </c>
      <c r="F269" t="str">
        <f>VLOOKUP(E269,GACETA!$A$1:$C$186,3,0)</f>
        <v>S</v>
      </c>
      <c r="G269" t="s">
        <v>1458</v>
      </c>
      <c r="H269" t="str">
        <f t="shared" si="4"/>
        <v>V00 152 0206080502 S</v>
      </c>
      <c r="I269" t="s">
        <v>1256</v>
      </c>
    </row>
    <row r="270" spans="1:9" x14ac:dyDescent="0.3">
      <c r="A270" t="s">
        <v>57</v>
      </c>
      <c r="B270" t="s">
        <v>2601</v>
      </c>
      <c r="C270">
        <v>152</v>
      </c>
      <c r="D270" t="s">
        <v>2658</v>
      </c>
      <c r="E270" t="s">
        <v>1636</v>
      </c>
      <c r="F270" t="str">
        <f>VLOOKUP(E270,GACETA!$A$1:$C$186,3,0)</f>
        <v>S</v>
      </c>
      <c r="G270" t="s">
        <v>1458</v>
      </c>
      <c r="H270" t="str">
        <f t="shared" si="4"/>
        <v>V00 152 0206080502 S</v>
      </c>
      <c r="I270" t="s">
        <v>1257</v>
      </c>
    </row>
    <row r="271" spans="1:9" x14ac:dyDescent="0.3">
      <c r="A271" t="s">
        <v>57</v>
      </c>
      <c r="B271" t="s">
        <v>2601</v>
      </c>
      <c r="C271">
        <v>152</v>
      </c>
      <c r="D271" t="s">
        <v>2658</v>
      </c>
      <c r="E271" t="s">
        <v>1636</v>
      </c>
      <c r="F271" t="str">
        <f>VLOOKUP(E271,GACETA!$A$1:$C$186,3,0)</f>
        <v>S</v>
      </c>
      <c r="G271" t="s">
        <v>1458</v>
      </c>
      <c r="H271" t="str">
        <f t="shared" si="4"/>
        <v>V00 152 0206080502 S</v>
      </c>
      <c r="I271" t="s">
        <v>1258</v>
      </c>
    </row>
    <row r="272" spans="1:9" x14ac:dyDescent="0.3">
      <c r="A272" t="s">
        <v>57</v>
      </c>
      <c r="B272" t="s">
        <v>2601</v>
      </c>
      <c r="C272">
        <v>152</v>
      </c>
      <c r="D272" t="s">
        <v>2658</v>
      </c>
      <c r="E272" t="s">
        <v>1636</v>
      </c>
      <c r="F272" t="str">
        <f>VLOOKUP(E272,GACETA!$A$1:$C$186,3,0)</f>
        <v>S</v>
      </c>
      <c r="G272" t="s">
        <v>1458</v>
      </c>
      <c r="H272" t="str">
        <f t="shared" si="4"/>
        <v>V00 152 0206080502 S</v>
      </c>
      <c r="I272" t="s">
        <v>1259</v>
      </c>
    </row>
    <row r="273" spans="1:9" x14ac:dyDescent="0.3">
      <c r="A273" t="s">
        <v>57</v>
      </c>
      <c r="B273" t="s">
        <v>2601</v>
      </c>
      <c r="C273">
        <v>152</v>
      </c>
      <c r="D273" t="s">
        <v>2658</v>
      </c>
      <c r="E273" t="s">
        <v>1637</v>
      </c>
      <c r="F273" t="str">
        <f>VLOOKUP(E273,GACETA!$A$1:$C$186,3,0)</f>
        <v>E</v>
      </c>
      <c r="G273" t="s">
        <v>839</v>
      </c>
      <c r="H273" t="str">
        <f t="shared" si="4"/>
        <v>V00 152 0206080503 E</v>
      </c>
      <c r="I273" t="s">
        <v>648</v>
      </c>
    </row>
    <row r="274" spans="1:9" x14ac:dyDescent="0.3">
      <c r="A274" t="s">
        <v>57</v>
      </c>
      <c r="B274" t="s">
        <v>2601</v>
      </c>
      <c r="C274">
        <v>152</v>
      </c>
      <c r="D274" t="s">
        <v>2658</v>
      </c>
      <c r="E274" t="s">
        <v>1637</v>
      </c>
      <c r="F274" t="str">
        <f>VLOOKUP(E274,GACETA!$A$1:$C$186,3,0)</f>
        <v>E</v>
      </c>
      <c r="G274" t="s">
        <v>839</v>
      </c>
      <c r="H274" t="str">
        <f t="shared" si="4"/>
        <v>V00 152 0206080503 E</v>
      </c>
      <c r="I274" t="s">
        <v>1262</v>
      </c>
    </row>
    <row r="275" spans="1:9" x14ac:dyDescent="0.3">
      <c r="A275" t="s">
        <v>57</v>
      </c>
      <c r="B275" t="s">
        <v>2601</v>
      </c>
      <c r="C275">
        <v>152</v>
      </c>
      <c r="D275" t="s">
        <v>2658</v>
      </c>
      <c r="E275" t="s">
        <v>1653</v>
      </c>
      <c r="F275" t="str">
        <f>VLOOKUP(E275,GACETA!$A$1:$C$186,3,0)</f>
        <v>E</v>
      </c>
      <c r="G275" t="s">
        <v>650</v>
      </c>
      <c r="H275" t="str">
        <f t="shared" si="4"/>
        <v>V00 152 0301020301 E</v>
      </c>
      <c r="I275" t="s">
        <v>651</v>
      </c>
    </row>
    <row r="276" spans="1:9" x14ac:dyDescent="0.3">
      <c r="A276" t="s">
        <v>48</v>
      </c>
      <c r="B276" t="s">
        <v>2593</v>
      </c>
      <c r="C276">
        <v>152</v>
      </c>
      <c r="D276" t="s">
        <v>2658</v>
      </c>
      <c r="E276" t="s">
        <v>1540</v>
      </c>
      <c r="F276" t="str">
        <f>VLOOKUP(E276,GACETA!$A$1:$C$186,3,0)</f>
        <v>M</v>
      </c>
      <c r="G276" t="s">
        <v>589</v>
      </c>
      <c r="H276" t="str">
        <f t="shared" si="4"/>
        <v>Q00 152 0107010102 M</v>
      </c>
      <c r="I276" t="s">
        <v>1282</v>
      </c>
    </row>
    <row r="277" spans="1:9" s="235" customFormat="1" x14ac:dyDescent="0.3">
      <c r="B277" s="235" t="e">
        <v>#N/A</v>
      </c>
      <c r="D277" s="235" t="e">
        <v>#N/A</v>
      </c>
      <c r="E277" s="235" t="s">
        <v>2724</v>
      </c>
      <c r="F277" s="235" t="e">
        <f>VLOOKUP(E277,GACETA!$A$1:$C$186,3,0)</f>
        <v>#N/A</v>
      </c>
      <c r="G277" s="235" t="e">
        <v>#N/A</v>
      </c>
      <c r="H277" t="e">
        <f t="shared" si="4"/>
        <v>#N/A</v>
      </c>
      <c r="I277" s="235" t="s">
        <v>1280</v>
      </c>
    </row>
    <row r="278" spans="1:9" x14ac:dyDescent="0.3">
      <c r="A278" t="s">
        <v>56</v>
      </c>
      <c r="B278" t="s">
        <v>2587</v>
      </c>
      <c r="C278">
        <v>155</v>
      </c>
      <c r="D278" t="s">
        <v>2661</v>
      </c>
      <c r="E278" t="s">
        <v>1516</v>
      </c>
      <c r="F278" t="str">
        <f>VLOOKUP(E278,GACETA!$A$1:$C$186,3,0)</f>
        <v>L</v>
      </c>
      <c r="G278" t="s">
        <v>474</v>
      </c>
      <c r="H278" t="str">
        <f t="shared" si="4"/>
        <v>M00 155 0103050104 L</v>
      </c>
      <c r="I278" t="s">
        <v>1265</v>
      </c>
    </row>
    <row r="279" spans="1:9" x14ac:dyDescent="0.3">
      <c r="A279" t="s">
        <v>56</v>
      </c>
      <c r="B279" t="s">
        <v>2587</v>
      </c>
      <c r="C279">
        <v>155</v>
      </c>
      <c r="D279" t="s">
        <v>2661</v>
      </c>
      <c r="E279" t="s">
        <v>1516</v>
      </c>
      <c r="F279" t="str">
        <f>VLOOKUP(E279,GACETA!$A$1:$C$186,3,0)</f>
        <v>L</v>
      </c>
      <c r="G279" t="s">
        <v>474</v>
      </c>
      <c r="H279" t="str">
        <f t="shared" si="4"/>
        <v>M00 155 0103050104 L</v>
      </c>
      <c r="I279" t="s">
        <v>1266</v>
      </c>
    </row>
    <row r="280" spans="1:9" x14ac:dyDescent="0.3">
      <c r="A280" t="s">
        <v>56</v>
      </c>
      <c r="B280" t="s">
        <v>2587</v>
      </c>
      <c r="C280">
        <v>155</v>
      </c>
      <c r="D280" t="s">
        <v>2661</v>
      </c>
      <c r="E280" t="s">
        <v>1516</v>
      </c>
      <c r="F280" t="str">
        <f>VLOOKUP(E280,GACETA!$A$1:$C$186,3,0)</f>
        <v>L</v>
      </c>
      <c r="G280" t="s">
        <v>474</v>
      </c>
      <c r="H280" t="str">
        <f t="shared" si="4"/>
        <v>M00 155 0103050104 L</v>
      </c>
      <c r="I280" t="s">
        <v>1267</v>
      </c>
    </row>
    <row r="281" spans="1:9" x14ac:dyDescent="0.3">
      <c r="A281" t="s">
        <v>56</v>
      </c>
      <c r="B281" t="s">
        <v>2587</v>
      </c>
      <c r="C281">
        <v>155</v>
      </c>
      <c r="D281" t="s">
        <v>2661</v>
      </c>
      <c r="E281" t="s">
        <v>1516</v>
      </c>
      <c r="F281" t="str">
        <f>VLOOKUP(E281,GACETA!$A$1:$C$186,3,0)</f>
        <v>L</v>
      </c>
      <c r="G281" t="s">
        <v>474</v>
      </c>
      <c r="H281" t="str">
        <f t="shared" si="4"/>
        <v>M00 155 0103050104 L</v>
      </c>
      <c r="I281" t="s">
        <v>1268</v>
      </c>
    </row>
    <row r="282" spans="1:9" x14ac:dyDescent="0.3">
      <c r="A282" t="s">
        <v>56</v>
      </c>
      <c r="B282" t="s">
        <v>2587</v>
      </c>
      <c r="C282">
        <v>112</v>
      </c>
      <c r="D282" t="s">
        <v>2620</v>
      </c>
      <c r="E282" t="s">
        <v>1549</v>
      </c>
      <c r="F282" t="str">
        <f>VLOOKUP(E282,GACETA!$A$1:$C$186,3,0)</f>
        <v>E</v>
      </c>
      <c r="G282" t="s">
        <v>486</v>
      </c>
      <c r="H282" t="str">
        <f t="shared" si="4"/>
        <v>M00 112 0108010101 E</v>
      </c>
      <c r="I282" t="s">
        <v>1270</v>
      </c>
    </row>
    <row r="283" spans="1:9" x14ac:dyDescent="0.3">
      <c r="A283" t="s">
        <v>49</v>
      </c>
      <c r="B283" t="s">
        <v>2580</v>
      </c>
      <c r="C283">
        <v>147</v>
      </c>
      <c r="D283" t="s">
        <v>2654</v>
      </c>
      <c r="E283" t="s">
        <v>1598</v>
      </c>
      <c r="F283" t="str">
        <f>VLOOKUP(E283,GACETA!$A$1:$C$186,3,0)</f>
        <v>E</v>
      </c>
      <c r="G283" t="s">
        <v>310</v>
      </c>
      <c r="H283" t="str">
        <f t="shared" si="4"/>
        <v>H00 147 0202060106 E</v>
      </c>
      <c r="I283" t="s">
        <v>1271</v>
      </c>
    </row>
    <row r="284" spans="1:9" x14ac:dyDescent="0.3">
      <c r="A284" t="s">
        <v>49</v>
      </c>
      <c r="B284" t="s">
        <v>2580</v>
      </c>
      <c r="C284">
        <v>147</v>
      </c>
      <c r="D284" t="s">
        <v>2654</v>
      </c>
      <c r="E284" t="s">
        <v>1595</v>
      </c>
      <c r="F284" t="str">
        <f>VLOOKUP(E284,GACETA!$A$1:$C$186,3,0)</f>
        <v>E</v>
      </c>
      <c r="G284" t="s">
        <v>294</v>
      </c>
      <c r="H284" t="str">
        <f t="shared" si="4"/>
        <v>H00 147 0202060103 E</v>
      </c>
      <c r="I284" t="s">
        <v>1272</v>
      </c>
    </row>
    <row r="285" spans="1:9" x14ac:dyDescent="0.3">
      <c r="A285" t="s">
        <v>49</v>
      </c>
      <c r="B285" t="s">
        <v>2580</v>
      </c>
      <c r="C285">
        <v>147</v>
      </c>
      <c r="D285" t="s">
        <v>2654</v>
      </c>
      <c r="E285" t="s">
        <v>1598</v>
      </c>
      <c r="F285" t="str">
        <f>VLOOKUP(E285,GACETA!$A$1:$C$186,3,0)</f>
        <v>E</v>
      </c>
      <c r="G285" t="s">
        <v>310</v>
      </c>
      <c r="H285" t="str">
        <f t="shared" si="4"/>
        <v>H00 147 0202060106 E</v>
      </c>
      <c r="I285" t="s">
        <v>1273</v>
      </c>
    </row>
    <row r="286" spans="1:9" x14ac:dyDescent="0.3">
      <c r="A286" t="s">
        <v>49</v>
      </c>
      <c r="B286" t="s">
        <v>2580</v>
      </c>
      <c r="C286">
        <v>147</v>
      </c>
      <c r="D286" t="s">
        <v>2654</v>
      </c>
      <c r="E286" t="s">
        <v>1598</v>
      </c>
      <c r="F286" t="str">
        <f>VLOOKUP(E286,GACETA!$A$1:$C$186,3,0)</f>
        <v>E</v>
      </c>
      <c r="G286" t="s">
        <v>310</v>
      </c>
      <c r="H286" t="str">
        <f t="shared" si="4"/>
        <v>H00 147 0202060106 E</v>
      </c>
      <c r="I286" t="s">
        <v>1274</v>
      </c>
    </row>
    <row r="287" spans="1:9" x14ac:dyDescent="0.3">
      <c r="A287" t="s">
        <v>49</v>
      </c>
      <c r="B287" t="s">
        <v>2580</v>
      </c>
      <c r="C287">
        <v>147</v>
      </c>
      <c r="D287" t="s">
        <v>2654</v>
      </c>
      <c r="E287" t="s">
        <v>1598</v>
      </c>
      <c r="F287" t="str">
        <f>VLOOKUP(E287,GACETA!$A$1:$C$186,3,0)</f>
        <v>E</v>
      </c>
      <c r="G287" t="s">
        <v>310</v>
      </c>
      <c r="H287" t="str">
        <f t="shared" si="4"/>
        <v>H00 147 0202060106 E</v>
      </c>
      <c r="I287" t="s">
        <v>1275</v>
      </c>
    </row>
    <row r="288" spans="1:9" x14ac:dyDescent="0.3">
      <c r="A288" t="s">
        <v>59</v>
      </c>
      <c r="B288" t="s">
        <v>2578</v>
      </c>
      <c r="C288">
        <v>154</v>
      </c>
      <c r="D288" t="s">
        <v>2660</v>
      </c>
      <c r="E288" t="s">
        <v>1581</v>
      </c>
      <c r="F288" t="str">
        <f>VLOOKUP(E288,GACETA!$A$1:$C$186,3,0)</f>
        <v>K</v>
      </c>
      <c r="G288" t="s">
        <v>206</v>
      </c>
      <c r="H288" t="str">
        <f t="shared" si="4"/>
        <v>F01 154 0202010111 K</v>
      </c>
      <c r="I288" t="s">
        <v>1284</v>
      </c>
    </row>
    <row r="289" spans="1:9" x14ac:dyDescent="0.3">
      <c r="A289" t="s">
        <v>59</v>
      </c>
      <c r="B289" t="s">
        <v>2578</v>
      </c>
      <c r="C289">
        <v>154</v>
      </c>
      <c r="D289" t="s">
        <v>2660</v>
      </c>
      <c r="E289" t="s">
        <v>1581</v>
      </c>
      <c r="F289" t="str">
        <f>VLOOKUP(E289,GACETA!$A$1:$C$186,3,0)</f>
        <v>K</v>
      </c>
      <c r="G289" t="s">
        <v>206</v>
      </c>
      <c r="H289" t="str">
        <f t="shared" si="4"/>
        <v>F01 154 0202010111 K</v>
      </c>
      <c r="I289" t="s">
        <v>1285</v>
      </c>
    </row>
    <row r="290" spans="1:9" x14ac:dyDescent="0.3">
      <c r="A290" t="s">
        <v>59</v>
      </c>
      <c r="B290" t="s">
        <v>2578</v>
      </c>
      <c r="C290">
        <v>154</v>
      </c>
      <c r="D290" t="s">
        <v>2660</v>
      </c>
      <c r="E290" t="s">
        <v>1581</v>
      </c>
      <c r="F290" t="str">
        <f>VLOOKUP(E290,GACETA!$A$1:$C$186,3,0)</f>
        <v>K</v>
      </c>
      <c r="G290" t="s">
        <v>206</v>
      </c>
      <c r="H290" t="str">
        <f t="shared" si="4"/>
        <v>F01 154 0202010111 K</v>
      </c>
      <c r="I290" t="s">
        <v>1286</v>
      </c>
    </row>
    <row r="291" spans="1:9" x14ac:dyDescent="0.3">
      <c r="A291" t="s">
        <v>59</v>
      </c>
      <c r="B291" t="s">
        <v>2578</v>
      </c>
      <c r="C291">
        <v>154</v>
      </c>
      <c r="D291" t="s">
        <v>2660</v>
      </c>
      <c r="E291" t="s">
        <v>1581</v>
      </c>
      <c r="F291" t="str">
        <f>VLOOKUP(E291,GACETA!$A$1:$C$186,3,0)</f>
        <v>K</v>
      </c>
      <c r="G291" t="s">
        <v>206</v>
      </c>
      <c r="H291" t="str">
        <f t="shared" si="4"/>
        <v>F01 154 0202010111 K</v>
      </c>
      <c r="I291" t="s">
        <v>1287</v>
      </c>
    </row>
    <row r="292" spans="1:9" x14ac:dyDescent="0.3">
      <c r="A292" t="s">
        <v>59</v>
      </c>
      <c r="B292" t="s">
        <v>2578</v>
      </c>
      <c r="C292">
        <v>154</v>
      </c>
      <c r="D292" t="s">
        <v>2660</v>
      </c>
      <c r="E292" t="s">
        <v>1886</v>
      </c>
      <c r="F292" t="s">
        <v>1384</v>
      </c>
      <c r="G292" t="s">
        <v>1877</v>
      </c>
      <c r="H292" t="str">
        <f t="shared" si="4"/>
        <v>F01 154 0107010108 E</v>
      </c>
      <c r="I292" t="s">
        <v>1291</v>
      </c>
    </row>
    <row r="293" spans="1:9" x14ac:dyDescent="0.3">
      <c r="A293" t="s">
        <v>59</v>
      </c>
      <c r="B293" t="s">
        <v>2578</v>
      </c>
      <c r="C293">
        <v>154</v>
      </c>
      <c r="D293" t="s">
        <v>2660</v>
      </c>
      <c r="E293" t="s">
        <v>1886</v>
      </c>
      <c r="F293" t="s">
        <v>1384</v>
      </c>
      <c r="G293" t="s">
        <v>1877</v>
      </c>
      <c r="H293" t="str">
        <f t="shared" si="4"/>
        <v>F01 154 0107010108 E</v>
      </c>
      <c r="I293" t="s">
        <v>1293</v>
      </c>
    </row>
    <row r="294" spans="1:9" x14ac:dyDescent="0.3">
      <c r="A294" t="s">
        <v>59</v>
      </c>
      <c r="B294" t="s">
        <v>2578</v>
      </c>
      <c r="C294">
        <v>154</v>
      </c>
      <c r="D294" t="s">
        <v>2660</v>
      </c>
      <c r="E294" t="s">
        <v>1886</v>
      </c>
      <c r="F294" t="s">
        <v>1384</v>
      </c>
      <c r="G294" t="s">
        <v>1877</v>
      </c>
      <c r="H294" t="str">
        <f t="shared" si="4"/>
        <v>F01 154 0107010108 E</v>
      </c>
      <c r="I294" t="s">
        <v>1294</v>
      </c>
    </row>
    <row r="295" spans="1:9" x14ac:dyDescent="0.3">
      <c r="A295" t="s">
        <v>59</v>
      </c>
      <c r="B295" t="s">
        <v>2578</v>
      </c>
      <c r="C295">
        <v>154</v>
      </c>
      <c r="D295" t="s">
        <v>2660</v>
      </c>
      <c r="E295" t="s">
        <v>1676</v>
      </c>
      <c r="F295" t="str">
        <f>VLOOKUP(E295,GACETA!$A$1:$C$186,3,0)</f>
        <v>E</v>
      </c>
      <c r="G295" t="s">
        <v>231</v>
      </c>
      <c r="H295" t="str">
        <f t="shared" si="4"/>
        <v>F01 154 0305010111 E</v>
      </c>
      <c r="I295" t="s">
        <v>1297</v>
      </c>
    </row>
    <row r="296" spans="1:9" x14ac:dyDescent="0.3">
      <c r="A296" t="s">
        <v>59</v>
      </c>
      <c r="B296" t="s">
        <v>2578</v>
      </c>
      <c r="C296">
        <v>154</v>
      </c>
      <c r="D296" t="s">
        <v>2660</v>
      </c>
      <c r="E296" t="s">
        <v>1534</v>
      </c>
      <c r="F296" t="str">
        <f>VLOOKUP(E296,GACETA!$A$1:$C$186,3,0)</f>
        <v>M</v>
      </c>
      <c r="G296" t="s">
        <v>1397</v>
      </c>
      <c r="H296" t="str">
        <f t="shared" si="4"/>
        <v>F01 154 0105020602 M</v>
      </c>
      <c r="I296" t="s">
        <v>1289</v>
      </c>
    </row>
    <row r="297" spans="1:9" x14ac:dyDescent="0.3">
      <c r="A297" t="s">
        <v>59</v>
      </c>
      <c r="B297" t="s">
        <v>2578</v>
      </c>
      <c r="C297">
        <v>154</v>
      </c>
      <c r="D297" t="s">
        <v>2660</v>
      </c>
      <c r="E297" t="s">
        <v>1534</v>
      </c>
      <c r="F297" t="str">
        <f>VLOOKUP(E297,GACETA!$A$1:$C$186,3,0)</f>
        <v>M</v>
      </c>
      <c r="G297" t="s">
        <v>1397</v>
      </c>
      <c r="H297" t="str">
        <f t="shared" si="4"/>
        <v>F01 154 0105020602 M</v>
      </c>
      <c r="I297" t="s">
        <v>1290</v>
      </c>
    </row>
    <row r="298" spans="1:9" x14ac:dyDescent="0.3">
      <c r="A298" t="s">
        <v>53</v>
      </c>
      <c r="B298" t="s">
        <v>2598</v>
      </c>
      <c r="C298">
        <v>105</v>
      </c>
      <c r="D298" t="s">
        <v>2613</v>
      </c>
      <c r="E298" t="s">
        <v>1542</v>
      </c>
      <c r="F298" t="str">
        <f>VLOOKUP(E298,GACETA!$A$1:$C$186,3,0)</f>
        <v>E</v>
      </c>
      <c r="G298" t="s">
        <v>840</v>
      </c>
      <c r="H298" t="str">
        <f t="shared" si="4"/>
        <v>T00 105 0107020101 E</v>
      </c>
      <c r="I298" t="s">
        <v>1302</v>
      </c>
    </row>
    <row r="299" spans="1:9" x14ac:dyDescent="0.3">
      <c r="A299" t="s">
        <v>53</v>
      </c>
      <c r="B299" t="s">
        <v>2598</v>
      </c>
      <c r="C299">
        <v>105</v>
      </c>
      <c r="D299" t="s">
        <v>2613</v>
      </c>
      <c r="E299" t="s">
        <v>1542</v>
      </c>
      <c r="F299" t="str">
        <f>VLOOKUP(E299,GACETA!$A$1:$C$186,3,0)</f>
        <v>E</v>
      </c>
      <c r="G299" t="s">
        <v>840</v>
      </c>
      <c r="H299" t="str">
        <f t="shared" si="4"/>
        <v>T00 105 0107020101 E</v>
      </c>
      <c r="I299" t="s">
        <v>614</v>
      </c>
    </row>
    <row r="300" spans="1:9" x14ac:dyDescent="0.3">
      <c r="A300" t="s">
        <v>53</v>
      </c>
      <c r="B300" t="s">
        <v>2598</v>
      </c>
      <c r="C300">
        <v>105</v>
      </c>
      <c r="D300" t="s">
        <v>2613</v>
      </c>
      <c r="E300" t="s">
        <v>1542</v>
      </c>
      <c r="F300" t="str">
        <f>VLOOKUP(E300,GACETA!$A$1:$C$186,3,0)</f>
        <v>E</v>
      </c>
      <c r="G300" t="s">
        <v>840</v>
      </c>
      <c r="H300" t="str">
        <f t="shared" si="4"/>
        <v>T00 105 0107020101 E</v>
      </c>
      <c r="I300" t="s">
        <v>1303</v>
      </c>
    </row>
    <row r="301" spans="1:9" x14ac:dyDescent="0.3">
      <c r="A301" t="s">
        <v>53</v>
      </c>
      <c r="B301" t="s">
        <v>2598</v>
      </c>
      <c r="C301">
        <v>105</v>
      </c>
      <c r="D301" t="s">
        <v>2613</v>
      </c>
      <c r="E301" t="s">
        <v>1542</v>
      </c>
      <c r="F301" t="str">
        <f>VLOOKUP(E301,GACETA!$A$1:$C$186,3,0)</f>
        <v>E</v>
      </c>
      <c r="G301" t="s">
        <v>840</v>
      </c>
      <c r="H301" t="str">
        <f t="shared" si="4"/>
        <v>T00 105 0107020101 E</v>
      </c>
      <c r="I301" t="s">
        <v>617</v>
      </c>
    </row>
    <row r="302" spans="1:9" x14ac:dyDescent="0.3">
      <c r="A302" t="s">
        <v>53</v>
      </c>
      <c r="B302" t="s">
        <v>2598</v>
      </c>
      <c r="C302">
        <v>105</v>
      </c>
      <c r="D302" t="s">
        <v>2613</v>
      </c>
      <c r="E302" t="s">
        <v>1542</v>
      </c>
      <c r="F302" t="str">
        <f>VLOOKUP(E302,GACETA!$A$1:$C$186,3,0)</f>
        <v>E</v>
      </c>
      <c r="G302" t="s">
        <v>840</v>
      </c>
      <c r="H302" t="str">
        <f t="shared" si="4"/>
        <v>T00 105 0107020101 E</v>
      </c>
      <c r="I302" t="s">
        <v>1304</v>
      </c>
    </row>
    <row r="303" spans="1:9" x14ac:dyDescent="0.3">
      <c r="A303" t="s">
        <v>53</v>
      </c>
      <c r="B303" t="s">
        <v>2598</v>
      </c>
      <c r="C303">
        <v>106</v>
      </c>
      <c r="D303" t="s">
        <v>2614</v>
      </c>
      <c r="E303" t="s">
        <v>1543</v>
      </c>
      <c r="F303" t="str">
        <f>VLOOKUP(E303,GACETA!$A$1:$C$186,3,0)</f>
        <v>N</v>
      </c>
      <c r="G303" t="s">
        <v>624</v>
      </c>
      <c r="H303" t="str">
        <f t="shared" si="4"/>
        <v>T00 106 0107020102 N</v>
      </c>
      <c r="I303" t="s">
        <v>625</v>
      </c>
    </row>
    <row r="304" spans="1:9" x14ac:dyDescent="0.3">
      <c r="A304" t="s">
        <v>53</v>
      </c>
      <c r="B304" t="s">
        <v>2598</v>
      </c>
      <c r="C304">
        <v>106</v>
      </c>
      <c r="D304" t="s">
        <v>2614</v>
      </c>
      <c r="E304" t="s">
        <v>1543</v>
      </c>
      <c r="F304" t="str">
        <f>VLOOKUP(E304,GACETA!$A$1:$C$186,3,0)</f>
        <v>N</v>
      </c>
      <c r="G304" t="s">
        <v>624</v>
      </c>
      <c r="H304" t="str">
        <f t="shared" si="4"/>
        <v>T00 106 0107020102 N</v>
      </c>
      <c r="I304" t="s">
        <v>1305</v>
      </c>
    </row>
    <row r="305" spans="1:9" x14ac:dyDescent="0.3">
      <c r="A305" t="s">
        <v>53</v>
      </c>
      <c r="B305" t="s">
        <v>2598</v>
      </c>
      <c r="C305">
        <v>106</v>
      </c>
      <c r="D305" t="s">
        <v>2614</v>
      </c>
      <c r="E305" t="s">
        <v>1543</v>
      </c>
      <c r="F305" t="str">
        <f>VLOOKUP(E305,GACETA!$A$1:$C$186,3,0)</f>
        <v>N</v>
      </c>
      <c r="G305" t="s">
        <v>624</v>
      </c>
      <c r="H305" t="str">
        <f t="shared" si="4"/>
        <v>T00 106 0107020102 N</v>
      </c>
      <c r="I305" t="s">
        <v>1306</v>
      </c>
    </row>
    <row r="306" spans="1:9" x14ac:dyDescent="0.3">
      <c r="A306" t="s">
        <v>53</v>
      </c>
      <c r="B306" t="s">
        <v>2598</v>
      </c>
      <c r="C306">
        <v>106</v>
      </c>
      <c r="D306" t="s">
        <v>2614</v>
      </c>
      <c r="E306" t="s">
        <v>1543</v>
      </c>
      <c r="F306" t="str">
        <f>VLOOKUP(E306,GACETA!$A$1:$C$186,3,0)</f>
        <v>N</v>
      </c>
      <c r="G306" t="s">
        <v>624</v>
      </c>
      <c r="H306" t="str">
        <f t="shared" si="4"/>
        <v>T00 106 0107020102 N</v>
      </c>
      <c r="I306" t="s">
        <v>629</v>
      </c>
    </row>
    <row r="307" spans="1:9" x14ac:dyDescent="0.3">
      <c r="A307" t="s">
        <v>53</v>
      </c>
      <c r="B307" t="s">
        <v>2598</v>
      </c>
      <c r="C307">
        <v>106</v>
      </c>
      <c r="D307" t="s">
        <v>2614</v>
      </c>
      <c r="E307" t="s">
        <v>1543</v>
      </c>
      <c r="F307" t="str">
        <f>VLOOKUP(E307,GACETA!$A$1:$C$186,3,0)</f>
        <v>N</v>
      </c>
      <c r="G307" t="s">
        <v>624</v>
      </c>
      <c r="H307" t="str">
        <f t="shared" si="4"/>
        <v>T00 106 0107020102 N</v>
      </c>
      <c r="I307" t="s">
        <v>630</v>
      </c>
    </row>
    <row r="308" spans="1:9" x14ac:dyDescent="0.3">
      <c r="A308" t="s">
        <v>53</v>
      </c>
      <c r="B308" t="s">
        <v>2598</v>
      </c>
      <c r="C308">
        <v>106</v>
      </c>
      <c r="D308" t="s">
        <v>2614</v>
      </c>
      <c r="E308" t="s">
        <v>1543</v>
      </c>
      <c r="F308" t="str">
        <f>VLOOKUP(E308,GACETA!$A$1:$C$186,3,0)</f>
        <v>N</v>
      </c>
      <c r="G308" t="s">
        <v>624</v>
      </c>
      <c r="H308" t="str">
        <f t="shared" si="4"/>
        <v>T00 106 0107020102 N</v>
      </c>
      <c r="I308" t="s">
        <v>1307</v>
      </c>
    </row>
    <row r="309" spans="1:9" x14ac:dyDescent="0.3">
      <c r="A309" t="s">
        <v>53</v>
      </c>
      <c r="B309" t="s">
        <v>2598</v>
      </c>
      <c r="C309">
        <v>105</v>
      </c>
      <c r="D309" t="s">
        <v>2613</v>
      </c>
      <c r="E309" t="s">
        <v>1544</v>
      </c>
      <c r="F309" t="str">
        <f>VLOOKUP(E309,GACETA!$A$1:$C$186,3,0)</f>
        <v>M</v>
      </c>
      <c r="G309" t="s">
        <v>620</v>
      </c>
      <c r="H309" t="str">
        <f t="shared" si="4"/>
        <v>T00 105 0107020103 M</v>
      </c>
      <c r="I309" t="s">
        <v>1309</v>
      </c>
    </row>
    <row r="310" spans="1:9" x14ac:dyDescent="0.3">
      <c r="A310" t="s">
        <v>53</v>
      </c>
      <c r="B310" t="s">
        <v>2598</v>
      </c>
      <c r="C310">
        <v>105</v>
      </c>
      <c r="D310" t="s">
        <v>2613</v>
      </c>
      <c r="E310" t="s">
        <v>1544</v>
      </c>
      <c r="F310" t="str">
        <f>VLOOKUP(E310,GACETA!$A$1:$C$186,3,0)</f>
        <v>M</v>
      </c>
      <c r="G310" t="s">
        <v>620</v>
      </c>
      <c r="H310" t="str">
        <f t="shared" si="4"/>
        <v>T00 105 0107020103 M</v>
      </c>
      <c r="I310" t="s">
        <v>623</v>
      </c>
    </row>
    <row r="311" spans="1:9" x14ac:dyDescent="0.3">
      <c r="A311" t="s">
        <v>53</v>
      </c>
      <c r="B311" t="s">
        <v>2598</v>
      </c>
      <c r="C311">
        <v>105</v>
      </c>
      <c r="D311" t="s">
        <v>2613</v>
      </c>
      <c r="E311" t="s">
        <v>1545</v>
      </c>
      <c r="F311" t="str">
        <f>VLOOKUP(E311,GACETA!$A$1:$C$186,3,0)</f>
        <v>E</v>
      </c>
      <c r="G311" t="s">
        <v>594</v>
      </c>
      <c r="H311" t="str">
        <f t="shared" si="4"/>
        <v>T00 105 0107020104 E</v>
      </c>
      <c r="I311" t="s">
        <v>1311</v>
      </c>
    </row>
    <row r="312" spans="1:9" x14ac:dyDescent="0.3">
      <c r="A312" t="s">
        <v>53</v>
      </c>
      <c r="B312" t="s">
        <v>2598</v>
      </c>
      <c r="C312">
        <v>105</v>
      </c>
      <c r="D312" t="s">
        <v>2613</v>
      </c>
      <c r="E312" t="s">
        <v>1545</v>
      </c>
      <c r="F312" t="str">
        <f>VLOOKUP(E312,GACETA!$A$1:$C$186,3,0)</f>
        <v>E</v>
      </c>
      <c r="G312" t="s">
        <v>594</v>
      </c>
      <c r="H312" t="str">
        <f t="shared" si="4"/>
        <v>T00 105 0107020104 E</v>
      </c>
      <c r="I312" t="s">
        <v>1312</v>
      </c>
    </row>
    <row r="313" spans="1:9" x14ac:dyDescent="0.3">
      <c r="A313" t="s">
        <v>53</v>
      </c>
      <c r="B313" t="s">
        <v>2598</v>
      </c>
      <c r="C313">
        <v>105</v>
      </c>
      <c r="D313" t="s">
        <v>2613</v>
      </c>
      <c r="E313" t="s">
        <v>1545</v>
      </c>
      <c r="F313" t="str">
        <f>VLOOKUP(E313,GACETA!$A$1:$C$186,3,0)</f>
        <v>E</v>
      </c>
      <c r="G313" t="s">
        <v>594</v>
      </c>
      <c r="H313" t="str">
        <f t="shared" si="4"/>
        <v>T00 105 0107020104 E</v>
      </c>
      <c r="I313" t="s">
        <v>1313</v>
      </c>
    </row>
    <row r="314" spans="1:9" x14ac:dyDescent="0.3">
      <c r="A314" t="s">
        <v>53</v>
      </c>
      <c r="B314" t="s">
        <v>2598</v>
      </c>
      <c r="C314">
        <v>105</v>
      </c>
      <c r="D314" t="s">
        <v>2613</v>
      </c>
      <c r="E314" t="s">
        <v>1545</v>
      </c>
      <c r="F314" t="str">
        <f>VLOOKUP(E314,GACETA!$A$1:$C$186,3,0)</f>
        <v>E</v>
      </c>
      <c r="G314" t="s">
        <v>594</v>
      </c>
      <c r="H314" t="str">
        <f t="shared" si="4"/>
        <v>T00 105 0107020104 E</v>
      </c>
      <c r="I314" t="s">
        <v>1314</v>
      </c>
    </row>
    <row r="315" spans="1:9" x14ac:dyDescent="0.3">
      <c r="A315" t="s">
        <v>53</v>
      </c>
      <c r="B315" t="s">
        <v>2598</v>
      </c>
      <c r="C315">
        <v>105</v>
      </c>
      <c r="D315" t="s">
        <v>2613</v>
      </c>
      <c r="E315" t="s">
        <v>1545</v>
      </c>
      <c r="F315" t="str">
        <f>VLOOKUP(E315,GACETA!$A$1:$C$186,3,0)</f>
        <v>E</v>
      </c>
      <c r="G315" t="s">
        <v>594</v>
      </c>
      <c r="H315" t="str">
        <f t="shared" si="4"/>
        <v>T00 105 0107020104 E</v>
      </c>
      <c r="I315" t="s">
        <v>1315</v>
      </c>
    </row>
    <row r="316" spans="1:9" x14ac:dyDescent="0.3">
      <c r="A316" t="s">
        <v>53</v>
      </c>
      <c r="B316" t="s">
        <v>2598</v>
      </c>
      <c r="C316">
        <v>105</v>
      </c>
      <c r="D316" t="s">
        <v>2613</v>
      </c>
      <c r="E316" t="s">
        <v>1546</v>
      </c>
      <c r="F316" t="str">
        <f>VLOOKUP(E316,GACETA!$A$1:$C$186,3,0)</f>
        <v>N</v>
      </c>
      <c r="G316" t="s">
        <v>601</v>
      </c>
      <c r="H316" t="str">
        <f t="shared" si="4"/>
        <v>T00 105 0107020105 N</v>
      </c>
      <c r="I316" t="s">
        <v>602</v>
      </c>
    </row>
    <row r="317" spans="1:9" x14ac:dyDescent="0.3">
      <c r="A317" t="s">
        <v>53</v>
      </c>
      <c r="B317" t="s">
        <v>2598</v>
      </c>
      <c r="C317">
        <v>105</v>
      </c>
      <c r="D317" t="s">
        <v>2613</v>
      </c>
      <c r="E317" t="s">
        <v>1546</v>
      </c>
      <c r="F317" t="str">
        <f>VLOOKUP(E317,GACETA!$A$1:$C$186,3,0)</f>
        <v>N</v>
      </c>
      <c r="G317" t="s">
        <v>601</v>
      </c>
      <c r="H317" t="str">
        <f t="shared" si="4"/>
        <v>T00 105 0107020105 N</v>
      </c>
      <c r="I317" t="s">
        <v>1320</v>
      </c>
    </row>
    <row r="318" spans="1:9" x14ac:dyDescent="0.3">
      <c r="A318" t="s">
        <v>53</v>
      </c>
      <c r="B318" t="s">
        <v>2598</v>
      </c>
      <c r="C318">
        <v>105</v>
      </c>
      <c r="D318" t="s">
        <v>2613</v>
      </c>
      <c r="E318" t="s">
        <v>1546</v>
      </c>
      <c r="F318" t="str">
        <f>VLOOKUP(E318,GACETA!$A$1:$C$186,3,0)</f>
        <v>N</v>
      </c>
      <c r="G318" t="s">
        <v>601</v>
      </c>
      <c r="H318" t="str">
        <f t="shared" si="4"/>
        <v>T00 105 0107020105 N</v>
      </c>
      <c r="I318" t="s">
        <v>1321</v>
      </c>
    </row>
    <row r="319" spans="1:9" x14ac:dyDescent="0.3">
      <c r="A319" t="s">
        <v>53</v>
      </c>
      <c r="B319" t="s">
        <v>2598</v>
      </c>
      <c r="C319">
        <v>105</v>
      </c>
      <c r="D319" t="s">
        <v>2613</v>
      </c>
      <c r="E319" t="s">
        <v>1546</v>
      </c>
      <c r="F319" t="str">
        <f>VLOOKUP(E319,GACETA!$A$1:$C$186,3,0)</f>
        <v>N</v>
      </c>
      <c r="G319" t="s">
        <v>601</v>
      </c>
      <c r="H319" t="str">
        <f t="shared" si="4"/>
        <v>T00 105 0107020105 N</v>
      </c>
      <c r="I319" t="s">
        <v>1322</v>
      </c>
    </row>
    <row r="320" spans="1:9" x14ac:dyDescent="0.3">
      <c r="A320" t="s">
        <v>53</v>
      </c>
      <c r="B320" t="s">
        <v>2598</v>
      </c>
      <c r="C320">
        <v>105</v>
      </c>
      <c r="D320" t="s">
        <v>2613</v>
      </c>
      <c r="E320" t="s">
        <v>1546</v>
      </c>
      <c r="F320" t="str">
        <f>VLOOKUP(E320,GACETA!$A$1:$C$186,3,0)</f>
        <v>N</v>
      </c>
      <c r="G320" t="s">
        <v>601</v>
      </c>
      <c r="H320" t="str">
        <f t="shared" si="4"/>
        <v>T00 105 0107020105 N</v>
      </c>
      <c r="I320" t="s">
        <v>1323</v>
      </c>
    </row>
    <row r="321" spans="1:9" x14ac:dyDescent="0.3">
      <c r="A321" t="s">
        <v>53</v>
      </c>
      <c r="B321" t="s">
        <v>2598</v>
      </c>
      <c r="C321">
        <v>105</v>
      </c>
      <c r="D321" t="s">
        <v>2613</v>
      </c>
      <c r="E321" t="s">
        <v>1546</v>
      </c>
      <c r="F321" t="str">
        <f>VLOOKUP(E321,GACETA!$A$1:$C$186,3,0)</f>
        <v>N</v>
      </c>
      <c r="G321" t="s">
        <v>601</v>
      </c>
      <c r="H321" t="str">
        <f t="shared" si="4"/>
        <v>T00 105 0107020105 N</v>
      </c>
      <c r="I321" t="s">
        <v>1324</v>
      </c>
    </row>
    <row r="322" spans="1:9" x14ac:dyDescent="0.3">
      <c r="A322" t="s">
        <v>53</v>
      </c>
      <c r="B322" t="s">
        <v>2598</v>
      </c>
      <c r="C322">
        <v>105</v>
      </c>
      <c r="D322" t="s">
        <v>2613</v>
      </c>
      <c r="E322" t="s">
        <v>1547</v>
      </c>
      <c r="F322" t="str">
        <f>VLOOKUP(E322,GACETA!$A$1:$C$186,3,0)</f>
        <v>N</v>
      </c>
      <c r="G322" t="s">
        <v>608</v>
      </c>
      <c r="H322" t="str">
        <f t="shared" si="4"/>
        <v>T00 105 0107020106 N</v>
      </c>
      <c r="I322" t="s">
        <v>1326</v>
      </c>
    </row>
    <row r="323" spans="1:9" x14ac:dyDescent="0.3">
      <c r="A323" t="s">
        <v>53</v>
      </c>
      <c r="B323" t="s">
        <v>2598</v>
      </c>
      <c r="C323">
        <v>105</v>
      </c>
      <c r="D323" t="s">
        <v>2613</v>
      </c>
      <c r="E323" t="s">
        <v>1547</v>
      </c>
      <c r="F323" t="str">
        <f>VLOOKUP(E323,GACETA!$A$1:$C$186,3,0)</f>
        <v>N</v>
      </c>
      <c r="G323" t="s">
        <v>608</v>
      </c>
      <c r="H323" t="str">
        <f t="shared" si="4"/>
        <v>T00 105 0107020106 N</v>
      </c>
      <c r="I323" t="s">
        <v>611</v>
      </c>
    </row>
    <row r="324" spans="1:9" x14ac:dyDescent="0.3">
      <c r="A324" t="s">
        <v>53</v>
      </c>
      <c r="B324" t="s">
        <v>2598</v>
      </c>
      <c r="C324">
        <v>106</v>
      </c>
      <c r="D324" t="s">
        <v>2614</v>
      </c>
      <c r="E324" t="s">
        <v>1665</v>
      </c>
      <c r="F324" t="str">
        <f>VLOOKUP(E324,GACETA!$A$1:$C$186,3,0)</f>
        <v>V</v>
      </c>
      <c r="G324" t="s">
        <v>1474</v>
      </c>
      <c r="H324" t="str">
        <f t="shared" si="4"/>
        <v>T00 106 0302020105 V</v>
      </c>
      <c r="I324" t="s">
        <v>633</v>
      </c>
    </row>
    <row r="325" spans="1:9" x14ac:dyDescent="0.3">
      <c r="A325" t="s">
        <v>53</v>
      </c>
      <c r="B325" t="s">
        <v>2598</v>
      </c>
      <c r="C325">
        <v>106</v>
      </c>
      <c r="D325" t="s">
        <v>2614</v>
      </c>
      <c r="E325" t="s">
        <v>1665</v>
      </c>
      <c r="F325" t="str">
        <f>VLOOKUP(E325,GACETA!$A$1:$C$186,3,0)</f>
        <v>V</v>
      </c>
      <c r="G325" t="s">
        <v>1474</v>
      </c>
      <c r="H325" t="str">
        <f t="shared" si="4"/>
        <v>T00 106 0302020105 V</v>
      </c>
      <c r="I325" t="s">
        <v>635</v>
      </c>
    </row>
    <row r="326" spans="1:9" x14ac:dyDescent="0.3">
      <c r="A326" t="s">
        <v>53</v>
      </c>
      <c r="B326" t="s">
        <v>2598</v>
      </c>
      <c r="C326">
        <v>106</v>
      </c>
      <c r="D326" t="s">
        <v>2614</v>
      </c>
      <c r="E326" t="s">
        <v>1665</v>
      </c>
      <c r="F326" t="str">
        <f>VLOOKUP(E326,GACETA!$A$1:$C$186,3,0)</f>
        <v>V</v>
      </c>
      <c r="G326" t="s">
        <v>1474</v>
      </c>
      <c r="H326" t="str">
        <f t="shared" si="4"/>
        <v>T00 106 0302020105 V</v>
      </c>
      <c r="I326" t="s">
        <v>636</v>
      </c>
    </row>
    <row r="327" spans="1:9" x14ac:dyDescent="0.3">
      <c r="A327" t="s">
        <v>53</v>
      </c>
      <c r="B327" t="s">
        <v>2598</v>
      </c>
      <c r="C327">
        <v>106</v>
      </c>
      <c r="D327" t="s">
        <v>2614</v>
      </c>
      <c r="E327" t="s">
        <v>1665</v>
      </c>
      <c r="F327" t="str">
        <f>VLOOKUP(E327,GACETA!$A$1:$C$186,3,0)</f>
        <v>V</v>
      </c>
      <c r="G327" t="s">
        <v>1474</v>
      </c>
      <c r="H327" t="str">
        <f t="shared" ref="H327:H390" si="5">CONCATENATE(A327," ",C327," ",E327," ",F327)</f>
        <v>T00 106 0302020105 V</v>
      </c>
      <c r="I327" t="s">
        <v>637</v>
      </c>
    </row>
    <row r="328" spans="1:9" x14ac:dyDescent="0.3">
      <c r="A328" t="s">
        <v>53</v>
      </c>
      <c r="B328" t="s">
        <v>2598</v>
      </c>
      <c r="C328">
        <v>106</v>
      </c>
      <c r="D328" t="s">
        <v>2614</v>
      </c>
      <c r="E328" t="s">
        <v>1665</v>
      </c>
      <c r="F328" t="str">
        <f>VLOOKUP(E328,GACETA!$A$1:$C$186,3,0)</f>
        <v>V</v>
      </c>
      <c r="G328" t="s">
        <v>1474</v>
      </c>
      <c r="H328" t="str">
        <f t="shared" si="5"/>
        <v>T00 106 0302020105 V</v>
      </c>
      <c r="I328" t="s">
        <v>639</v>
      </c>
    </row>
    <row r="329" spans="1:9" x14ac:dyDescent="0.3">
      <c r="A329" t="s">
        <v>53</v>
      </c>
      <c r="B329" t="s">
        <v>2598</v>
      </c>
      <c r="C329">
        <v>106</v>
      </c>
      <c r="D329" t="s">
        <v>2614</v>
      </c>
      <c r="E329" t="s">
        <v>1665</v>
      </c>
      <c r="F329" t="str">
        <f>VLOOKUP(E329,GACETA!$A$1:$C$186,3,0)</f>
        <v>V</v>
      </c>
      <c r="G329" t="s">
        <v>1474</v>
      </c>
      <c r="H329" t="str">
        <f t="shared" si="5"/>
        <v>T00 106 0302020105 V</v>
      </c>
      <c r="I329" t="s">
        <v>640</v>
      </c>
    </row>
    <row r="330" spans="1:9" x14ac:dyDescent="0.3">
      <c r="A330" t="s">
        <v>49</v>
      </c>
      <c r="B330" t="s">
        <v>2580</v>
      </c>
      <c r="C330">
        <v>125</v>
      </c>
      <c r="D330" t="s">
        <v>2633</v>
      </c>
      <c r="E330" t="s">
        <v>1580</v>
      </c>
      <c r="F330" t="str">
        <f>VLOOKUP(E330,GACETA!$A$1:$C$186,3,0)</f>
        <v>K</v>
      </c>
      <c r="G330" t="s">
        <v>202</v>
      </c>
      <c r="H330" t="str">
        <f t="shared" si="5"/>
        <v>H00 125 0202010110 K</v>
      </c>
      <c r="I330" s="235"/>
    </row>
    <row r="331" spans="1:9" x14ac:dyDescent="0.3">
      <c r="A331" t="s">
        <v>49</v>
      </c>
      <c r="B331" t="s">
        <v>2580</v>
      </c>
      <c r="C331">
        <v>125</v>
      </c>
      <c r="D331" t="s">
        <v>2633</v>
      </c>
      <c r="E331" t="s">
        <v>1580</v>
      </c>
      <c r="F331" t="str">
        <f>VLOOKUP(E331,GACETA!$A$1:$C$186,3,0)</f>
        <v>K</v>
      </c>
      <c r="G331" t="s">
        <v>202</v>
      </c>
      <c r="H331" t="str">
        <f t="shared" si="5"/>
        <v>H00 125 0202010110 K</v>
      </c>
      <c r="I331" s="235"/>
    </row>
    <row r="332" spans="1:9" x14ac:dyDescent="0.3">
      <c r="A332" t="s">
        <v>49</v>
      </c>
      <c r="B332" t="s">
        <v>2580</v>
      </c>
      <c r="C332">
        <v>125</v>
      </c>
      <c r="D332" t="s">
        <v>2633</v>
      </c>
      <c r="E332" t="s">
        <v>1580</v>
      </c>
      <c r="F332" t="str">
        <f>VLOOKUP(E332,GACETA!$A$1:$C$186,3,0)</f>
        <v>K</v>
      </c>
      <c r="G332" t="s">
        <v>202</v>
      </c>
      <c r="H332" t="str">
        <f t="shared" si="5"/>
        <v>H00 125 0202010110 K</v>
      </c>
      <c r="I332" s="235"/>
    </row>
    <row r="333" spans="1:9" x14ac:dyDescent="0.3">
      <c r="A333" t="s">
        <v>49</v>
      </c>
      <c r="B333" t="s">
        <v>2580</v>
      </c>
      <c r="C333">
        <v>125</v>
      </c>
      <c r="D333" t="s">
        <v>2633</v>
      </c>
      <c r="E333" t="s">
        <v>1580</v>
      </c>
      <c r="F333" t="str">
        <f>VLOOKUP(E333,GACETA!$A$1:$C$186,3,0)</f>
        <v>K</v>
      </c>
      <c r="G333" t="s">
        <v>202</v>
      </c>
      <c r="H333" t="str">
        <f t="shared" si="5"/>
        <v>H00 125 0202010110 K</v>
      </c>
      <c r="I333" s="235"/>
    </row>
    <row r="334" spans="1:9" x14ac:dyDescent="0.3">
      <c r="A334" t="s">
        <v>49</v>
      </c>
      <c r="B334" t="s">
        <v>2580</v>
      </c>
      <c r="C334">
        <v>125</v>
      </c>
      <c r="D334" t="s">
        <v>2633</v>
      </c>
      <c r="E334" t="s">
        <v>1557</v>
      </c>
      <c r="F334" t="str">
        <f>VLOOKUP(E334,GACETA!$A$1:$C$186,3,0)</f>
        <v>V</v>
      </c>
      <c r="G334" t="s">
        <v>281</v>
      </c>
      <c r="H334" t="str">
        <f t="shared" si="5"/>
        <v>H00 125 0201010101 V</v>
      </c>
      <c r="I334" s="235"/>
    </row>
    <row r="335" spans="1:9" x14ac:dyDescent="0.3">
      <c r="A335" t="s">
        <v>49</v>
      </c>
      <c r="B335" t="s">
        <v>2580</v>
      </c>
      <c r="C335">
        <v>125</v>
      </c>
      <c r="D335" t="s">
        <v>2633</v>
      </c>
      <c r="E335" t="s">
        <v>1557</v>
      </c>
      <c r="F335" t="str">
        <f>VLOOKUP(E335,GACETA!$A$1:$C$186,3,0)</f>
        <v>V</v>
      </c>
      <c r="G335" t="s">
        <v>281</v>
      </c>
      <c r="H335" t="str">
        <f t="shared" si="5"/>
        <v>H00 125 0201010101 V</v>
      </c>
      <c r="I335" s="235"/>
    </row>
    <row r="336" spans="1:9" x14ac:dyDescent="0.3">
      <c r="A336" t="s">
        <v>49</v>
      </c>
      <c r="B336" t="s">
        <v>2580</v>
      </c>
      <c r="C336">
        <v>125</v>
      </c>
      <c r="D336" t="s">
        <v>2633</v>
      </c>
      <c r="E336" t="s">
        <v>1557</v>
      </c>
      <c r="F336" t="str">
        <f>VLOOKUP(E336,GACETA!$A$1:$C$186,3,0)</f>
        <v>V</v>
      </c>
      <c r="G336" t="s">
        <v>281</v>
      </c>
      <c r="H336" t="str">
        <f t="shared" si="5"/>
        <v>H00 125 0201010101 V</v>
      </c>
      <c r="I336" s="235"/>
    </row>
    <row r="337" spans="1:9" x14ac:dyDescent="0.3">
      <c r="A337" t="s">
        <v>49</v>
      </c>
      <c r="B337" t="s">
        <v>2580</v>
      </c>
      <c r="C337">
        <v>126</v>
      </c>
      <c r="D337" t="s">
        <v>2634</v>
      </c>
      <c r="E337" t="s">
        <v>1558</v>
      </c>
      <c r="F337" t="str">
        <f>VLOOKUP(E337,GACETA!$A$1:$C$186,3,0)</f>
        <v>E</v>
      </c>
      <c r="G337" t="s">
        <v>287</v>
      </c>
      <c r="H337" t="str">
        <f t="shared" si="5"/>
        <v>H00 126 0201010102 E</v>
      </c>
      <c r="I337" s="235"/>
    </row>
    <row r="338" spans="1:9" x14ac:dyDescent="0.3">
      <c r="A338" t="s">
        <v>49</v>
      </c>
      <c r="B338" t="s">
        <v>2580</v>
      </c>
      <c r="C338">
        <v>126</v>
      </c>
      <c r="D338" t="s">
        <v>2634</v>
      </c>
      <c r="E338" t="s">
        <v>1558</v>
      </c>
      <c r="F338" t="str">
        <f>VLOOKUP(E338,GACETA!$A$1:$C$186,3,0)</f>
        <v>E</v>
      </c>
      <c r="G338" t="s">
        <v>287</v>
      </c>
      <c r="H338" t="str">
        <f t="shared" si="5"/>
        <v>H00 126 0201010102 E</v>
      </c>
      <c r="I338" s="235"/>
    </row>
    <row r="339" spans="1:9" x14ac:dyDescent="0.3">
      <c r="A339" t="s">
        <v>49</v>
      </c>
      <c r="B339" t="s">
        <v>2580</v>
      </c>
      <c r="C339">
        <v>127</v>
      </c>
      <c r="D339" t="s">
        <v>2635</v>
      </c>
      <c r="E339" t="s">
        <v>1668</v>
      </c>
      <c r="F339" t="str">
        <f>VLOOKUP(E339,GACETA!$A$1:$C$186,3,0)</f>
        <v>E</v>
      </c>
      <c r="G339" t="s">
        <v>1214</v>
      </c>
      <c r="H339" t="str">
        <f t="shared" si="5"/>
        <v>H00 127 0303050101 E</v>
      </c>
      <c r="I339" s="235"/>
    </row>
    <row r="340" spans="1:9" x14ac:dyDescent="0.3">
      <c r="A340" t="s">
        <v>49</v>
      </c>
      <c r="B340" t="s">
        <v>2580</v>
      </c>
      <c r="C340">
        <v>127</v>
      </c>
      <c r="D340" t="s">
        <v>2635</v>
      </c>
      <c r="E340" t="s">
        <v>1670</v>
      </c>
      <c r="F340" t="str">
        <f>VLOOKUP(E340,GACETA!$A$1:$C$186,3,0)</f>
        <v>E</v>
      </c>
      <c r="G340" t="s">
        <v>306</v>
      </c>
      <c r="H340" t="str">
        <f t="shared" si="5"/>
        <v>H00 127 0303050103 E</v>
      </c>
      <c r="I340" s="235"/>
    </row>
    <row r="341" spans="1:9" x14ac:dyDescent="0.3">
      <c r="A341" t="s">
        <v>49</v>
      </c>
      <c r="B341" t="s">
        <v>2580</v>
      </c>
      <c r="C341">
        <v>127</v>
      </c>
      <c r="D341" t="s">
        <v>2635</v>
      </c>
      <c r="E341" t="s">
        <v>1671</v>
      </c>
      <c r="F341" t="str">
        <f>VLOOKUP(E341,GACETA!$A$1:$C$186,3,0)</f>
        <v>E</v>
      </c>
      <c r="G341" t="s">
        <v>842</v>
      </c>
      <c r="H341" t="str">
        <f t="shared" si="5"/>
        <v>H00 127 0303050104 E</v>
      </c>
      <c r="I341" s="235"/>
    </row>
    <row r="342" spans="1:9" x14ac:dyDescent="0.3">
      <c r="A342" t="s">
        <v>49</v>
      </c>
      <c r="B342" t="s">
        <v>2580</v>
      </c>
      <c r="C342">
        <v>128</v>
      </c>
      <c r="D342" t="s">
        <v>2636</v>
      </c>
      <c r="E342" t="s">
        <v>1595</v>
      </c>
      <c r="F342" t="str">
        <f>VLOOKUP(E342,GACETA!$A$1:$C$186,3,0)</f>
        <v>E</v>
      </c>
      <c r="G342" t="s">
        <v>294</v>
      </c>
      <c r="H342" t="str">
        <f t="shared" si="5"/>
        <v>H00 128 0202060103 E</v>
      </c>
      <c r="I342" s="235"/>
    </row>
    <row r="343" spans="1:9" x14ac:dyDescent="0.3">
      <c r="A343" t="s">
        <v>49</v>
      </c>
      <c r="B343" t="s">
        <v>2580</v>
      </c>
      <c r="C343">
        <v>128</v>
      </c>
      <c r="D343" t="s">
        <v>2636</v>
      </c>
      <c r="E343" t="s">
        <v>1595</v>
      </c>
      <c r="F343" t="str">
        <f>VLOOKUP(E343,GACETA!$A$1:$C$186,3,0)</f>
        <v>E</v>
      </c>
      <c r="G343" t="s">
        <v>294</v>
      </c>
      <c r="H343" t="str">
        <f t="shared" si="5"/>
        <v>H00 128 0202060103 E</v>
      </c>
      <c r="I343" s="235"/>
    </row>
    <row r="344" spans="1:9" x14ac:dyDescent="0.3">
      <c r="A344" t="s">
        <v>49</v>
      </c>
      <c r="B344" t="s">
        <v>2580</v>
      </c>
      <c r="C344">
        <v>145</v>
      </c>
      <c r="D344" t="s">
        <v>2652</v>
      </c>
      <c r="E344" t="s">
        <v>1596</v>
      </c>
      <c r="F344" t="str">
        <f>VLOOKUP(E344,GACETA!$A$1:$C$186,3,0)</f>
        <v>E</v>
      </c>
      <c r="G344" t="s">
        <v>298</v>
      </c>
      <c r="H344" t="str">
        <f t="shared" si="5"/>
        <v>H00 145 0202060104 E</v>
      </c>
      <c r="I344" s="235"/>
    </row>
    <row r="345" spans="1:9" x14ac:dyDescent="0.3">
      <c r="A345" t="s">
        <v>49</v>
      </c>
      <c r="B345" t="s">
        <v>2580</v>
      </c>
      <c r="C345">
        <v>145</v>
      </c>
      <c r="D345" t="s">
        <v>2652</v>
      </c>
      <c r="E345" t="s">
        <v>1596</v>
      </c>
      <c r="F345" t="str">
        <f>VLOOKUP(E345,GACETA!$A$1:$C$186,3,0)</f>
        <v>E</v>
      </c>
      <c r="G345" t="s">
        <v>298</v>
      </c>
      <c r="H345" t="str">
        <f t="shared" si="5"/>
        <v>H00 145 0202060104 E</v>
      </c>
      <c r="I345" s="235"/>
    </row>
    <row r="346" spans="1:9" x14ac:dyDescent="0.3">
      <c r="A346" t="s">
        <v>49</v>
      </c>
      <c r="B346" t="s">
        <v>2580</v>
      </c>
      <c r="C346">
        <v>145</v>
      </c>
      <c r="D346" t="s">
        <v>2652</v>
      </c>
      <c r="E346" t="s">
        <v>1596</v>
      </c>
      <c r="F346" t="str">
        <f>VLOOKUP(E346,GACETA!$A$1:$C$186,3,0)</f>
        <v>E</v>
      </c>
      <c r="G346" t="s">
        <v>298</v>
      </c>
      <c r="H346" t="str">
        <f t="shared" si="5"/>
        <v>H00 145 0202060104 E</v>
      </c>
      <c r="I346" s="235"/>
    </row>
    <row r="347" spans="1:9" x14ac:dyDescent="0.3">
      <c r="A347" t="s">
        <v>48</v>
      </c>
      <c r="B347" t="s">
        <v>2593</v>
      </c>
      <c r="C347">
        <v>104</v>
      </c>
      <c r="D347" t="s">
        <v>2612</v>
      </c>
      <c r="E347" t="s">
        <v>1539</v>
      </c>
      <c r="F347" t="str">
        <f>VLOOKUP(E347,GACETA!$A$1:$C$186,3,0)</f>
        <v>E</v>
      </c>
      <c r="G347" t="s">
        <v>592</v>
      </c>
      <c r="H347" t="str">
        <f t="shared" si="5"/>
        <v>Q00 104 0107010101 E</v>
      </c>
      <c r="I347" t="s">
        <v>591</v>
      </c>
    </row>
    <row r="348" spans="1:9" x14ac:dyDescent="0.3">
      <c r="A348" t="s">
        <v>48</v>
      </c>
      <c r="B348" t="s">
        <v>2593</v>
      </c>
      <c r="C348">
        <v>104</v>
      </c>
      <c r="D348" t="s">
        <v>2612</v>
      </c>
      <c r="E348" t="s">
        <v>1540</v>
      </c>
      <c r="F348" t="str">
        <f>VLOOKUP(E348,GACETA!$A$1:$C$186,3,0)</f>
        <v>M</v>
      </c>
      <c r="G348" t="s">
        <v>589</v>
      </c>
      <c r="H348" t="str">
        <f t="shared" si="5"/>
        <v>Q00 104 0107010102 M</v>
      </c>
      <c r="I348" t="s">
        <v>588</v>
      </c>
    </row>
    <row r="349" spans="1:9" x14ac:dyDescent="0.3">
      <c r="A349" t="s">
        <v>48</v>
      </c>
      <c r="B349" t="s">
        <v>2593</v>
      </c>
      <c r="C349">
        <v>104</v>
      </c>
      <c r="D349" t="s">
        <v>2612</v>
      </c>
      <c r="E349" t="s">
        <v>1540</v>
      </c>
      <c r="F349" t="str">
        <f>VLOOKUP(E349,GACETA!$A$1:$C$186,3,0)</f>
        <v>M</v>
      </c>
      <c r="G349" t="s">
        <v>589</v>
      </c>
      <c r="H349" t="str">
        <f t="shared" si="5"/>
        <v>Q00 104 0107010102 M</v>
      </c>
      <c r="I349" t="s">
        <v>586</v>
      </c>
    </row>
    <row r="350" spans="1:9" x14ac:dyDescent="0.3">
      <c r="A350" t="s">
        <v>48</v>
      </c>
      <c r="B350" t="s">
        <v>2593</v>
      </c>
      <c r="C350">
        <v>104</v>
      </c>
      <c r="D350" t="s">
        <v>2612</v>
      </c>
      <c r="E350" t="s">
        <v>1540</v>
      </c>
      <c r="F350" t="str">
        <f>VLOOKUP(E350,GACETA!$A$1:$C$186,3,0)</f>
        <v>M</v>
      </c>
      <c r="G350" t="s">
        <v>589</v>
      </c>
      <c r="H350" t="str">
        <f t="shared" si="5"/>
        <v>Q00 104 0107010102 M</v>
      </c>
      <c r="I350" t="s">
        <v>585</v>
      </c>
    </row>
    <row r="351" spans="1:9" x14ac:dyDescent="0.3">
      <c r="A351" t="s">
        <v>48</v>
      </c>
      <c r="B351" t="s">
        <v>2593</v>
      </c>
      <c r="C351">
        <v>104</v>
      </c>
      <c r="D351" t="s">
        <v>2612</v>
      </c>
      <c r="E351" t="s">
        <v>1540</v>
      </c>
      <c r="F351" t="str">
        <f>VLOOKUP(E351,GACETA!$A$1:$C$186,3,0)</f>
        <v>M</v>
      </c>
      <c r="G351" t="s">
        <v>589</v>
      </c>
      <c r="H351" t="str">
        <f t="shared" si="5"/>
        <v>Q00 104 0107010102 M</v>
      </c>
      <c r="I351" t="s">
        <v>1110</v>
      </c>
    </row>
    <row r="352" spans="1:9" x14ac:dyDescent="0.3">
      <c r="A352" t="s">
        <v>48</v>
      </c>
      <c r="B352" t="s">
        <v>2593</v>
      </c>
      <c r="C352">
        <v>104</v>
      </c>
      <c r="D352" t="s">
        <v>2612</v>
      </c>
      <c r="E352" t="s">
        <v>1540</v>
      </c>
      <c r="F352" t="str">
        <f>VLOOKUP(E352,GACETA!$A$1:$C$186,3,0)</f>
        <v>M</v>
      </c>
      <c r="G352" t="s">
        <v>589</v>
      </c>
      <c r="H352" t="str">
        <f t="shared" si="5"/>
        <v>Q00 104 0107010102 M</v>
      </c>
      <c r="I352" t="s">
        <v>1111</v>
      </c>
    </row>
    <row r="353" spans="1:9" x14ac:dyDescent="0.3">
      <c r="A353" t="s">
        <v>48</v>
      </c>
      <c r="B353" t="s">
        <v>2593</v>
      </c>
      <c r="C353">
        <v>104</v>
      </c>
      <c r="D353" t="s">
        <v>2612</v>
      </c>
      <c r="E353" t="s">
        <v>1540</v>
      </c>
      <c r="F353" t="str">
        <f>VLOOKUP(E353,GACETA!$A$1:$C$186,3,0)</f>
        <v>M</v>
      </c>
      <c r="G353" t="s">
        <v>589</v>
      </c>
      <c r="H353" t="str">
        <f t="shared" si="5"/>
        <v>Q00 104 0107010102 M</v>
      </c>
      <c r="I353" t="s">
        <v>1112</v>
      </c>
    </row>
    <row r="354" spans="1:9" x14ac:dyDescent="0.3">
      <c r="A354" t="s">
        <v>48</v>
      </c>
      <c r="B354" t="s">
        <v>2593</v>
      </c>
      <c r="C354">
        <v>104</v>
      </c>
      <c r="D354" t="s">
        <v>2612</v>
      </c>
      <c r="E354" t="s">
        <v>1540</v>
      </c>
      <c r="F354" t="str">
        <f>VLOOKUP(E354,GACETA!$A$1:$C$186,3,0)</f>
        <v>M</v>
      </c>
      <c r="G354" t="s">
        <v>589</v>
      </c>
      <c r="H354" t="str">
        <f t="shared" si="5"/>
        <v>Q00 104 0107010102 M</v>
      </c>
      <c r="I354" t="s">
        <v>580</v>
      </c>
    </row>
    <row r="355" spans="1:9" x14ac:dyDescent="0.3">
      <c r="A355" t="s">
        <v>48</v>
      </c>
      <c r="B355" t="s">
        <v>2593</v>
      </c>
      <c r="C355">
        <v>104</v>
      </c>
      <c r="D355" t="s">
        <v>2612</v>
      </c>
      <c r="E355" t="s">
        <v>1540</v>
      </c>
      <c r="F355" t="str">
        <f>VLOOKUP(E355,GACETA!$A$1:$C$186,3,0)</f>
        <v>M</v>
      </c>
      <c r="G355" t="s">
        <v>589</v>
      </c>
      <c r="H355" t="str">
        <f t="shared" si="5"/>
        <v>Q00 104 0107010102 M</v>
      </c>
      <c r="I355" t="s">
        <v>1113</v>
      </c>
    </row>
    <row r="356" spans="1:9" x14ac:dyDescent="0.3">
      <c r="A356" t="s">
        <v>48</v>
      </c>
      <c r="B356" t="s">
        <v>2593</v>
      </c>
      <c r="C356">
        <v>104</v>
      </c>
      <c r="D356" t="s">
        <v>2612</v>
      </c>
      <c r="E356" t="s">
        <v>1540</v>
      </c>
      <c r="F356" t="str">
        <f>VLOOKUP(E356,GACETA!$A$1:$C$186,3,0)</f>
        <v>M</v>
      </c>
      <c r="G356" t="s">
        <v>589</v>
      </c>
      <c r="H356" t="str">
        <f t="shared" si="5"/>
        <v>Q00 104 0107010102 M</v>
      </c>
      <c r="I356" t="s">
        <v>1114</v>
      </c>
    </row>
    <row r="357" spans="1:9" x14ac:dyDescent="0.3">
      <c r="A357" t="s">
        <v>48</v>
      </c>
      <c r="B357" t="s">
        <v>2593</v>
      </c>
      <c r="C357">
        <v>104</v>
      </c>
      <c r="D357" t="s">
        <v>2612</v>
      </c>
      <c r="E357" t="s">
        <v>1540</v>
      </c>
      <c r="F357" t="str">
        <f>VLOOKUP(E357,GACETA!$A$1:$C$186,3,0)</f>
        <v>M</v>
      </c>
      <c r="G357" t="s">
        <v>589</v>
      </c>
      <c r="H357" t="str">
        <f t="shared" si="5"/>
        <v>Q00 104 0107010102 M</v>
      </c>
      <c r="I357" t="s">
        <v>575</v>
      </c>
    </row>
    <row r="358" spans="1:9" x14ac:dyDescent="0.3">
      <c r="A358" t="s">
        <v>48</v>
      </c>
      <c r="B358" t="s">
        <v>2593</v>
      </c>
      <c r="C358">
        <v>104</v>
      </c>
      <c r="D358" t="s">
        <v>2612</v>
      </c>
      <c r="E358" t="s">
        <v>1540</v>
      </c>
      <c r="F358" t="str">
        <f>VLOOKUP(E358,GACETA!$A$1:$C$186,3,0)</f>
        <v>M</v>
      </c>
      <c r="G358" t="s">
        <v>589</v>
      </c>
      <c r="H358" t="str">
        <f t="shared" si="5"/>
        <v>Q00 104 0107010102 M</v>
      </c>
      <c r="I358" t="s">
        <v>574</v>
      </c>
    </row>
    <row r="359" spans="1:9" x14ac:dyDescent="0.3">
      <c r="A359" t="s">
        <v>48</v>
      </c>
      <c r="B359" t="s">
        <v>2593</v>
      </c>
      <c r="C359">
        <v>104</v>
      </c>
      <c r="D359" t="s">
        <v>2612</v>
      </c>
      <c r="E359" t="s">
        <v>1540</v>
      </c>
      <c r="F359" t="str">
        <f>VLOOKUP(E359,GACETA!$A$1:$C$186,3,0)</f>
        <v>M</v>
      </c>
      <c r="G359" t="s">
        <v>589</v>
      </c>
      <c r="H359" t="str">
        <f t="shared" si="5"/>
        <v>Q00 104 0107010102 M</v>
      </c>
      <c r="I359" t="s">
        <v>1115</v>
      </c>
    </row>
    <row r="360" spans="1:9" x14ac:dyDescent="0.3">
      <c r="A360" t="s">
        <v>48</v>
      </c>
      <c r="B360" t="s">
        <v>2593</v>
      </c>
      <c r="C360">
        <v>104</v>
      </c>
      <c r="D360" t="s">
        <v>2612</v>
      </c>
      <c r="E360" t="s">
        <v>1541</v>
      </c>
      <c r="F360" t="str">
        <f>VLOOKUP(E360,GACETA!$A$1:$C$186,3,0)</f>
        <v>P</v>
      </c>
      <c r="G360" t="s">
        <v>1398</v>
      </c>
      <c r="H360" t="str">
        <f t="shared" si="5"/>
        <v>Q00 104 0107010103 P</v>
      </c>
      <c r="I360" t="s">
        <v>573</v>
      </c>
    </row>
    <row r="361" spans="1:9" x14ac:dyDescent="0.3">
      <c r="A361" t="s">
        <v>48</v>
      </c>
      <c r="B361" t="s">
        <v>2593</v>
      </c>
      <c r="C361">
        <v>104</v>
      </c>
      <c r="D361" t="s">
        <v>2612</v>
      </c>
      <c r="E361" t="s">
        <v>1541</v>
      </c>
      <c r="F361" t="str">
        <f>VLOOKUP(E361,GACETA!$A$1:$C$186,3,0)</f>
        <v>P</v>
      </c>
      <c r="G361" t="s">
        <v>1398</v>
      </c>
      <c r="H361" t="str">
        <f t="shared" si="5"/>
        <v>Q00 104 0107010103 P</v>
      </c>
      <c r="I361" t="s">
        <v>1116</v>
      </c>
    </row>
    <row r="362" spans="1:9" x14ac:dyDescent="0.3">
      <c r="A362" t="s">
        <v>48</v>
      </c>
      <c r="B362" t="s">
        <v>2593</v>
      </c>
      <c r="C362">
        <v>104</v>
      </c>
      <c r="D362" t="s">
        <v>2612</v>
      </c>
      <c r="E362" t="s">
        <v>1541</v>
      </c>
      <c r="F362" t="str">
        <f>VLOOKUP(E362,GACETA!$A$1:$C$186,3,0)</f>
        <v>P</v>
      </c>
      <c r="G362" t="s">
        <v>1398</v>
      </c>
      <c r="H362" t="str">
        <f t="shared" si="5"/>
        <v>Q00 104 0107010103 P</v>
      </c>
      <c r="I362" t="s">
        <v>1117</v>
      </c>
    </row>
    <row r="363" spans="1:9" x14ac:dyDescent="0.3">
      <c r="A363" t="s">
        <v>48</v>
      </c>
      <c r="B363" t="s">
        <v>2593</v>
      </c>
      <c r="C363">
        <v>104</v>
      </c>
      <c r="D363" t="s">
        <v>2612</v>
      </c>
      <c r="E363" t="s">
        <v>1541</v>
      </c>
      <c r="F363" t="str">
        <f>VLOOKUP(E363,GACETA!$A$1:$C$186,3,0)</f>
        <v>P</v>
      </c>
      <c r="G363" t="s">
        <v>1398</v>
      </c>
      <c r="H363" t="str">
        <f t="shared" si="5"/>
        <v>Q00 104 0107010103 P</v>
      </c>
      <c r="I363" t="s">
        <v>1118</v>
      </c>
    </row>
    <row r="364" spans="1:9" x14ac:dyDescent="0.3">
      <c r="A364" t="s">
        <v>48</v>
      </c>
      <c r="B364" t="s">
        <v>2593</v>
      </c>
      <c r="C364">
        <v>104</v>
      </c>
      <c r="D364" t="s">
        <v>2612</v>
      </c>
      <c r="E364" t="s">
        <v>1541</v>
      </c>
      <c r="F364" t="str">
        <f>VLOOKUP(E364,GACETA!$A$1:$C$186,3,0)</f>
        <v>P</v>
      </c>
      <c r="G364" t="s">
        <v>1398</v>
      </c>
      <c r="H364" t="str">
        <f t="shared" si="5"/>
        <v>Q00 104 0107010103 P</v>
      </c>
      <c r="I364" t="s">
        <v>1119</v>
      </c>
    </row>
    <row r="365" spans="1:9" x14ac:dyDescent="0.3">
      <c r="A365" t="s">
        <v>48</v>
      </c>
      <c r="B365" t="s">
        <v>2593</v>
      </c>
      <c r="C365">
        <v>104</v>
      </c>
      <c r="D365" t="s">
        <v>2612</v>
      </c>
      <c r="E365" t="s">
        <v>1885</v>
      </c>
      <c r="F365" t="s">
        <v>1384</v>
      </c>
      <c r="G365" t="s">
        <v>843</v>
      </c>
      <c r="H365" t="str">
        <f t="shared" si="5"/>
        <v>Q00 104 0107010105 E</v>
      </c>
      <c r="I365" t="s">
        <v>1122</v>
      </c>
    </row>
    <row r="366" spans="1:9" x14ac:dyDescent="0.3">
      <c r="A366" t="s">
        <v>48</v>
      </c>
      <c r="B366" t="s">
        <v>2593</v>
      </c>
      <c r="C366">
        <v>104</v>
      </c>
      <c r="D366" t="s">
        <v>2612</v>
      </c>
      <c r="E366" t="s">
        <v>1885</v>
      </c>
      <c r="F366" t="s">
        <v>1384</v>
      </c>
      <c r="G366" t="s">
        <v>843</v>
      </c>
      <c r="H366" t="str">
        <f t="shared" si="5"/>
        <v>Q00 104 0107010105 E</v>
      </c>
      <c r="I366" t="s">
        <v>566</v>
      </c>
    </row>
    <row r="367" spans="1:9" x14ac:dyDescent="0.3">
      <c r="A367" t="s">
        <v>48</v>
      </c>
      <c r="B367" t="s">
        <v>2593</v>
      </c>
      <c r="C367">
        <v>104</v>
      </c>
      <c r="D367" t="s">
        <v>2612</v>
      </c>
      <c r="E367" t="s">
        <v>1885</v>
      </c>
      <c r="F367" t="s">
        <v>1384</v>
      </c>
      <c r="G367" t="s">
        <v>843</v>
      </c>
      <c r="H367" t="str">
        <f t="shared" si="5"/>
        <v>Q00 104 0107010105 E</v>
      </c>
      <c r="I367" t="s">
        <v>565</v>
      </c>
    </row>
    <row r="368" spans="1:9" x14ac:dyDescent="0.3">
      <c r="A368" t="s">
        <v>48</v>
      </c>
      <c r="B368" t="s">
        <v>2593</v>
      </c>
      <c r="C368">
        <v>104</v>
      </c>
      <c r="D368" t="s">
        <v>2612</v>
      </c>
      <c r="E368" t="s">
        <v>1885</v>
      </c>
      <c r="F368" t="s">
        <v>1384</v>
      </c>
      <c r="G368" t="s">
        <v>843</v>
      </c>
      <c r="H368" t="str">
        <f t="shared" si="5"/>
        <v>Q00 104 0107010105 E</v>
      </c>
      <c r="I368" t="s">
        <v>564</v>
      </c>
    </row>
    <row r="369" spans="1:9" x14ac:dyDescent="0.3">
      <c r="A369" t="s">
        <v>48</v>
      </c>
      <c r="B369" t="s">
        <v>2593</v>
      </c>
      <c r="C369">
        <v>104</v>
      </c>
      <c r="D369" t="s">
        <v>2612</v>
      </c>
      <c r="E369" t="s">
        <v>1885</v>
      </c>
      <c r="F369" t="s">
        <v>1384</v>
      </c>
      <c r="G369" t="s">
        <v>843</v>
      </c>
      <c r="H369" t="str">
        <f t="shared" si="5"/>
        <v>Q00 104 0107010105 E</v>
      </c>
      <c r="I369" t="s">
        <v>1123</v>
      </c>
    </row>
    <row r="370" spans="1:9" x14ac:dyDescent="0.3">
      <c r="A370" t="s">
        <v>48</v>
      </c>
      <c r="B370" t="s">
        <v>2593</v>
      </c>
      <c r="C370">
        <v>104</v>
      </c>
      <c r="D370" t="s">
        <v>2612</v>
      </c>
      <c r="E370" t="s">
        <v>1885</v>
      </c>
      <c r="F370" t="s">
        <v>1384</v>
      </c>
      <c r="G370" t="s">
        <v>843</v>
      </c>
      <c r="H370" t="str">
        <f t="shared" si="5"/>
        <v>Q00 104 0107010105 E</v>
      </c>
      <c r="I370" t="s">
        <v>1124</v>
      </c>
    </row>
    <row r="371" spans="1:9" x14ac:dyDescent="0.3">
      <c r="A371" t="s">
        <v>48</v>
      </c>
      <c r="B371" t="s">
        <v>2593</v>
      </c>
      <c r="C371">
        <v>104</v>
      </c>
      <c r="D371" t="s">
        <v>2612</v>
      </c>
      <c r="E371" t="s">
        <v>1885</v>
      </c>
      <c r="F371" t="s">
        <v>1384</v>
      </c>
      <c r="G371" t="s">
        <v>843</v>
      </c>
      <c r="H371" t="str">
        <f t="shared" si="5"/>
        <v>Q00 104 0107010105 E</v>
      </c>
      <c r="I371" t="s">
        <v>1125</v>
      </c>
    </row>
    <row r="372" spans="1:9" x14ac:dyDescent="0.3">
      <c r="A372" t="s">
        <v>48</v>
      </c>
      <c r="B372" t="s">
        <v>2593</v>
      </c>
      <c r="C372">
        <v>158</v>
      </c>
      <c r="D372" t="s">
        <v>2664</v>
      </c>
      <c r="E372" t="s">
        <v>1886</v>
      </c>
      <c r="F372" t="s">
        <v>1384</v>
      </c>
      <c r="G372" t="s">
        <v>1877</v>
      </c>
      <c r="H372" t="str">
        <f t="shared" si="5"/>
        <v>Q00 158 0107010108 E</v>
      </c>
      <c r="I372" t="s">
        <v>562</v>
      </c>
    </row>
    <row r="373" spans="1:9" x14ac:dyDescent="0.3">
      <c r="A373" t="s">
        <v>48</v>
      </c>
      <c r="B373" t="s">
        <v>2593</v>
      </c>
      <c r="C373">
        <v>158</v>
      </c>
      <c r="D373" t="s">
        <v>2664</v>
      </c>
      <c r="E373" t="s">
        <v>1886</v>
      </c>
      <c r="F373" t="s">
        <v>1384</v>
      </c>
      <c r="G373" t="s">
        <v>1877</v>
      </c>
      <c r="H373" t="str">
        <f t="shared" si="5"/>
        <v>Q00 158 0107010108 E</v>
      </c>
      <c r="I373" t="s">
        <v>560</v>
      </c>
    </row>
    <row r="374" spans="1:9" x14ac:dyDescent="0.3">
      <c r="A374" t="s">
        <v>48</v>
      </c>
      <c r="B374" t="s">
        <v>2593</v>
      </c>
      <c r="C374">
        <v>158</v>
      </c>
      <c r="D374" t="s">
        <v>2664</v>
      </c>
      <c r="E374" t="s">
        <v>1886</v>
      </c>
      <c r="F374" t="s">
        <v>1384</v>
      </c>
      <c r="G374" t="s">
        <v>1877</v>
      </c>
      <c r="H374" t="str">
        <f t="shared" si="5"/>
        <v>Q00 158 0107010108 E</v>
      </c>
      <c r="I374" t="s">
        <v>559</v>
      </c>
    </row>
    <row r="375" spans="1:9" x14ac:dyDescent="0.3">
      <c r="A375" t="s">
        <v>48</v>
      </c>
      <c r="B375" t="s">
        <v>2593</v>
      </c>
      <c r="C375">
        <v>158</v>
      </c>
      <c r="D375" t="s">
        <v>2664</v>
      </c>
      <c r="E375" t="s">
        <v>1886</v>
      </c>
      <c r="F375" t="s">
        <v>1384</v>
      </c>
      <c r="G375" t="s">
        <v>1877</v>
      </c>
      <c r="H375" t="str">
        <f t="shared" si="5"/>
        <v>Q00 158 0107010108 E</v>
      </c>
      <c r="I375" t="s">
        <v>558</v>
      </c>
    </row>
    <row r="376" spans="1:9" x14ac:dyDescent="0.3">
      <c r="A376" t="s">
        <v>48</v>
      </c>
      <c r="B376" t="s">
        <v>2593</v>
      </c>
      <c r="C376">
        <v>104</v>
      </c>
      <c r="D376" t="s">
        <v>2612</v>
      </c>
      <c r="E376" t="s">
        <v>1548</v>
      </c>
      <c r="F376" t="str">
        <f>VLOOKUP(E376,GACETA!$A$1:$C$186,3,0)</f>
        <v>S</v>
      </c>
      <c r="G376" t="s">
        <v>1400</v>
      </c>
      <c r="H376" t="str">
        <f t="shared" si="5"/>
        <v>Q00 104 0107040101 S</v>
      </c>
      <c r="I376" t="s">
        <v>1103</v>
      </c>
    </row>
    <row r="377" spans="1:9" x14ac:dyDescent="0.3">
      <c r="A377" t="s">
        <v>48</v>
      </c>
      <c r="B377" t="s">
        <v>2593</v>
      </c>
      <c r="C377">
        <v>104</v>
      </c>
      <c r="D377" t="s">
        <v>2612</v>
      </c>
      <c r="E377" t="s">
        <v>1548</v>
      </c>
      <c r="F377" t="str">
        <f>VLOOKUP(E377,GACETA!$A$1:$C$186,3,0)</f>
        <v>S</v>
      </c>
      <c r="G377" t="s">
        <v>1400</v>
      </c>
      <c r="H377" t="str">
        <f t="shared" si="5"/>
        <v>Q00 104 0107040101 S</v>
      </c>
      <c r="I377" t="s">
        <v>1104</v>
      </c>
    </row>
    <row r="378" spans="1:9" x14ac:dyDescent="0.3">
      <c r="A378" t="s">
        <v>48</v>
      </c>
      <c r="B378" t="s">
        <v>2593</v>
      </c>
      <c r="C378">
        <v>104</v>
      </c>
      <c r="D378" t="s">
        <v>2612</v>
      </c>
      <c r="E378" t="s">
        <v>1548</v>
      </c>
      <c r="F378" t="str">
        <f>VLOOKUP(E378,GACETA!$A$1:$C$186,3,0)</f>
        <v>S</v>
      </c>
      <c r="G378" t="s">
        <v>1400</v>
      </c>
      <c r="H378" t="str">
        <f t="shared" si="5"/>
        <v>Q00 104 0107040101 S</v>
      </c>
      <c r="I378" t="s">
        <v>1105</v>
      </c>
    </row>
    <row r="379" spans="1:9" x14ac:dyDescent="0.3">
      <c r="A379" t="s">
        <v>48</v>
      </c>
      <c r="B379" t="s">
        <v>2593</v>
      </c>
      <c r="C379">
        <v>104</v>
      </c>
      <c r="D379" t="s">
        <v>2612</v>
      </c>
      <c r="E379" t="s">
        <v>1548</v>
      </c>
      <c r="F379" t="str">
        <f>VLOOKUP(E379,GACETA!$A$1:$C$186,3,0)</f>
        <v>S</v>
      </c>
      <c r="G379" t="s">
        <v>1400</v>
      </c>
      <c r="H379" t="str">
        <f t="shared" si="5"/>
        <v>Q00 104 0107040101 S</v>
      </c>
      <c r="I379" t="s">
        <v>1106</v>
      </c>
    </row>
    <row r="380" spans="1:9" x14ac:dyDescent="0.3">
      <c r="A380" t="s">
        <v>48</v>
      </c>
      <c r="B380" t="s">
        <v>2593</v>
      </c>
      <c r="C380">
        <v>104</v>
      </c>
      <c r="D380" t="s">
        <v>2612</v>
      </c>
      <c r="E380" t="s">
        <v>1548</v>
      </c>
      <c r="F380" t="str">
        <f>VLOOKUP(E380,GACETA!$A$1:$C$186,3,0)</f>
        <v>S</v>
      </c>
      <c r="G380" t="s">
        <v>1400</v>
      </c>
      <c r="H380" t="str">
        <f t="shared" si="5"/>
        <v>Q00 104 0107040101 S</v>
      </c>
      <c r="I380" t="s">
        <v>1107</v>
      </c>
    </row>
    <row r="381" spans="1:9" x14ac:dyDescent="0.3">
      <c r="A381" t="s">
        <v>48</v>
      </c>
      <c r="B381" t="s">
        <v>2593</v>
      </c>
      <c r="C381">
        <v>104</v>
      </c>
      <c r="D381" t="s">
        <v>2612</v>
      </c>
      <c r="E381" t="s">
        <v>1548</v>
      </c>
      <c r="F381" t="str">
        <f>VLOOKUP(E381,GACETA!$A$1:$C$186,3,0)</f>
        <v>S</v>
      </c>
      <c r="G381" t="s">
        <v>1400</v>
      </c>
      <c r="H381" t="str">
        <f t="shared" si="5"/>
        <v>Q00 104 0107040101 S</v>
      </c>
      <c r="I381" t="s">
        <v>1108</v>
      </c>
    </row>
    <row r="382" spans="1:9" x14ac:dyDescent="0.3">
      <c r="A382" t="s">
        <v>48</v>
      </c>
      <c r="B382" t="s">
        <v>2593</v>
      </c>
      <c r="C382">
        <v>104</v>
      </c>
      <c r="D382" t="s">
        <v>2612</v>
      </c>
      <c r="E382" t="s">
        <v>1548</v>
      </c>
      <c r="F382" t="str">
        <f>VLOOKUP(E382,GACETA!$A$1:$C$186,3,0)</f>
        <v>S</v>
      </c>
      <c r="G382" t="s">
        <v>1400</v>
      </c>
      <c r="H382" t="str">
        <f t="shared" si="5"/>
        <v>Q00 104 0107040101 S</v>
      </c>
      <c r="I382" t="s">
        <v>1109</v>
      </c>
    </row>
    <row r="383" spans="1:9" x14ac:dyDescent="0.3">
      <c r="A383" t="s">
        <v>62</v>
      </c>
      <c r="B383" t="s">
        <v>1425</v>
      </c>
      <c r="C383">
        <v>153</v>
      </c>
      <c r="D383" t="s">
        <v>2659</v>
      </c>
      <c r="E383" t="s">
        <v>1601</v>
      </c>
      <c r="F383" t="str">
        <f>VLOOKUP(E383,GACETA!$A$1:$C$186,3,0)</f>
        <v>E</v>
      </c>
      <c r="G383" t="s">
        <v>744</v>
      </c>
      <c r="H383" t="str">
        <f t="shared" si="5"/>
        <v>I02 153 0203010108 E</v>
      </c>
      <c r="I383" t="s">
        <v>1148</v>
      </c>
    </row>
    <row r="384" spans="1:9" x14ac:dyDescent="0.3">
      <c r="A384" t="s">
        <v>62</v>
      </c>
      <c r="B384" t="s">
        <v>1425</v>
      </c>
      <c r="C384">
        <v>153</v>
      </c>
      <c r="D384" t="s">
        <v>2659</v>
      </c>
      <c r="E384" t="s">
        <v>1601</v>
      </c>
      <c r="F384" t="str">
        <f>VLOOKUP(E384,GACETA!$A$1:$C$186,3,0)</f>
        <v>E</v>
      </c>
      <c r="G384" t="s">
        <v>744</v>
      </c>
      <c r="H384" t="str">
        <f t="shared" si="5"/>
        <v>I02 153 0203010108 E</v>
      </c>
      <c r="I384" t="s">
        <v>1149</v>
      </c>
    </row>
    <row r="385" spans="1:9" x14ac:dyDescent="0.3">
      <c r="A385" t="s">
        <v>62</v>
      </c>
      <c r="B385" t="s">
        <v>1425</v>
      </c>
      <c r="C385">
        <v>153</v>
      </c>
      <c r="D385" t="s">
        <v>2659</v>
      </c>
      <c r="E385" t="s">
        <v>1601</v>
      </c>
      <c r="F385" t="str">
        <f>VLOOKUP(E385,GACETA!$A$1:$C$186,3,0)</f>
        <v>E</v>
      </c>
      <c r="G385" t="s">
        <v>744</v>
      </c>
      <c r="H385" t="str">
        <f t="shared" si="5"/>
        <v>I02 153 0203010108 E</v>
      </c>
      <c r="I385" t="s">
        <v>1150</v>
      </c>
    </row>
    <row r="386" spans="1:9" x14ac:dyDescent="0.3">
      <c r="A386" t="s">
        <v>62</v>
      </c>
      <c r="B386" t="s">
        <v>1425</v>
      </c>
      <c r="C386">
        <v>153</v>
      </c>
      <c r="D386" t="s">
        <v>2659</v>
      </c>
      <c r="E386" t="s">
        <v>1601</v>
      </c>
      <c r="F386" t="str">
        <f>VLOOKUP(E386,GACETA!$A$1:$C$186,3,0)</f>
        <v>E</v>
      </c>
      <c r="G386" t="s">
        <v>744</v>
      </c>
      <c r="H386" t="str">
        <f t="shared" si="5"/>
        <v>I02 153 0203010108 E</v>
      </c>
      <c r="I386" t="s">
        <v>1151</v>
      </c>
    </row>
    <row r="387" spans="1:9" x14ac:dyDescent="0.3">
      <c r="A387" t="s">
        <v>62</v>
      </c>
      <c r="B387" t="s">
        <v>1425</v>
      </c>
      <c r="C387">
        <v>153</v>
      </c>
      <c r="D387" t="s">
        <v>2659</v>
      </c>
      <c r="E387" t="s">
        <v>1601</v>
      </c>
      <c r="F387" t="str">
        <f>VLOOKUP(E387,GACETA!$A$1:$C$186,3,0)</f>
        <v>E</v>
      </c>
      <c r="G387" t="s">
        <v>744</v>
      </c>
      <c r="H387" t="str">
        <f t="shared" si="5"/>
        <v>I02 153 0203010108 E</v>
      </c>
      <c r="I387" t="s">
        <v>1152</v>
      </c>
    </row>
    <row r="388" spans="1:9" x14ac:dyDescent="0.3">
      <c r="A388" t="s">
        <v>62</v>
      </c>
      <c r="B388" t="s">
        <v>1425</v>
      </c>
      <c r="C388">
        <v>153</v>
      </c>
      <c r="D388" t="s">
        <v>2659</v>
      </c>
      <c r="E388" t="s">
        <v>1603</v>
      </c>
      <c r="F388" t="str">
        <f>VLOOKUP(E388,GACETA!$A$1:$C$186,3,0)</f>
        <v>S</v>
      </c>
      <c r="G388" t="s">
        <v>1428</v>
      </c>
      <c r="H388" t="str">
        <f t="shared" si="5"/>
        <v>I02 153 0203020115 S</v>
      </c>
      <c r="I388" t="s">
        <v>1173</v>
      </c>
    </row>
    <row r="389" spans="1:9" x14ac:dyDescent="0.3">
      <c r="A389" t="s">
        <v>62</v>
      </c>
      <c r="B389" t="s">
        <v>1425</v>
      </c>
      <c r="C389">
        <v>153</v>
      </c>
      <c r="D389" t="s">
        <v>2659</v>
      </c>
      <c r="E389" t="s">
        <v>1603</v>
      </c>
      <c r="F389" t="str">
        <f>VLOOKUP(E389,GACETA!$A$1:$C$186,3,0)</f>
        <v>S</v>
      </c>
      <c r="G389" t="s">
        <v>1428</v>
      </c>
      <c r="H389" t="str">
        <f t="shared" si="5"/>
        <v>I02 153 0203020115 S</v>
      </c>
      <c r="I389" t="s">
        <v>1174</v>
      </c>
    </row>
    <row r="390" spans="1:9" x14ac:dyDescent="0.3">
      <c r="A390" t="s">
        <v>62</v>
      </c>
      <c r="B390" t="s">
        <v>1425</v>
      </c>
      <c r="C390">
        <v>129</v>
      </c>
      <c r="D390" t="s">
        <v>2637</v>
      </c>
      <c r="E390" t="s">
        <v>1571</v>
      </c>
      <c r="F390" t="str">
        <f>VLOOKUP(E390,GACETA!$A$1:$C$186,3,0)</f>
        <v>E</v>
      </c>
      <c r="G390" t="s">
        <v>965</v>
      </c>
      <c r="H390" t="str">
        <f t="shared" si="5"/>
        <v>I02 129 0201050201 E</v>
      </c>
      <c r="I390" t="s">
        <v>1158</v>
      </c>
    </row>
    <row r="391" spans="1:9" x14ac:dyDescent="0.3">
      <c r="A391" t="s">
        <v>62</v>
      </c>
      <c r="B391" t="s">
        <v>1425</v>
      </c>
      <c r="C391">
        <v>129</v>
      </c>
      <c r="D391" t="s">
        <v>2637</v>
      </c>
      <c r="E391" t="s">
        <v>1571</v>
      </c>
      <c r="F391" t="str">
        <f>VLOOKUP(E391,GACETA!$A$1:$C$186,3,0)</f>
        <v>E</v>
      </c>
      <c r="G391" t="s">
        <v>965</v>
      </c>
      <c r="H391" t="str">
        <f t="shared" ref="H391:H454" si="6">CONCATENATE(A391," ",C391," ",E391," ",F391)</f>
        <v>I02 129 0201050201 E</v>
      </c>
      <c r="I391" t="s">
        <v>1159</v>
      </c>
    </row>
    <row r="392" spans="1:9" x14ac:dyDescent="0.3">
      <c r="A392" t="s">
        <v>62</v>
      </c>
      <c r="B392" t="s">
        <v>1425</v>
      </c>
      <c r="C392">
        <v>129</v>
      </c>
      <c r="D392" t="s">
        <v>2637</v>
      </c>
      <c r="E392" t="s">
        <v>1571</v>
      </c>
      <c r="F392" t="str">
        <f>VLOOKUP(E392,GACETA!$A$1:$C$186,3,0)</f>
        <v>E</v>
      </c>
      <c r="G392" t="s">
        <v>965</v>
      </c>
      <c r="H392" t="str">
        <f t="shared" si="6"/>
        <v>I02 129 0201050201 E</v>
      </c>
      <c r="I392" t="s">
        <v>1160</v>
      </c>
    </row>
    <row r="393" spans="1:9" x14ac:dyDescent="0.3">
      <c r="A393" t="s">
        <v>62</v>
      </c>
      <c r="B393" t="s">
        <v>1425</v>
      </c>
      <c r="C393">
        <v>129</v>
      </c>
      <c r="D393" t="s">
        <v>2637</v>
      </c>
      <c r="E393" t="s">
        <v>1572</v>
      </c>
      <c r="F393" t="str">
        <f>VLOOKUP(E393,GACETA!$A$1:$C$186,3,0)</f>
        <v>E</v>
      </c>
      <c r="G393" t="s">
        <v>1412</v>
      </c>
      <c r="H393" t="str">
        <f t="shared" si="6"/>
        <v>I02 129 0201050202 E</v>
      </c>
      <c r="I393" t="s">
        <v>1162</v>
      </c>
    </row>
    <row r="394" spans="1:9" x14ac:dyDescent="0.3">
      <c r="A394" t="s">
        <v>62</v>
      </c>
      <c r="B394" t="s">
        <v>1425</v>
      </c>
      <c r="C394">
        <v>129</v>
      </c>
      <c r="D394" t="s">
        <v>2637</v>
      </c>
      <c r="E394" t="s">
        <v>1573</v>
      </c>
      <c r="F394" t="str">
        <f>VLOOKUP(E394,GACETA!$A$1:$C$186,3,0)</f>
        <v>E</v>
      </c>
      <c r="G394" t="s">
        <v>966</v>
      </c>
      <c r="H394" t="str">
        <f t="shared" si="6"/>
        <v>I02 129 0201050203 E</v>
      </c>
      <c r="I394" t="s">
        <v>1164</v>
      </c>
    </row>
    <row r="395" spans="1:9" x14ac:dyDescent="0.3">
      <c r="A395" t="s">
        <v>62</v>
      </c>
      <c r="B395" t="s">
        <v>1425</v>
      </c>
      <c r="C395">
        <v>129</v>
      </c>
      <c r="D395" t="s">
        <v>2637</v>
      </c>
      <c r="E395" t="s">
        <v>1573</v>
      </c>
      <c r="F395" t="str">
        <f>VLOOKUP(E395,GACETA!$A$1:$C$186,3,0)</f>
        <v>E</v>
      </c>
      <c r="G395" t="s">
        <v>966</v>
      </c>
      <c r="H395" t="str">
        <f t="shared" si="6"/>
        <v>I02 129 0201050203 E</v>
      </c>
      <c r="I395" t="s">
        <v>1165</v>
      </c>
    </row>
    <row r="396" spans="1:9" x14ac:dyDescent="0.3">
      <c r="A396" t="s">
        <v>62</v>
      </c>
      <c r="B396" t="s">
        <v>1425</v>
      </c>
      <c r="C396">
        <v>129</v>
      </c>
      <c r="D396" t="s">
        <v>2637</v>
      </c>
      <c r="E396" t="s">
        <v>1573</v>
      </c>
      <c r="F396" t="str">
        <f>VLOOKUP(E396,GACETA!$A$1:$C$186,3,0)</f>
        <v>E</v>
      </c>
      <c r="G396" t="s">
        <v>966</v>
      </c>
      <c r="H396" t="str">
        <f t="shared" si="6"/>
        <v>I02 129 0201050203 E</v>
      </c>
      <c r="I396" t="s">
        <v>1166</v>
      </c>
    </row>
    <row r="397" spans="1:9" x14ac:dyDescent="0.3">
      <c r="A397" t="s">
        <v>62</v>
      </c>
      <c r="B397" t="s">
        <v>1425</v>
      </c>
      <c r="C397">
        <v>129</v>
      </c>
      <c r="D397" t="s">
        <v>2637</v>
      </c>
      <c r="E397" t="s">
        <v>1573</v>
      </c>
      <c r="F397" t="str">
        <f>VLOOKUP(E397,GACETA!$A$1:$C$186,3,0)</f>
        <v>E</v>
      </c>
      <c r="G397" t="s">
        <v>966</v>
      </c>
      <c r="H397" t="str">
        <f t="shared" si="6"/>
        <v>I02 129 0201050203 E</v>
      </c>
      <c r="I397" t="s">
        <v>1167</v>
      </c>
    </row>
    <row r="398" spans="1:9" x14ac:dyDescent="0.3">
      <c r="A398" t="s">
        <v>62</v>
      </c>
      <c r="B398" t="s">
        <v>1425</v>
      </c>
      <c r="C398">
        <v>129</v>
      </c>
      <c r="D398" t="s">
        <v>2637</v>
      </c>
      <c r="E398" t="s">
        <v>1573</v>
      </c>
      <c r="F398" t="str">
        <f>VLOOKUP(E398,GACETA!$A$1:$C$186,3,0)</f>
        <v>E</v>
      </c>
      <c r="G398" t="s">
        <v>966</v>
      </c>
      <c r="H398" t="str">
        <f t="shared" si="6"/>
        <v>I02 129 0201050203 E</v>
      </c>
      <c r="I398" t="s">
        <v>1168</v>
      </c>
    </row>
    <row r="399" spans="1:9" x14ac:dyDescent="0.3">
      <c r="A399" t="s">
        <v>62</v>
      </c>
      <c r="B399" t="s">
        <v>1425</v>
      </c>
      <c r="C399">
        <v>129</v>
      </c>
      <c r="D399" t="s">
        <v>2637</v>
      </c>
      <c r="E399" t="s">
        <v>1573</v>
      </c>
      <c r="F399" t="str">
        <f>VLOOKUP(E399,GACETA!$A$1:$C$186,3,0)</f>
        <v>E</v>
      </c>
      <c r="G399" t="s">
        <v>966</v>
      </c>
      <c r="H399" t="str">
        <f t="shared" si="6"/>
        <v>I02 129 0201050203 E</v>
      </c>
      <c r="I399" t="s">
        <v>1169</v>
      </c>
    </row>
    <row r="400" spans="1:9" x14ac:dyDescent="0.3">
      <c r="A400" t="s">
        <v>62</v>
      </c>
      <c r="B400" t="s">
        <v>1425</v>
      </c>
      <c r="C400">
        <v>153</v>
      </c>
      <c r="D400" t="s">
        <v>2659</v>
      </c>
      <c r="E400" t="s">
        <v>1636</v>
      </c>
      <c r="F400" t="str">
        <f>VLOOKUP(E400,GACETA!$A$1:$C$186,3,0)</f>
        <v>S</v>
      </c>
      <c r="G400" t="s">
        <v>1458</v>
      </c>
      <c r="H400" t="str">
        <f t="shared" si="6"/>
        <v>I02 153 0206080502 S</v>
      </c>
      <c r="I400" t="s">
        <v>1140</v>
      </c>
    </row>
    <row r="401" spans="1:9" x14ac:dyDescent="0.3">
      <c r="A401" t="s">
        <v>62</v>
      </c>
      <c r="B401" t="s">
        <v>1425</v>
      </c>
      <c r="C401">
        <v>153</v>
      </c>
      <c r="D401" t="s">
        <v>2659</v>
      </c>
      <c r="E401" t="s">
        <v>1636</v>
      </c>
      <c r="F401" t="str">
        <f>VLOOKUP(E401,GACETA!$A$1:$C$186,3,0)</f>
        <v>S</v>
      </c>
      <c r="G401" t="s">
        <v>1458</v>
      </c>
      <c r="H401" t="str">
        <f t="shared" si="6"/>
        <v>I02 153 0206080502 S</v>
      </c>
      <c r="I401" t="s">
        <v>1141</v>
      </c>
    </row>
    <row r="402" spans="1:9" x14ac:dyDescent="0.3">
      <c r="A402" t="s">
        <v>62</v>
      </c>
      <c r="B402" t="s">
        <v>1425</v>
      </c>
      <c r="C402">
        <v>153</v>
      </c>
      <c r="D402" t="s">
        <v>2659</v>
      </c>
      <c r="E402" t="s">
        <v>1636</v>
      </c>
      <c r="F402" t="str">
        <f>VLOOKUP(E402,GACETA!$A$1:$C$186,3,0)</f>
        <v>S</v>
      </c>
      <c r="G402" t="s">
        <v>1458</v>
      </c>
      <c r="H402" t="str">
        <f t="shared" si="6"/>
        <v>I02 153 0206080502 S</v>
      </c>
      <c r="I402" t="s">
        <v>1142</v>
      </c>
    </row>
    <row r="403" spans="1:9" x14ac:dyDescent="0.3">
      <c r="A403" t="s">
        <v>62</v>
      </c>
      <c r="B403" t="s">
        <v>1425</v>
      </c>
      <c r="C403">
        <v>153</v>
      </c>
      <c r="D403" t="s">
        <v>2659</v>
      </c>
      <c r="E403" t="s">
        <v>1637</v>
      </c>
      <c r="F403" t="str">
        <f>VLOOKUP(E403,GACETA!$A$1:$C$186,3,0)</f>
        <v>E</v>
      </c>
      <c r="G403" t="s">
        <v>839</v>
      </c>
      <c r="H403" t="str">
        <f t="shared" si="6"/>
        <v>I02 153 0206080503 E</v>
      </c>
      <c r="I403" t="s">
        <v>1143</v>
      </c>
    </row>
    <row r="404" spans="1:9" x14ac:dyDescent="0.3">
      <c r="A404" t="s">
        <v>62</v>
      </c>
      <c r="B404" t="s">
        <v>1425</v>
      </c>
      <c r="C404">
        <v>153</v>
      </c>
      <c r="D404" t="s">
        <v>2659</v>
      </c>
      <c r="E404" t="s">
        <v>1637</v>
      </c>
      <c r="F404" t="str">
        <f>VLOOKUP(E404,GACETA!$A$1:$C$186,3,0)</f>
        <v>E</v>
      </c>
      <c r="G404" t="s">
        <v>839</v>
      </c>
      <c r="H404" t="str">
        <f t="shared" si="6"/>
        <v>I02 153 0206080503 E</v>
      </c>
      <c r="I404" t="s">
        <v>1144</v>
      </c>
    </row>
    <row r="405" spans="1:9" x14ac:dyDescent="0.3">
      <c r="A405" t="s">
        <v>62</v>
      </c>
      <c r="B405" t="s">
        <v>1425</v>
      </c>
      <c r="C405">
        <v>153</v>
      </c>
      <c r="D405" t="s">
        <v>2659</v>
      </c>
      <c r="E405" t="s">
        <v>1638</v>
      </c>
      <c r="F405" t="str">
        <f>VLOOKUP(E405,GACETA!$A$1:$C$186,3,0)</f>
        <v>E</v>
      </c>
      <c r="G405" t="s">
        <v>1499</v>
      </c>
      <c r="H405" t="str">
        <f t="shared" si="6"/>
        <v>I02 153 0206080504 E</v>
      </c>
      <c r="I405" t="s">
        <v>1137</v>
      </c>
    </row>
    <row r="406" spans="1:9" x14ac:dyDescent="0.3">
      <c r="A406" t="s">
        <v>62</v>
      </c>
      <c r="B406" t="s">
        <v>1425</v>
      </c>
      <c r="C406">
        <v>153</v>
      </c>
      <c r="D406" t="s">
        <v>2659</v>
      </c>
      <c r="E406" t="s">
        <v>1638</v>
      </c>
      <c r="F406" t="str">
        <f>VLOOKUP(E406,GACETA!$A$1:$C$186,3,0)</f>
        <v>E</v>
      </c>
      <c r="G406" t="s">
        <v>1499</v>
      </c>
      <c r="H406" t="str">
        <f t="shared" si="6"/>
        <v>I02 153 0206080504 E</v>
      </c>
      <c r="I406" t="s">
        <v>1138</v>
      </c>
    </row>
    <row r="407" spans="1:9" x14ac:dyDescent="0.3">
      <c r="A407" t="s">
        <v>62</v>
      </c>
      <c r="B407" t="s">
        <v>1425</v>
      </c>
      <c r="C407">
        <v>153</v>
      </c>
      <c r="D407" t="s">
        <v>2659</v>
      </c>
      <c r="E407" t="s">
        <v>1638</v>
      </c>
      <c r="F407" t="str">
        <f>VLOOKUP(E407,GACETA!$A$1:$C$186,3,0)</f>
        <v>E</v>
      </c>
      <c r="G407" t="s">
        <v>1499</v>
      </c>
      <c r="H407" t="str">
        <f t="shared" si="6"/>
        <v>I02 153 0206080504 E</v>
      </c>
      <c r="I407" t="s">
        <v>1139</v>
      </c>
    </row>
    <row r="408" spans="1:9" x14ac:dyDescent="0.3">
      <c r="A408" t="s">
        <v>58</v>
      </c>
      <c r="B408" t="s">
        <v>2583</v>
      </c>
      <c r="C408">
        <v>143</v>
      </c>
      <c r="D408" t="s">
        <v>2650</v>
      </c>
      <c r="E408" t="s">
        <v>1640</v>
      </c>
      <c r="F408" t="str">
        <f>VLOOKUP(E408,GACETA!$A$1:$C$186,3,0)</f>
        <v>E</v>
      </c>
      <c r="G408" t="s">
        <v>848</v>
      </c>
      <c r="H408" t="str">
        <f t="shared" si="6"/>
        <v>I00 143 0206080602 E</v>
      </c>
      <c r="I408" t="s">
        <v>1328</v>
      </c>
    </row>
    <row r="409" spans="1:9" x14ac:dyDescent="0.3">
      <c r="A409" t="s">
        <v>58</v>
      </c>
      <c r="B409" t="s">
        <v>2583</v>
      </c>
      <c r="C409">
        <v>143</v>
      </c>
      <c r="D409" t="s">
        <v>2650</v>
      </c>
      <c r="E409" t="s">
        <v>1640</v>
      </c>
      <c r="F409" t="str">
        <f>VLOOKUP(E409,GACETA!$A$1:$C$186,3,0)</f>
        <v>E</v>
      </c>
      <c r="G409" t="s">
        <v>848</v>
      </c>
      <c r="H409" t="str">
        <f t="shared" si="6"/>
        <v>I00 143 0206080602 E</v>
      </c>
      <c r="I409" t="s">
        <v>1329</v>
      </c>
    </row>
    <row r="410" spans="1:9" x14ac:dyDescent="0.3">
      <c r="A410" t="s">
        <v>58</v>
      </c>
      <c r="B410" t="s">
        <v>2583</v>
      </c>
      <c r="C410">
        <v>143</v>
      </c>
      <c r="D410" t="s">
        <v>2650</v>
      </c>
      <c r="E410" t="s">
        <v>1640</v>
      </c>
      <c r="F410" t="str">
        <f>VLOOKUP(E410,GACETA!$A$1:$C$186,3,0)</f>
        <v>E</v>
      </c>
      <c r="G410" t="s">
        <v>848</v>
      </c>
      <c r="H410" t="str">
        <f t="shared" si="6"/>
        <v>I00 143 0206080602 E</v>
      </c>
      <c r="I410" t="s">
        <v>1330</v>
      </c>
    </row>
    <row r="411" spans="1:9" x14ac:dyDescent="0.3">
      <c r="A411" t="s">
        <v>58</v>
      </c>
      <c r="B411" t="s">
        <v>2583</v>
      </c>
      <c r="C411">
        <v>143</v>
      </c>
      <c r="D411" t="s">
        <v>2650</v>
      </c>
      <c r="E411" t="s">
        <v>1640</v>
      </c>
      <c r="F411" t="str">
        <f>VLOOKUP(E411,GACETA!$A$1:$C$186,3,0)</f>
        <v>E</v>
      </c>
      <c r="G411" t="s">
        <v>848</v>
      </c>
      <c r="H411" t="str">
        <f t="shared" si="6"/>
        <v>I00 143 0206080602 E</v>
      </c>
      <c r="I411" t="s">
        <v>324</v>
      </c>
    </row>
    <row r="412" spans="1:9" x14ac:dyDescent="0.3">
      <c r="A412" t="s">
        <v>58</v>
      </c>
      <c r="B412" t="s">
        <v>2583</v>
      </c>
      <c r="C412">
        <v>143</v>
      </c>
      <c r="D412" t="s">
        <v>2650</v>
      </c>
      <c r="E412" t="s">
        <v>1640</v>
      </c>
      <c r="F412" t="str">
        <f>VLOOKUP(E412,GACETA!$A$1:$C$186,3,0)</f>
        <v>E</v>
      </c>
      <c r="G412" t="s">
        <v>848</v>
      </c>
      <c r="H412" t="str">
        <f t="shared" si="6"/>
        <v>I00 143 0206080602 E</v>
      </c>
      <c r="I412" t="s">
        <v>1331</v>
      </c>
    </row>
    <row r="413" spans="1:9" x14ac:dyDescent="0.3">
      <c r="A413" t="s">
        <v>58</v>
      </c>
      <c r="B413" t="s">
        <v>2583</v>
      </c>
      <c r="C413">
        <v>143</v>
      </c>
      <c r="D413" t="s">
        <v>2650</v>
      </c>
      <c r="E413" t="s">
        <v>1640</v>
      </c>
      <c r="F413" t="str">
        <f>VLOOKUP(E413,GACETA!$A$1:$C$186,3,0)</f>
        <v>E</v>
      </c>
      <c r="G413" t="s">
        <v>848</v>
      </c>
      <c r="H413" t="str">
        <f t="shared" si="6"/>
        <v>I00 143 0206080602 E</v>
      </c>
      <c r="I413" t="s">
        <v>327</v>
      </c>
    </row>
    <row r="414" spans="1:9" x14ac:dyDescent="0.3">
      <c r="A414" t="s">
        <v>58</v>
      </c>
      <c r="B414" t="s">
        <v>2583</v>
      </c>
      <c r="C414">
        <v>143</v>
      </c>
      <c r="D414" t="s">
        <v>2650</v>
      </c>
      <c r="E414" t="s">
        <v>1640</v>
      </c>
      <c r="F414" t="str">
        <f>VLOOKUP(E414,GACETA!$A$1:$C$186,3,0)</f>
        <v>E</v>
      </c>
      <c r="G414" t="s">
        <v>848</v>
      </c>
      <c r="H414" t="str">
        <f t="shared" si="6"/>
        <v>I00 143 0206080602 E</v>
      </c>
      <c r="I414" t="s">
        <v>1332</v>
      </c>
    </row>
    <row r="415" spans="1:9" x14ac:dyDescent="0.3">
      <c r="A415" t="s">
        <v>58</v>
      </c>
      <c r="B415" t="s">
        <v>2583</v>
      </c>
      <c r="C415">
        <v>143</v>
      </c>
      <c r="D415" t="s">
        <v>2650</v>
      </c>
      <c r="E415" t="s">
        <v>1640</v>
      </c>
      <c r="F415" t="str">
        <f>VLOOKUP(E415,GACETA!$A$1:$C$186,3,0)</f>
        <v>E</v>
      </c>
      <c r="G415" t="s">
        <v>848</v>
      </c>
      <c r="H415" t="str">
        <f t="shared" si="6"/>
        <v>I00 143 0206080602 E</v>
      </c>
      <c r="I415" t="s">
        <v>1333</v>
      </c>
    </row>
    <row r="416" spans="1:9" x14ac:dyDescent="0.3">
      <c r="A416" t="s">
        <v>58</v>
      </c>
      <c r="B416" t="s">
        <v>2583</v>
      </c>
      <c r="C416">
        <v>143</v>
      </c>
      <c r="D416" t="s">
        <v>2650</v>
      </c>
      <c r="E416" t="s">
        <v>1640</v>
      </c>
      <c r="F416" t="str">
        <f>VLOOKUP(E416,GACETA!$A$1:$C$186,3,0)</f>
        <v>E</v>
      </c>
      <c r="G416" t="s">
        <v>848</v>
      </c>
      <c r="H416" t="str">
        <f t="shared" si="6"/>
        <v>I00 143 0206080602 E</v>
      </c>
      <c r="I416" t="s">
        <v>1334</v>
      </c>
    </row>
    <row r="417" spans="1:9" x14ac:dyDescent="0.3">
      <c r="A417" t="s">
        <v>58</v>
      </c>
      <c r="B417" t="s">
        <v>2583</v>
      </c>
      <c r="C417">
        <v>143</v>
      </c>
      <c r="D417" t="s">
        <v>2650</v>
      </c>
      <c r="E417" t="s">
        <v>1641</v>
      </c>
      <c r="F417" t="str">
        <f>VLOOKUP(E417,GACETA!$A$1:$C$186,3,0)</f>
        <v>E</v>
      </c>
      <c r="G417" t="s">
        <v>849</v>
      </c>
      <c r="H417" t="str">
        <f t="shared" si="6"/>
        <v>I00 143 0206080603 E</v>
      </c>
      <c r="I417" t="s">
        <v>317</v>
      </c>
    </row>
    <row r="418" spans="1:9" x14ac:dyDescent="0.3">
      <c r="A418" t="s">
        <v>58</v>
      </c>
      <c r="B418" t="s">
        <v>2583</v>
      </c>
      <c r="C418">
        <v>143</v>
      </c>
      <c r="D418" t="s">
        <v>2650</v>
      </c>
      <c r="E418" t="s">
        <v>1641</v>
      </c>
      <c r="F418" t="str">
        <f>VLOOKUP(E418,GACETA!$A$1:$C$186,3,0)</f>
        <v>E</v>
      </c>
      <c r="G418" t="s">
        <v>849</v>
      </c>
      <c r="H418" t="str">
        <f t="shared" si="6"/>
        <v>I00 143 0206080603 E</v>
      </c>
      <c r="I418" t="s">
        <v>318</v>
      </c>
    </row>
    <row r="419" spans="1:9" x14ac:dyDescent="0.3">
      <c r="A419" t="s">
        <v>58</v>
      </c>
      <c r="B419" t="s">
        <v>2583</v>
      </c>
      <c r="C419">
        <v>143</v>
      </c>
      <c r="D419" t="s">
        <v>2650</v>
      </c>
      <c r="E419" t="s">
        <v>1641</v>
      </c>
      <c r="F419" t="str">
        <f>VLOOKUP(E419,GACETA!$A$1:$C$186,3,0)</f>
        <v>E</v>
      </c>
      <c r="G419" t="s">
        <v>849</v>
      </c>
      <c r="H419" t="str">
        <f t="shared" si="6"/>
        <v>I00 143 0206080603 E</v>
      </c>
      <c r="I419" t="s">
        <v>319</v>
      </c>
    </row>
    <row r="420" spans="1:9" x14ac:dyDescent="0.3">
      <c r="A420" t="s">
        <v>58</v>
      </c>
      <c r="B420" t="s">
        <v>2583</v>
      </c>
      <c r="C420">
        <v>143</v>
      </c>
      <c r="D420" t="s">
        <v>2650</v>
      </c>
      <c r="E420" t="s">
        <v>1641</v>
      </c>
      <c r="F420" t="str">
        <f>VLOOKUP(E420,GACETA!$A$1:$C$186,3,0)</f>
        <v>E</v>
      </c>
      <c r="G420" t="s">
        <v>849</v>
      </c>
      <c r="H420" t="str">
        <f t="shared" si="6"/>
        <v>I00 143 0206080603 E</v>
      </c>
      <c r="I420" t="s">
        <v>1335</v>
      </c>
    </row>
    <row r="421" spans="1:9" x14ac:dyDescent="0.3">
      <c r="A421" t="s">
        <v>58</v>
      </c>
      <c r="B421" t="s">
        <v>2583</v>
      </c>
      <c r="C421">
        <v>143</v>
      </c>
      <c r="D421" t="s">
        <v>2650</v>
      </c>
      <c r="E421" t="s">
        <v>1642</v>
      </c>
      <c r="F421" t="str">
        <f>VLOOKUP(E421,GACETA!$A$1:$C$186,3,0)</f>
        <v>E</v>
      </c>
      <c r="G421" t="s">
        <v>328</v>
      </c>
      <c r="H421" t="str">
        <f t="shared" si="6"/>
        <v>I00 143 0206080604 E</v>
      </c>
      <c r="I421" t="s">
        <v>1336</v>
      </c>
    </row>
    <row r="422" spans="1:9" s="235" customFormat="1" x14ac:dyDescent="0.3">
      <c r="B422" s="235" t="e">
        <v>#N/A</v>
      </c>
      <c r="D422" s="235" t="e">
        <v>#N/A</v>
      </c>
      <c r="E422" s="235" t="s">
        <v>2724</v>
      </c>
      <c r="F422" s="235" t="e">
        <f>VLOOKUP(E422,GACETA!$A$1:$C$186,3,0)</f>
        <v>#N/A</v>
      </c>
      <c r="G422" s="235" t="e">
        <v>#N/A</v>
      </c>
      <c r="H422" t="e">
        <f t="shared" si="6"/>
        <v>#N/A</v>
      </c>
      <c r="I422" s="235" t="s">
        <v>1337</v>
      </c>
    </row>
    <row r="423" spans="1:9" s="235" customFormat="1" x14ac:dyDescent="0.3">
      <c r="B423" s="235" t="e">
        <v>#N/A</v>
      </c>
      <c r="D423" s="235" t="e">
        <v>#N/A</v>
      </c>
      <c r="E423" s="235" t="s">
        <v>2724</v>
      </c>
      <c r="F423" s="235" t="e">
        <f>VLOOKUP(E423,GACETA!$A$1:$C$186,3,0)</f>
        <v>#N/A</v>
      </c>
      <c r="G423" s="235" t="e">
        <v>#N/A</v>
      </c>
      <c r="H423" t="e">
        <f t="shared" si="6"/>
        <v>#N/A</v>
      </c>
      <c r="I423" s="235" t="s">
        <v>331</v>
      </c>
    </row>
    <row r="424" spans="1:9" s="235" customFormat="1" x14ac:dyDescent="0.3">
      <c r="B424" s="235" t="e">
        <v>#N/A</v>
      </c>
      <c r="D424" s="235" t="e">
        <v>#N/A</v>
      </c>
      <c r="E424" s="235" t="s">
        <v>2724</v>
      </c>
      <c r="F424" s="235" t="e">
        <f>VLOOKUP(E424,GACETA!$A$1:$C$186,3,0)</f>
        <v>#N/A</v>
      </c>
      <c r="G424" s="235" t="e">
        <v>#N/A</v>
      </c>
      <c r="H424" t="e">
        <f t="shared" si="6"/>
        <v>#N/A</v>
      </c>
      <c r="I424" s="235" t="s">
        <v>1338</v>
      </c>
    </row>
    <row r="425" spans="1:9" x14ac:dyDescent="0.3">
      <c r="A425" t="s">
        <v>58</v>
      </c>
      <c r="B425" t="s">
        <v>2583</v>
      </c>
      <c r="C425">
        <v>143</v>
      </c>
      <c r="D425" t="s">
        <v>2650</v>
      </c>
      <c r="E425" t="s">
        <v>1642</v>
      </c>
      <c r="F425" t="str">
        <f>VLOOKUP(E425,GACETA!$A$1:$C$186,3,0)</f>
        <v>E</v>
      </c>
      <c r="G425" t="s">
        <v>328</v>
      </c>
      <c r="H425" t="str">
        <f t="shared" si="6"/>
        <v>I00 143 0206080604 E</v>
      </c>
      <c r="I425" t="s">
        <v>334</v>
      </c>
    </row>
    <row r="426" spans="1:9" x14ac:dyDescent="0.3">
      <c r="A426" t="s">
        <v>58</v>
      </c>
      <c r="B426" t="s">
        <v>2583</v>
      </c>
      <c r="C426">
        <v>143</v>
      </c>
      <c r="D426" t="s">
        <v>2650</v>
      </c>
      <c r="E426" t="s">
        <v>1642</v>
      </c>
      <c r="F426" t="str">
        <f>VLOOKUP(E426,GACETA!$A$1:$C$186,3,0)</f>
        <v>E</v>
      </c>
      <c r="G426" t="s">
        <v>328</v>
      </c>
      <c r="H426" t="str">
        <f t="shared" si="6"/>
        <v>I00 143 0206080604 E</v>
      </c>
      <c r="I426" t="s">
        <v>1339</v>
      </c>
    </row>
    <row r="427" spans="1:9" x14ac:dyDescent="0.3">
      <c r="A427" t="s">
        <v>58</v>
      </c>
      <c r="B427" t="s">
        <v>2583</v>
      </c>
      <c r="C427">
        <v>143</v>
      </c>
      <c r="D427" t="s">
        <v>2650</v>
      </c>
      <c r="E427" t="s">
        <v>1642</v>
      </c>
      <c r="F427" t="str">
        <f>VLOOKUP(E427,GACETA!$A$1:$C$186,3,0)</f>
        <v>E</v>
      </c>
      <c r="G427" t="s">
        <v>328</v>
      </c>
      <c r="H427" t="str">
        <f t="shared" si="6"/>
        <v>I00 143 0206080604 E</v>
      </c>
      <c r="I427" t="s">
        <v>1340</v>
      </c>
    </row>
    <row r="428" spans="1:9" x14ac:dyDescent="0.3">
      <c r="A428" t="s">
        <v>58</v>
      </c>
      <c r="B428" t="s">
        <v>2583</v>
      </c>
      <c r="C428">
        <v>143</v>
      </c>
      <c r="D428" t="s">
        <v>2650</v>
      </c>
      <c r="E428" t="s">
        <v>1642</v>
      </c>
      <c r="F428" t="str">
        <f>VLOOKUP(E428,GACETA!$A$1:$C$186,3,0)</f>
        <v>E</v>
      </c>
      <c r="G428" t="s">
        <v>328</v>
      </c>
      <c r="H428" t="str">
        <f t="shared" si="6"/>
        <v>I00 143 0206080604 E</v>
      </c>
      <c r="I428" t="s">
        <v>1341</v>
      </c>
    </row>
    <row r="429" spans="1:9" x14ac:dyDescent="0.3">
      <c r="A429" t="s">
        <v>52</v>
      </c>
      <c r="B429" t="s">
        <v>2590</v>
      </c>
      <c r="C429">
        <v>150</v>
      </c>
      <c r="D429" t="s">
        <v>1432</v>
      </c>
      <c r="E429" t="s">
        <v>1511</v>
      </c>
      <c r="F429" t="str">
        <f>VLOOKUP(E429,GACETA!$A$1:$C$186,3,0)</f>
        <v>E</v>
      </c>
      <c r="G429" t="s">
        <v>846</v>
      </c>
      <c r="H429" t="str">
        <f t="shared" si="6"/>
        <v>O00 150 0103030101 E</v>
      </c>
      <c r="I429" t="s">
        <v>1343</v>
      </c>
    </row>
    <row r="430" spans="1:9" x14ac:dyDescent="0.3">
      <c r="A430" t="s">
        <v>52</v>
      </c>
      <c r="B430" t="s">
        <v>2590</v>
      </c>
      <c r="C430">
        <v>150</v>
      </c>
      <c r="D430" t="s">
        <v>1432</v>
      </c>
      <c r="E430" t="s">
        <v>1511</v>
      </c>
      <c r="F430" t="str">
        <f>VLOOKUP(E430,GACETA!$A$1:$C$186,3,0)</f>
        <v>E</v>
      </c>
      <c r="G430" t="s">
        <v>846</v>
      </c>
      <c r="H430" t="str">
        <f t="shared" si="6"/>
        <v>O00 150 0103030101 E</v>
      </c>
      <c r="I430" t="s">
        <v>1345</v>
      </c>
    </row>
    <row r="431" spans="1:9" x14ac:dyDescent="0.3">
      <c r="A431" t="s">
        <v>52</v>
      </c>
      <c r="B431" t="s">
        <v>2590</v>
      </c>
      <c r="C431">
        <v>150</v>
      </c>
      <c r="D431" t="s">
        <v>1432</v>
      </c>
      <c r="E431" t="s">
        <v>1511</v>
      </c>
      <c r="F431" t="str">
        <f>VLOOKUP(E431,GACETA!$A$1:$C$186,3,0)</f>
        <v>E</v>
      </c>
      <c r="G431" t="s">
        <v>846</v>
      </c>
      <c r="H431" t="str">
        <f t="shared" si="6"/>
        <v>O00 150 0103030101 E</v>
      </c>
      <c r="I431" t="s">
        <v>1346</v>
      </c>
    </row>
    <row r="432" spans="1:9" x14ac:dyDescent="0.3">
      <c r="A432" t="s">
        <v>52</v>
      </c>
      <c r="B432" t="s">
        <v>2590</v>
      </c>
      <c r="C432">
        <v>150</v>
      </c>
      <c r="D432" t="s">
        <v>1432</v>
      </c>
      <c r="E432" t="s">
        <v>1607</v>
      </c>
      <c r="F432" t="str">
        <f>VLOOKUP(E432,GACETA!$A$1:$C$186,3,0)</f>
        <v>F</v>
      </c>
      <c r="G432" t="s">
        <v>1433</v>
      </c>
      <c r="H432" t="str">
        <f t="shared" si="6"/>
        <v>O00 150 0204020101 F</v>
      </c>
      <c r="I432" t="s">
        <v>1347</v>
      </c>
    </row>
    <row r="433" spans="1:9" x14ac:dyDescent="0.3">
      <c r="A433" t="s">
        <v>52</v>
      </c>
      <c r="B433" t="s">
        <v>2590</v>
      </c>
      <c r="C433">
        <v>150</v>
      </c>
      <c r="D433" t="s">
        <v>1432</v>
      </c>
      <c r="E433" t="s">
        <v>1607</v>
      </c>
      <c r="F433" t="str">
        <f>VLOOKUP(E433,GACETA!$A$1:$C$186,3,0)</f>
        <v>F</v>
      </c>
      <c r="G433" t="s">
        <v>1433</v>
      </c>
      <c r="H433" t="str">
        <f t="shared" si="6"/>
        <v>O00 150 0204020101 F</v>
      </c>
      <c r="I433" t="s">
        <v>1348</v>
      </c>
    </row>
    <row r="434" spans="1:9" x14ac:dyDescent="0.3">
      <c r="A434" t="s">
        <v>52</v>
      </c>
      <c r="B434" t="s">
        <v>2590</v>
      </c>
      <c r="C434">
        <v>150</v>
      </c>
      <c r="D434" t="s">
        <v>1432</v>
      </c>
      <c r="E434" t="s">
        <v>1607</v>
      </c>
      <c r="F434" t="str">
        <f>VLOOKUP(E434,GACETA!$A$1:$C$186,3,0)</f>
        <v>F</v>
      </c>
      <c r="G434" t="s">
        <v>1433</v>
      </c>
      <c r="H434" t="str">
        <f t="shared" si="6"/>
        <v>O00 150 0204020101 F</v>
      </c>
      <c r="I434" t="s">
        <v>1350</v>
      </c>
    </row>
    <row r="435" spans="1:9" x14ac:dyDescent="0.3">
      <c r="A435" t="s">
        <v>52</v>
      </c>
      <c r="B435" t="s">
        <v>2590</v>
      </c>
      <c r="C435">
        <v>150</v>
      </c>
      <c r="D435" t="s">
        <v>1432</v>
      </c>
      <c r="E435" t="s">
        <v>1607</v>
      </c>
      <c r="F435" t="str">
        <f>VLOOKUP(E435,GACETA!$A$1:$C$186,3,0)</f>
        <v>F</v>
      </c>
      <c r="G435" t="s">
        <v>1433</v>
      </c>
      <c r="H435" t="str">
        <f t="shared" si="6"/>
        <v>O00 150 0204020101 F</v>
      </c>
      <c r="I435" t="s">
        <v>1351</v>
      </c>
    </row>
    <row r="436" spans="1:9" x14ac:dyDescent="0.3">
      <c r="A436" t="s">
        <v>52</v>
      </c>
      <c r="B436" t="s">
        <v>2590</v>
      </c>
      <c r="C436">
        <v>150</v>
      </c>
      <c r="D436" t="s">
        <v>1432</v>
      </c>
      <c r="E436" t="s">
        <v>1607</v>
      </c>
      <c r="F436" t="str">
        <f>VLOOKUP(E436,GACETA!$A$1:$C$186,3,0)</f>
        <v>F</v>
      </c>
      <c r="G436" t="s">
        <v>1433</v>
      </c>
      <c r="H436" t="str">
        <f t="shared" si="6"/>
        <v>O00 150 0204020101 F</v>
      </c>
      <c r="I436" t="s">
        <v>1352</v>
      </c>
    </row>
    <row r="437" spans="1:9" x14ac:dyDescent="0.3">
      <c r="A437" t="s">
        <v>52</v>
      </c>
      <c r="B437" t="s">
        <v>2590</v>
      </c>
      <c r="C437">
        <v>150</v>
      </c>
      <c r="D437" t="s">
        <v>1432</v>
      </c>
      <c r="E437" t="s">
        <v>1607</v>
      </c>
      <c r="F437" t="str">
        <f>VLOOKUP(E437,GACETA!$A$1:$C$186,3,0)</f>
        <v>F</v>
      </c>
      <c r="G437" t="s">
        <v>1433</v>
      </c>
      <c r="H437" t="str">
        <f t="shared" si="6"/>
        <v>O00 150 0204020101 F</v>
      </c>
      <c r="I437" t="s">
        <v>1353</v>
      </c>
    </row>
    <row r="438" spans="1:9" x14ac:dyDescent="0.3">
      <c r="A438" t="s">
        <v>52</v>
      </c>
      <c r="B438" t="s">
        <v>2590</v>
      </c>
      <c r="C438">
        <v>150</v>
      </c>
      <c r="D438" t="s">
        <v>1432</v>
      </c>
      <c r="E438" t="s">
        <v>1607</v>
      </c>
      <c r="F438" t="str">
        <f>VLOOKUP(E438,GACETA!$A$1:$C$186,3,0)</f>
        <v>F</v>
      </c>
      <c r="G438" t="s">
        <v>1433</v>
      </c>
      <c r="H438" t="str">
        <f t="shared" si="6"/>
        <v>O00 150 0204020101 F</v>
      </c>
      <c r="I438" t="s">
        <v>1354</v>
      </c>
    </row>
    <row r="439" spans="1:9" x14ac:dyDescent="0.3">
      <c r="A439" t="s">
        <v>23</v>
      </c>
      <c r="B439" t="s">
        <v>22</v>
      </c>
      <c r="C439">
        <v>101</v>
      </c>
      <c r="D439" t="s">
        <v>2611</v>
      </c>
      <c r="E439" t="s">
        <v>1534</v>
      </c>
      <c r="F439" t="str">
        <f>VLOOKUP(E439,GACETA!$A$1:$C$186,3,0)</f>
        <v>M</v>
      </c>
      <c r="G439" t="s">
        <v>1397</v>
      </c>
      <c r="H439" t="str">
        <f t="shared" si="6"/>
        <v>A00 101 0105020602 M</v>
      </c>
      <c r="I439" s="235"/>
    </row>
    <row r="440" spans="1:9" x14ac:dyDescent="0.3">
      <c r="A440" t="s">
        <v>23</v>
      </c>
      <c r="B440" t="s">
        <v>22</v>
      </c>
      <c r="C440">
        <v>101</v>
      </c>
      <c r="D440" t="s">
        <v>2611</v>
      </c>
      <c r="E440" t="s">
        <v>1534</v>
      </c>
      <c r="F440" t="str">
        <f>VLOOKUP(E440,GACETA!$A$1:$C$186,3,0)</f>
        <v>M</v>
      </c>
      <c r="G440" t="s">
        <v>1397</v>
      </c>
      <c r="H440" t="str">
        <f t="shared" si="6"/>
        <v>A00 101 0105020602 M</v>
      </c>
      <c r="I440" s="235"/>
    </row>
    <row r="441" spans="1:9" x14ac:dyDescent="0.3">
      <c r="A441" t="s">
        <v>23</v>
      </c>
      <c r="B441" t="s">
        <v>22</v>
      </c>
      <c r="C441">
        <v>101</v>
      </c>
      <c r="D441" t="s">
        <v>2611</v>
      </c>
      <c r="E441" t="s">
        <v>1534</v>
      </c>
      <c r="F441" t="str">
        <f>VLOOKUP(E441,GACETA!$A$1:$C$186,3,0)</f>
        <v>M</v>
      </c>
      <c r="G441" t="s">
        <v>1397</v>
      </c>
      <c r="H441" t="str">
        <f t="shared" si="6"/>
        <v>A00 101 0105020602 M</v>
      </c>
      <c r="I441" s="235"/>
    </row>
    <row r="442" spans="1:9" x14ac:dyDescent="0.3">
      <c r="A442" t="s">
        <v>23</v>
      </c>
      <c r="B442" t="s">
        <v>22</v>
      </c>
      <c r="C442">
        <v>101</v>
      </c>
      <c r="D442" t="s">
        <v>2611</v>
      </c>
      <c r="E442" t="s">
        <v>1534</v>
      </c>
      <c r="F442" t="str">
        <f>VLOOKUP(E442,GACETA!$A$1:$C$186,3,0)</f>
        <v>M</v>
      </c>
      <c r="G442" t="s">
        <v>1397</v>
      </c>
      <c r="H442" t="str">
        <f t="shared" si="6"/>
        <v>A00 101 0105020602 M</v>
      </c>
      <c r="I442" s="235"/>
    </row>
    <row r="443" spans="1:9" x14ac:dyDescent="0.3">
      <c r="A443" t="s">
        <v>23</v>
      </c>
      <c r="B443" t="s">
        <v>22</v>
      </c>
      <c r="C443">
        <v>101</v>
      </c>
      <c r="D443" t="s">
        <v>2611</v>
      </c>
      <c r="E443" t="s">
        <v>1538</v>
      </c>
      <c r="F443" t="str">
        <f>VLOOKUP(E443,GACETA!$A$1:$C$186,3,0)</f>
        <v>M</v>
      </c>
      <c r="G443" t="s">
        <v>652</v>
      </c>
      <c r="H443" t="str">
        <f t="shared" si="6"/>
        <v>A00 101 0105020609 M</v>
      </c>
      <c r="I443" s="235"/>
    </row>
    <row r="444" spans="1:9" x14ac:dyDescent="0.3">
      <c r="A444" t="s">
        <v>23</v>
      </c>
      <c r="B444" t="s">
        <v>22</v>
      </c>
      <c r="C444">
        <v>101</v>
      </c>
      <c r="D444" t="s">
        <v>2611</v>
      </c>
      <c r="E444" t="s">
        <v>1538</v>
      </c>
      <c r="F444" t="str">
        <f>VLOOKUP(E444,GACETA!$A$1:$C$186,3,0)</f>
        <v>M</v>
      </c>
      <c r="G444" t="s">
        <v>652</v>
      </c>
      <c r="H444" t="str">
        <f t="shared" si="6"/>
        <v>A00 101 0105020609 M</v>
      </c>
      <c r="I444" s="235"/>
    </row>
    <row r="445" spans="1:9" x14ac:dyDescent="0.3">
      <c r="A445" t="s">
        <v>23</v>
      </c>
      <c r="B445" t="s">
        <v>22</v>
      </c>
      <c r="C445">
        <v>101</v>
      </c>
      <c r="D445" t="s">
        <v>2611</v>
      </c>
      <c r="E445" t="s">
        <v>1538</v>
      </c>
      <c r="F445" t="str">
        <f>VLOOKUP(E445,GACETA!$A$1:$C$186,3,0)</f>
        <v>M</v>
      </c>
      <c r="G445" t="s">
        <v>652</v>
      </c>
      <c r="H445" t="str">
        <f t="shared" si="6"/>
        <v>A00 101 0105020609 M</v>
      </c>
      <c r="I445" s="235"/>
    </row>
    <row r="446" spans="1:9" x14ac:dyDescent="0.3">
      <c r="A446" t="s">
        <v>23</v>
      </c>
      <c r="B446" t="s">
        <v>22</v>
      </c>
      <c r="C446">
        <v>101</v>
      </c>
      <c r="D446" t="s">
        <v>2611</v>
      </c>
      <c r="E446" t="s">
        <v>1529</v>
      </c>
      <c r="F446" t="str">
        <f>VLOOKUP(E446,GACETA!$A$1:$C$186,3,0)</f>
        <v>P</v>
      </c>
      <c r="G446" t="s">
        <v>408</v>
      </c>
      <c r="H446" t="str">
        <f t="shared" si="6"/>
        <v>A00 101 0105020508 P</v>
      </c>
      <c r="I446" t="s">
        <v>1355</v>
      </c>
    </row>
    <row r="447" spans="1:9" x14ac:dyDescent="0.3">
      <c r="A447" t="s">
        <v>23</v>
      </c>
      <c r="B447" t="s">
        <v>22</v>
      </c>
      <c r="C447">
        <v>101</v>
      </c>
      <c r="D447" t="s">
        <v>2611</v>
      </c>
      <c r="E447" t="s">
        <v>1529</v>
      </c>
      <c r="F447" t="str">
        <f>VLOOKUP(E447,GACETA!$A$1:$C$186,3,0)</f>
        <v>P</v>
      </c>
      <c r="G447" t="s">
        <v>408</v>
      </c>
      <c r="H447" t="str">
        <f t="shared" si="6"/>
        <v>A00 101 0105020508 P</v>
      </c>
      <c r="I447" t="s">
        <v>1356</v>
      </c>
    </row>
    <row r="448" spans="1:9" x14ac:dyDescent="0.3">
      <c r="A448" t="s">
        <v>23</v>
      </c>
      <c r="B448" t="s">
        <v>22</v>
      </c>
      <c r="C448">
        <v>101</v>
      </c>
      <c r="D448" t="s">
        <v>2611</v>
      </c>
      <c r="E448" t="s">
        <v>1529</v>
      </c>
      <c r="F448" t="str">
        <f>VLOOKUP(E448,GACETA!$A$1:$C$186,3,0)</f>
        <v>P</v>
      </c>
      <c r="G448" t="s">
        <v>408</v>
      </c>
      <c r="H448" t="str">
        <f t="shared" si="6"/>
        <v>A00 101 0105020508 P</v>
      </c>
      <c r="I448" t="s">
        <v>1357</v>
      </c>
    </row>
    <row r="449" spans="1:9" x14ac:dyDescent="0.3">
      <c r="A449" t="s">
        <v>23</v>
      </c>
      <c r="B449" t="s">
        <v>22</v>
      </c>
      <c r="C449">
        <v>101</v>
      </c>
      <c r="D449" t="s">
        <v>2611</v>
      </c>
      <c r="E449" t="s">
        <v>1529</v>
      </c>
      <c r="F449" t="str">
        <f>VLOOKUP(E449,GACETA!$A$1:$C$186,3,0)</f>
        <v>P</v>
      </c>
      <c r="G449" t="s">
        <v>408</v>
      </c>
      <c r="H449" t="str">
        <f t="shared" si="6"/>
        <v>A00 101 0105020508 P</v>
      </c>
      <c r="I449" t="s">
        <v>1358</v>
      </c>
    </row>
    <row r="450" spans="1:9" x14ac:dyDescent="0.3">
      <c r="A450" t="s">
        <v>23</v>
      </c>
      <c r="B450" t="s">
        <v>22</v>
      </c>
      <c r="C450">
        <v>101</v>
      </c>
      <c r="D450" t="s">
        <v>2611</v>
      </c>
      <c r="E450" t="s">
        <v>1529</v>
      </c>
      <c r="F450" t="str">
        <f>VLOOKUP(E450,GACETA!$A$1:$C$186,3,0)</f>
        <v>P</v>
      </c>
      <c r="G450" t="s">
        <v>408</v>
      </c>
      <c r="H450" t="str">
        <f t="shared" si="6"/>
        <v>A00 101 0105020508 P</v>
      </c>
      <c r="I450" t="s">
        <v>1359</v>
      </c>
    </row>
    <row r="451" spans="1:9" x14ac:dyDescent="0.3">
      <c r="A451" t="s">
        <v>23</v>
      </c>
      <c r="B451" t="s">
        <v>22</v>
      </c>
      <c r="C451">
        <v>122</v>
      </c>
      <c r="D451" t="s">
        <v>2630</v>
      </c>
      <c r="E451" t="s">
        <v>1555</v>
      </c>
      <c r="F451" t="str">
        <f>VLOOKUP(E451,GACETA!$A$1:$C$186,3,0)</f>
        <v>E</v>
      </c>
      <c r="G451" t="s">
        <v>670</v>
      </c>
      <c r="H451" t="str">
        <f t="shared" si="6"/>
        <v>A00 122 0108040101 E</v>
      </c>
      <c r="I451" t="s">
        <v>1360</v>
      </c>
    </row>
    <row r="452" spans="1:9" x14ac:dyDescent="0.3">
      <c r="A452" t="s">
        <v>23</v>
      </c>
      <c r="B452" t="s">
        <v>22</v>
      </c>
      <c r="C452">
        <v>122</v>
      </c>
      <c r="D452" t="s">
        <v>2630</v>
      </c>
      <c r="E452" t="s">
        <v>1555</v>
      </c>
      <c r="F452" t="str">
        <f>VLOOKUP(E452,GACETA!$A$1:$C$186,3,0)</f>
        <v>E</v>
      </c>
      <c r="G452" t="s">
        <v>670</v>
      </c>
      <c r="H452" t="str">
        <f t="shared" si="6"/>
        <v>A00 122 0108040101 E</v>
      </c>
      <c r="I452" t="s">
        <v>1361</v>
      </c>
    </row>
    <row r="453" spans="1:9" x14ac:dyDescent="0.3">
      <c r="A453" t="s">
        <v>23</v>
      </c>
      <c r="B453" t="s">
        <v>22</v>
      </c>
      <c r="C453">
        <v>122</v>
      </c>
      <c r="D453" t="s">
        <v>2630</v>
      </c>
      <c r="E453" t="s">
        <v>1555</v>
      </c>
      <c r="F453" t="str">
        <f>VLOOKUP(E453,GACETA!$A$1:$C$186,3,0)</f>
        <v>E</v>
      </c>
      <c r="G453" t="s">
        <v>670</v>
      </c>
      <c r="H453" t="str">
        <f t="shared" si="6"/>
        <v>A00 122 0108040101 E</v>
      </c>
      <c r="I453" t="s">
        <v>1362</v>
      </c>
    </row>
    <row r="454" spans="1:9" x14ac:dyDescent="0.3">
      <c r="A454" t="s">
        <v>23</v>
      </c>
      <c r="B454" t="s">
        <v>22</v>
      </c>
      <c r="C454">
        <v>122</v>
      </c>
      <c r="D454" t="s">
        <v>2630</v>
      </c>
      <c r="E454" t="s">
        <v>1555</v>
      </c>
      <c r="F454" t="str">
        <f>VLOOKUP(E454,GACETA!$A$1:$C$186,3,0)</f>
        <v>E</v>
      </c>
      <c r="G454" t="s">
        <v>670</v>
      </c>
      <c r="H454" t="str">
        <f t="shared" si="6"/>
        <v>A00 122 0108040101 E</v>
      </c>
      <c r="I454" t="s">
        <v>1363</v>
      </c>
    </row>
    <row r="455" spans="1:9" x14ac:dyDescent="0.3">
      <c r="A455" t="s">
        <v>23</v>
      </c>
      <c r="B455" t="s">
        <v>22</v>
      </c>
      <c r="C455">
        <v>122</v>
      </c>
      <c r="D455" t="s">
        <v>2630</v>
      </c>
      <c r="E455" t="s">
        <v>1555</v>
      </c>
      <c r="F455" t="str">
        <f>VLOOKUP(E455,GACETA!$A$1:$C$186,3,0)</f>
        <v>E</v>
      </c>
      <c r="G455" t="s">
        <v>670</v>
      </c>
      <c r="H455" t="str">
        <f t="shared" ref="H455:H480" si="7">CONCATENATE(A455," ",C455," ",E455," ",F455)</f>
        <v>A00 122 0108040101 E</v>
      </c>
      <c r="I455" t="s">
        <v>1364</v>
      </c>
    </row>
    <row r="456" spans="1:9" x14ac:dyDescent="0.3">
      <c r="A456" t="s">
        <v>23</v>
      </c>
      <c r="B456" t="s">
        <v>22</v>
      </c>
      <c r="C456">
        <v>155</v>
      </c>
      <c r="D456" t="s">
        <v>2661</v>
      </c>
      <c r="E456" t="s">
        <v>1549</v>
      </c>
      <c r="F456" t="str">
        <f>VLOOKUP(E456,GACETA!$A$1:$C$186,3,0)</f>
        <v>E</v>
      </c>
      <c r="G456" t="s">
        <v>486</v>
      </c>
      <c r="H456" t="str">
        <f t="shared" si="7"/>
        <v>A00 155 0108010101 E</v>
      </c>
      <c r="I456" t="s">
        <v>1366</v>
      </c>
    </row>
    <row r="457" spans="1:9" x14ac:dyDescent="0.3">
      <c r="A457" t="s">
        <v>23</v>
      </c>
      <c r="B457" t="s">
        <v>22</v>
      </c>
      <c r="C457">
        <v>155</v>
      </c>
      <c r="D457" t="s">
        <v>2661</v>
      </c>
      <c r="E457" t="s">
        <v>1549</v>
      </c>
      <c r="F457" t="str">
        <f>VLOOKUP(E457,GACETA!$A$1:$C$186,3,0)</f>
        <v>E</v>
      </c>
      <c r="G457" t="s">
        <v>486</v>
      </c>
      <c r="H457" t="str">
        <f t="shared" si="7"/>
        <v>A00 155 0108010101 E</v>
      </c>
      <c r="I457" t="s">
        <v>1367</v>
      </c>
    </row>
    <row r="458" spans="1:9" x14ac:dyDescent="0.3">
      <c r="A458" t="s">
        <v>23</v>
      </c>
      <c r="B458" t="s">
        <v>22</v>
      </c>
      <c r="C458">
        <v>155</v>
      </c>
      <c r="D458" t="s">
        <v>2661</v>
      </c>
      <c r="E458" t="s">
        <v>1549</v>
      </c>
      <c r="F458" t="str">
        <f>VLOOKUP(E458,GACETA!$A$1:$C$186,3,0)</f>
        <v>E</v>
      </c>
      <c r="G458" t="s">
        <v>486</v>
      </c>
      <c r="H458" t="str">
        <f t="shared" si="7"/>
        <v>A00 155 0108010101 E</v>
      </c>
      <c r="I458" t="s">
        <v>1368</v>
      </c>
    </row>
    <row r="459" spans="1:9" x14ac:dyDescent="0.3">
      <c r="A459" t="s">
        <v>23</v>
      </c>
      <c r="B459" t="s">
        <v>22</v>
      </c>
      <c r="C459">
        <v>155</v>
      </c>
      <c r="D459" t="s">
        <v>2661</v>
      </c>
      <c r="E459" t="s">
        <v>1549</v>
      </c>
      <c r="F459" t="str">
        <f>VLOOKUP(E459,GACETA!$A$1:$C$186,3,0)</f>
        <v>E</v>
      </c>
      <c r="G459" t="s">
        <v>486</v>
      </c>
      <c r="H459" t="str">
        <f t="shared" si="7"/>
        <v>A00 155 0108010101 E</v>
      </c>
      <c r="I459" t="s">
        <v>1369</v>
      </c>
    </row>
    <row r="460" spans="1:9" x14ac:dyDescent="0.3">
      <c r="A460" t="s">
        <v>23</v>
      </c>
      <c r="B460" t="s">
        <v>22</v>
      </c>
      <c r="C460">
        <v>100</v>
      </c>
      <c r="D460" t="s">
        <v>2610</v>
      </c>
      <c r="E460" t="s">
        <v>1508</v>
      </c>
      <c r="F460" t="str">
        <f>VLOOKUP(E460,GACETA!$A$1:$C$186,3,0)</f>
        <v>P</v>
      </c>
      <c r="G460" t="s">
        <v>77</v>
      </c>
      <c r="H460" t="str">
        <f t="shared" si="7"/>
        <v>A00 100 0103010101 P</v>
      </c>
      <c r="I460" s="235"/>
    </row>
    <row r="461" spans="1:9" x14ac:dyDescent="0.3">
      <c r="A461" t="s">
        <v>23</v>
      </c>
      <c r="B461" t="s">
        <v>22</v>
      </c>
      <c r="C461">
        <v>100</v>
      </c>
      <c r="D461" t="s">
        <v>2610</v>
      </c>
      <c r="E461" t="s">
        <v>1508</v>
      </c>
      <c r="F461" t="str">
        <f>VLOOKUP(E461,GACETA!$A$1:$C$186,3,0)</f>
        <v>P</v>
      </c>
      <c r="G461" t="s">
        <v>77</v>
      </c>
      <c r="H461" t="str">
        <f t="shared" si="7"/>
        <v>A00 100 0103010101 P</v>
      </c>
      <c r="I461" s="235"/>
    </row>
    <row r="462" spans="1:9" x14ac:dyDescent="0.3">
      <c r="A462" t="s">
        <v>23</v>
      </c>
      <c r="B462" t="s">
        <v>22</v>
      </c>
      <c r="C462">
        <v>100</v>
      </c>
      <c r="D462" t="s">
        <v>2610</v>
      </c>
      <c r="E462" t="s">
        <v>1509</v>
      </c>
      <c r="F462" t="str">
        <f>VLOOKUP(E462,GACETA!$A$1:$C$186,3,0)</f>
        <v>E</v>
      </c>
      <c r="G462" t="s">
        <v>761</v>
      </c>
      <c r="H462" t="str">
        <f t="shared" si="7"/>
        <v>A00 100 0103010103 E</v>
      </c>
      <c r="I462" s="235"/>
    </row>
    <row r="463" spans="1:9" x14ac:dyDescent="0.3">
      <c r="A463" t="s">
        <v>23</v>
      </c>
      <c r="B463" t="s">
        <v>22</v>
      </c>
      <c r="C463">
        <v>100</v>
      </c>
      <c r="D463" t="s">
        <v>2610</v>
      </c>
      <c r="E463" t="s">
        <v>1509</v>
      </c>
      <c r="F463" t="str">
        <f>VLOOKUP(E463,GACETA!$A$1:$C$186,3,0)</f>
        <v>E</v>
      </c>
      <c r="G463" t="s">
        <v>761</v>
      </c>
      <c r="H463" t="str">
        <f t="shared" si="7"/>
        <v>A00 100 0103010103 E</v>
      </c>
      <c r="I463" s="235"/>
    </row>
    <row r="464" spans="1:9" x14ac:dyDescent="0.3">
      <c r="A464" t="s">
        <v>23</v>
      </c>
      <c r="B464" t="s">
        <v>22</v>
      </c>
      <c r="C464">
        <v>137</v>
      </c>
      <c r="D464" t="s">
        <v>2645</v>
      </c>
      <c r="E464" t="s">
        <v>1554</v>
      </c>
      <c r="F464" t="str">
        <f>VLOOKUP(E464,GACETA!$A$1:$C$186,3,0)</f>
        <v>F</v>
      </c>
      <c r="G464" t="s">
        <v>128</v>
      </c>
      <c r="H464" t="str">
        <f t="shared" si="7"/>
        <v>A00 137 0108030103 F</v>
      </c>
      <c r="I464" s="235"/>
    </row>
    <row r="465" spans="1:9" x14ac:dyDescent="0.3">
      <c r="A465" t="s">
        <v>23</v>
      </c>
      <c r="B465" t="s">
        <v>22</v>
      </c>
      <c r="C465">
        <v>100</v>
      </c>
      <c r="D465" t="s">
        <v>2610</v>
      </c>
      <c r="E465" t="s">
        <v>1508</v>
      </c>
      <c r="F465" t="str">
        <f>VLOOKUP(E465,GACETA!$A$1:$C$186,3,0)</f>
        <v>P</v>
      </c>
      <c r="G465" t="s">
        <v>77</v>
      </c>
      <c r="H465" t="str">
        <f t="shared" si="7"/>
        <v>A00 100 0103010101 P</v>
      </c>
      <c r="I465" s="235"/>
    </row>
    <row r="466" spans="1:9" x14ac:dyDescent="0.3">
      <c r="A466" t="s">
        <v>23</v>
      </c>
      <c r="B466" t="s">
        <v>22</v>
      </c>
      <c r="C466">
        <v>100</v>
      </c>
      <c r="D466" t="s">
        <v>2610</v>
      </c>
      <c r="E466" t="s">
        <v>1508</v>
      </c>
      <c r="F466" t="str">
        <f>VLOOKUP(E466,GACETA!$A$1:$C$186,3,0)</f>
        <v>P</v>
      </c>
      <c r="G466" t="s">
        <v>77</v>
      </c>
      <c r="H466" t="str">
        <f t="shared" si="7"/>
        <v>A00 100 0103010101 P</v>
      </c>
      <c r="I466" s="235"/>
    </row>
    <row r="467" spans="1:9" x14ac:dyDescent="0.3">
      <c r="A467" t="s">
        <v>23</v>
      </c>
      <c r="B467" t="s">
        <v>22</v>
      </c>
      <c r="C467">
        <v>100</v>
      </c>
      <c r="D467" t="s">
        <v>2610</v>
      </c>
      <c r="E467" t="s">
        <v>1508</v>
      </c>
      <c r="F467" t="str">
        <f>VLOOKUP(E467,GACETA!$A$1:$C$186,3,0)</f>
        <v>P</v>
      </c>
      <c r="G467" t="s">
        <v>77</v>
      </c>
      <c r="H467" t="str">
        <f t="shared" si="7"/>
        <v>A00 100 0103010101 P</v>
      </c>
      <c r="I467" s="235"/>
    </row>
    <row r="468" spans="1:9" x14ac:dyDescent="0.3">
      <c r="A468" t="s">
        <v>23</v>
      </c>
      <c r="B468" t="s">
        <v>22</v>
      </c>
      <c r="C468">
        <v>100</v>
      </c>
      <c r="D468" t="s">
        <v>2610</v>
      </c>
      <c r="E468" t="s">
        <v>1509</v>
      </c>
      <c r="F468" t="str">
        <f>VLOOKUP(E468,GACETA!$A$1:$C$186,3,0)</f>
        <v>E</v>
      </c>
      <c r="G468" t="s">
        <v>761</v>
      </c>
      <c r="H468" t="str">
        <f t="shared" si="7"/>
        <v>A00 100 0103010103 E</v>
      </c>
      <c r="I468" s="235"/>
    </row>
    <row r="469" spans="1:9" x14ac:dyDescent="0.3">
      <c r="A469" t="s">
        <v>23</v>
      </c>
      <c r="B469" t="s">
        <v>22</v>
      </c>
      <c r="C469">
        <v>100</v>
      </c>
      <c r="D469" t="s">
        <v>2610</v>
      </c>
      <c r="E469" t="s">
        <v>1509</v>
      </c>
      <c r="F469" t="str">
        <f>VLOOKUP(E469,GACETA!$A$1:$C$186,3,0)</f>
        <v>E</v>
      </c>
      <c r="G469" t="s">
        <v>761</v>
      </c>
      <c r="H469" t="str">
        <f t="shared" si="7"/>
        <v>A00 100 0103010103 E</v>
      </c>
      <c r="I469" s="235"/>
    </row>
    <row r="470" spans="1:9" x14ac:dyDescent="0.3">
      <c r="A470" t="s">
        <v>23</v>
      </c>
      <c r="B470" t="s">
        <v>22</v>
      </c>
      <c r="C470">
        <v>100</v>
      </c>
      <c r="D470" t="s">
        <v>2610</v>
      </c>
      <c r="E470" t="s">
        <v>1509</v>
      </c>
      <c r="F470" t="str">
        <f>VLOOKUP(E470,GACETA!$A$1:$C$186,3,0)</f>
        <v>E</v>
      </c>
      <c r="G470" t="s">
        <v>761</v>
      </c>
      <c r="H470" t="str">
        <f t="shared" si="7"/>
        <v>A00 100 0103010103 E</v>
      </c>
      <c r="I470" s="235"/>
    </row>
    <row r="471" spans="1:9" x14ac:dyDescent="0.3">
      <c r="A471" t="s">
        <v>23</v>
      </c>
      <c r="B471" t="s">
        <v>22</v>
      </c>
      <c r="C471">
        <v>100</v>
      </c>
      <c r="D471" t="s">
        <v>2610</v>
      </c>
      <c r="E471" t="s">
        <v>1509</v>
      </c>
      <c r="F471" t="str">
        <f>VLOOKUP(E471,GACETA!$A$1:$C$186,3,0)</f>
        <v>E</v>
      </c>
      <c r="G471" t="s">
        <v>761</v>
      </c>
      <c r="H471" t="str">
        <f t="shared" si="7"/>
        <v>A00 100 0103010103 E</v>
      </c>
      <c r="I471" s="235"/>
    </row>
    <row r="472" spans="1:9" x14ac:dyDescent="0.3">
      <c r="A472" t="s">
        <v>23</v>
      </c>
      <c r="B472" t="s">
        <v>22</v>
      </c>
      <c r="C472">
        <v>169</v>
      </c>
      <c r="D472" t="s">
        <v>2674</v>
      </c>
      <c r="E472" t="s">
        <v>1585</v>
      </c>
      <c r="F472" t="str">
        <f>VLOOKUP(E472,GACETA!$A$1:$C$186,3,0)</f>
        <v>S</v>
      </c>
      <c r="G472" t="s">
        <v>336</v>
      </c>
      <c r="H472" t="str">
        <f t="shared" si="7"/>
        <v>A00 169 0202020101 S</v>
      </c>
      <c r="I472" s="235"/>
    </row>
    <row r="473" spans="1:9" x14ac:dyDescent="0.3">
      <c r="A473" t="s">
        <v>42</v>
      </c>
      <c r="B473" t="s">
        <v>43</v>
      </c>
      <c r="C473">
        <v>102</v>
      </c>
      <c r="D473" t="s">
        <v>43</v>
      </c>
      <c r="E473" t="s">
        <v>1506</v>
      </c>
      <c r="F473" t="str">
        <f>VLOOKUP(E473,GACETA!$A$1:$C$186,3,0)</f>
        <v>E</v>
      </c>
      <c r="G473" t="s">
        <v>151</v>
      </c>
      <c r="H473" t="str">
        <f t="shared" si="7"/>
        <v>A02 102 0102040102 E</v>
      </c>
      <c r="I473" t="s">
        <v>1373</v>
      </c>
    </row>
    <row r="474" spans="1:9" x14ac:dyDescent="0.3">
      <c r="A474" t="s">
        <v>42</v>
      </c>
      <c r="B474" t="s">
        <v>43</v>
      </c>
      <c r="C474">
        <v>102</v>
      </c>
      <c r="D474" t="s">
        <v>43</v>
      </c>
      <c r="E474" t="s">
        <v>1506</v>
      </c>
      <c r="F474" t="str">
        <f>VLOOKUP(E474,GACETA!$A$1:$C$186,3,0)</f>
        <v>E</v>
      </c>
      <c r="G474" t="s">
        <v>151</v>
      </c>
      <c r="H474" t="str">
        <f t="shared" si="7"/>
        <v>A02 102 0102040102 E</v>
      </c>
      <c r="I474" t="s">
        <v>1374</v>
      </c>
    </row>
    <row r="475" spans="1:9" x14ac:dyDescent="0.3">
      <c r="A475" t="s">
        <v>42</v>
      </c>
      <c r="B475" t="s">
        <v>43</v>
      </c>
      <c r="C475">
        <v>102</v>
      </c>
      <c r="D475" t="s">
        <v>43</v>
      </c>
      <c r="E475" t="s">
        <v>1506</v>
      </c>
      <c r="F475" t="str">
        <f>VLOOKUP(E475,GACETA!$A$1:$C$186,3,0)</f>
        <v>E</v>
      </c>
      <c r="G475" t="s">
        <v>151</v>
      </c>
      <c r="H475" t="str">
        <f t="shared" si="7"/>
        <v>A02 102 0102040102 E</v>
      </c>
      <c r="I475" t="s">
        <v>1375</v>
      </c>
    </row>
    <row r="476" spans="1:9" x14ac:dyDescent="0.3">
      <c r="A476" t="s">
        <v>42</v>
      </c>
      <c r="B476" t="s">
        <v>43</v>
      </c>
      <c r="C476">
        <v>102</v>
      </c>
      <c r="D476" t="s">
        <v>43</v>
      </c>
      <c r="E476" t="s">
        <v>1506</v>
      </c>
      <c r="F476" t="str">
        <f>VLOOKUP(E476,GACETA!$A$1:$C$186,3,0)</f>
        <v>E</v>
      </c>
      <c r="G476" t="s">
        <v>151</v>
      </c>
      <c r="H476" t="str">
        <f t="shared" si="7"/>
        <v>A02 102 0102040102 E</v>
      </c>
      <c r="I476" t="s">
        <v>1376</v>
      </c>
    </row>
    <row r="477" spans="1:9" x14ac:dyDescent="0.3">
      <c r="A477" t="s">
        <v>42</v>
      </c>
      <c r="B477" t="s">
        <v>43</v>
      </c>
      <c r="C477">
        <v>102</v>
      </c>
      <c r="D477" t="s">
        <v>43</v>
      </c>
      <c r="E477" t="s">
        <v>1507</v>
      </c>
      <c r="F477" t="str">
        <f>VLOOKUP(E477,GACETA!$A$1:$C$186,3,0)</f>
        <v>E</v>
      </c>
      <c r="G477" t="s">
        <v>1372</v>
      </c>
      <c r="H477" t="str">
        <f t="shared" si="7"/>
        <v>A02 102 0102040103 E</v>
      </c>
      <c r="I477" t="s">
        <v>1377</v>
      </c>
    </row>
    <row r="478" spans="1:9" x14ac:dyDescent="0.3">
      <c r="A478" t="s">
        <v>42</v>
      </c>
      <c r="B478" t="s">
        <v>43</v>
      </c>
      <c r="C478">
        <v>102</v>
      </c>
      <c r="D478" t="s">
        <v>43</v>
      </c>
      <c r="E478" t="s">
        <v>1507</v>
      </c>
      <c r="F478" t="str">
        <f>VLOOKUP(E478,GACETA!$A$1:$C$186,3,0)</f>
        <v>E</v>
      </c>
      <c r="G478" t="s">
        <v>1372</v>
      </c>
      <c r="H478" t="str">
        <f t="shared" si="7"/>
        <v>A02 102 0102040103 E</v>
      </c>
      <c r="I478" t="s">
        <v>1378</v>
      </c>
    </row>
    <row r="479" spans="1:9" x14ac:dyDescent="0.3">
      <c r="A479" t="s">
        <v>42</v>
      </c>
      <c r="B479" t="s">
        <v>43</v>
      </c>
      <c r="C479">
        <v>102</v>
      </c>
      <c r="D479" t="s">
        <v>43</v>
      </c>
      <c r="E479" t="s">
        <v>1507</v>
      </c>
      <c r="F479" t="str">
        <f>VLOOKUP(E479,GACETA!$A$1:$C$186,3,0)</f>
        <v>E</v>
      </c>
      <c r="G479" t="s">
        <v>1372</v>
      </c>
      <c r="H479" t="str">
        <f t="shared" si="7"/>
        <v>A02 102 0102040103 E</v>
      </c>
      <c r="I479" t="s">
        <v>1379</v>
      </c>
    </row>
    <row r="480" spans="1:9" x14ac:dyDescent="0.3">
      <c r="A480" t="s">
        <v>42</v>
      </c>
      <c r="B480" t="s">
        <v>43</v>
      </c>
      <c r="C480">
        <v>102</v>
      </c>
      <c r="D480" t="s">
        <v>43</v>
      </c>
      <c r="E480" t="s">
        <v>1507</v>
      </c>
      <c r="F480" t="str">
        <f>VLOOKUP(E480,GACETA!$A$1:$C$186,3,0)</f>
        <v>E</v>
      </c>
      <c r="G480" t="s">
        <v>1372</v>
      </c>
      <c r="H480" t="str">
        <f t="shared" si="7"/>
        <v>A02 102 0102040103 E</v>
      </c>
      <c r="I480" t="s">
        <v>1380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0FE2-5625-44DB-8941-2B8FB926B481}">
  <sheetPr filterMode="1"/>
  <dimension ref="A1:I37"/>
  <sheetViews>
    <sheetView topLeftCell="A16" zoomScale="130" zoomScaleNormal="130" workbookViewId="0">
      <selection activeCell="C1" sqref="C1"/>
    </sheetView>
  </sheetViews>
  <sheetFormatPr baseColWidth="10" defaultRowHeight="14.4" x14ac:dyDescent="0.3"/>
  <cols>
    <col min="1" max="1" width="7.5546875" bestFit="1" customWidth="1"/>
    <col min="2" max="2" width="46" bestFit="1" customWidth="1"/>
    <col min="3" max="3" width="10.88671875" bestFit="1" customWidth="1"/>
    <col min="4" max="4" width="44.21875" bestFit="1" customWidth="1"/>
    <col min="5" max="5" width="14.21875" bestFit="1" customWidth="1"/>
    <col min="6" max="6" width="9.21875" bestFit="1" customWidth="1"/>
    <col min="7" max="7" width="116.109375" bestFit="1" customWidth="1"/>
    <col min="8" max="8" width="20.6640625" bestFit="1" customWidth="1"/>
    <col min="9" max="9" width="212.44140625" bestFit="1" customWidth="1"/>
  </cols>
  <sheetData>
    <row r="1" spans="1:9" x14ac:dyDescent="0.3">
      <c r="A1" t="s">
        <v>2761</v>
      </c>
      <c r="B1" t="s">
        <v>2762</v>
      </c>
      <c r="C1" t="s">
        <v>2763</v>
      </c>
      <c r="D1" t="s">
        <v>2764</v>
      </c>
      <c r="E1" t="s">
        <v>2765</v>
      </c>
      <c r="F1" t="s">
        <v>1692</v>
      </c>
      <c r="G1" t="s">
        <v>1691</v>
      </c>
      <c r="H1" t="s">
        <v>2766</v>
      </c>
      <c r="I1" t="s">
        <v>2767</v>
      </c>
    </row>
    <row r="2" spans="1:9" x14ac:dyDescent="0.3">
      <c r="A2" t="s">
        <v>23</v>
      </c>
      <c r="B2" t="s">
        <v>22</v>
      </c>
      <c r="C2">
        <v>100</v>
      </c>
      <c r="D2" t="s">
        <v>2610</v>
      </c>
      <c r="E2" t="s">
        <v>1508</v>
      </c>
      <c r="F2" t="s">
        <v>1385</v>
      </c>
      <c r="G2" t="s">
        <v>77</v>
      </c>
      <c r="H2" t="s">
        <v>2727</v>
      </c>
      <c r="I2" s="235"/>
    </row>
    <row r="3" spans="1:9" x14ac:dyDescent="0.3">
      <c r="A3" t="s">
        <v>42</v>
      </c>
      <c r="B3" t="s">
        <v>43</v>
      </c>
      <c r="C3">
        <v>102</v>
      </c>
      <c r="D3" t="s">
        <v>43</v>
      </c>
      <c r="E3" t="s">
        <v>1506</v>
      </c>
      <c r="F3" t="s">
        <v>1384</v>
      </c>
      <c r="G3" t="s">
        <v>151</v>
      </c>
      <c r="H3" t="s">
        <v>2726</v>
      </c>
      <c r="I3" t="s">
        <v>1373</v>
      </c>
    </row>
    <row r="4" spans="1:9" x14ac:dyDescent="0.3">
      <c r="A4" t="s">
        <v>51</v>
      </c>
      <c r="B4" t="s">
        <v>2585</v>
      </c>
      <c r="C4">
        <v>102</v>
      </c>
      <c r="D4" t="s">
        <v>43</v>
      </c>
      <c r="E4" t="s">
        <v>1506</v>
      </c>
      <c r="F4" t="s">
        <v>1384</v>
      </c>
      <c r="G4" t="s">
        <v>151</v>
      </c>
      <c r="H4" t="s">
        <v>2736</v>
      </c>
      <c r="I4" t="s">
        <v>1190</v>
      </c>
    </row>
    <row r="5" spans="1:9" x14ac:dyDescent="0.3">
      <c r="A5" t="s">
        <v>41</v>
      </c>
      <c r="B5" t="s">
        <v>2554</v>
      </c>
      <c r="C5">
        <v>103</v>
      </c>
      <c r="D5" t="s">
        <v>2554</v>
      </c>
      <c r="E5" t="s">
        <v>1554</v>
      </c>
      <c r="F5" t="s">
        <v>1403</v>
      </c>
      <c r="G5" t="s">
        <v>128</v>
      </c>
      <c r="H5" t="s">
        <v>2741</v>
      </c>
      <c r="I5" t="s">
        <v>1016</v>
      </c>
    </row>
    <row r="6" spans="1:9" x14ac:dyDescent="0.3">
      <c r="A6" t="s">
        <v>48</v>
      </c>
      <c r="B6" t="s">
        <v>2593</v>
      </c>
      <c r="C6">
        <v>104</v>
      </c>
      <c r="D6" t="s">
        <v>2612</v>
      </c>
      <c r="E6" t="s">
        <v>1539</v>
      </c>
      <c r="F6" t="s">
        <v>1384</v>
      </c>
      <c r="G6" t="s">
        <v>592</v>
      </c>
      <c r="H6" t="s">
        <v>2730</v>
      </c>
      <c r="I6" t="s">
        <v>591</v>
      </c>
    </row>
    <row r="7" spans="1:9" x14ac:dyDescent="0.3">
      <c r="A7" t="s">
        <v>53</v>
      </c>
      <c r="B7" t="s">
        <v>2598</v>
      </c>
      <c r="C7">
        <v>105</v>
      </c>
      <c r="D7" t="s">
        <v>2613</v>
      </c>
      <c r="E7" t="s">
        <v>1542</v>
      </c>
      <c r="F7" t="s">
        <v>1384</v>
      </c>
      <c r="G7" t="s">
        <v>840</v>
      </c>
      <c r="H7" t="s">
        <v>2732</v>
      </c>
      <c r="I7" t="s">
        <v>1302</v>
      </c>
    </row>
    <row r="8" spans="1:9" x14ac:dyDescent="0.3">
      <c r="A8" t="s">
        <v>45</v>
      </c>
      <c r="B8" t="s">
        <v>9</v>
      </c>
      <c r="C8">
        <v>108</v>
      </c>
      <c r="D8" t="s">
        <v>2616</v>
      </c>
      <c r="E8" t="s">
        <v>1521</v>
      </c>
      <c r="F8" t="s">
        <v>1390</v>
      </c>
      <c r="G8" t="s">
        <v>1496</v>
      </c>
      <c r="H8" t="s">
        <v>2760</v>
      </c>
      <c r="I8" t="s">
        <v>114</v>
      </c>
    </row>
    <row r="9" spans="1:9" x14ac:dyDescent="0.3">
      <c r="A9" t="s">
        <v>25</v>
      </c>
      <c r="B9" t="s">
        <v>26</v>
      </c>
      <c r="C9">
        <v>110</v>
      </c>
      <c r="D9" t="s">
        <v>2618</v>
      </c>
      <c r="E9" t="s">
        <v>1586</v>
      </c>
      <c r="F9" t="s">
        <v>1391</v>
      </c>
      <c r="G9" t="s">
        <v>1416</v>
      </c>
      <c r="H9" t="s">
        <v>2759</v>
      </c>
      <c r="I9" t="s">
        <v>976</v>
      </c>
    </row>
    <row r="10" spans="1:9" x14ac:dyDescent="0.3">
      <c r="A10" t="s">
        <v>28</v>
      </c>
      <c r="B10" t="s">
        <v>27</v>
      </c>
      <c r="C10">
        <v>110</v>
      </c>
      <c r="D10" t="s">
        <v>2618</v>
      </c>
      <c r="E10" t="s">
        <v>1586</v>
      </c>
      <c r="F10" t="s">
        <v>1391</v>
      </c>
      <c r="G10" t="s">
        <v>1416</v>
      </c>
      <c r="H10" t="s">
        <v>2758</v>
      </c>
      <c r="I10" t="s">
        <v>977</v>
      </c>
    </row>
    <row r="11" spans="1:9" x14ac:dyDescent="0.3">
      <c r="A11" t="s">
        <v>29</v>
      </c>
      <c r="B11" t="s">
        <v>2559</v>
      </c>
      <c r="C11">
        <v>110</v>
      </c>
      <c r="D11" t="s">
        <v>2618</v>
      </c>
      <c r="E11" t="s">
        <v>1586</v>
      </c>
      <c r="F11" t="s">
        <v>1391</v>
      </c>
      <c r="G11" t="s">
        <v>1416</v>
      </c>
      <c r="H11" t="s">
        <v>2757</v>
      </c>
      <c r="I11" t="s">
        <v>976</v>
      </c>
    </row>
    <row r="12" spans="1:9" x14ac:dyDescent="0.3">
      <c r="A12" t="s">
        <v>30</v>
      </c>
      <c r="B12" t="s">
        <v>2560</v>
      </c>
      <c r="C12">
        <v>110</v>
      </c>
      <c r="D12" t="s">
        <v>2618</v>
      </c>
      <c r="E12" t="s">
        <v>1586</v>
      </c>
      <c r="F12" t="s">
        <v>1391</v>
      </c>
      <c r="G12" t="s">
        <v>1416</v>
      </c>
      <c r="H12" t="s">
        <v>2756</v>
      </c>
      <c r="I12" t="s">
        <v>976</v>
      </c>
    </row>
    <row r="13" spans="1:9" x14ac:dyDescent="0.3">
      <c r="A13" t="s">
        <v>31</v>
      </c>
      <c r="B13" t="s">
        <v>2561</v>
      </c>
      <c r="C13">
        <v>110</v>
      </c>
      <c r="D13" t="s">
        <v>2618</v>
      </c>
      <c r="E13" t="s">
        <v>1586</v>
      </c>
      <c r="F13" t="s">
        <v>1391</v>
      </c>
      <c r="G13" t="s">
        <v>1416</v>
      </c>
      <c r="H13" t="s">
        <v>2755</v>
      </c>
      <c r="I13" t="s">
        <v>976</v>
      </c>
    </row>
    <row r="14" spans="1:9" x14ac:dyDescent="0.3">
      <c r="A14" t="s">
        <v>32</v>
      </c>
      <c r="B14" t="s">
        <v>2562</v>
      </c>
      <c r="C14">
        <v>110</v>
      </c>
      <c r="D14" t="s">
        <v>2618</v>
      </c>
      <c r="E14" t="s">
        <v>1586</v>
      </c>
      <c r="F14" t="s">
        <v>1391</v>
      </c>
      <c r="G14" t="s">
        <v>1416</v>
      </c>
      <c r="H14" t="s">
        <v>2754</v>
      </c>
      <c r="I14" t="s">
        <v>976</v>
      </c>
    </row>
    <row r="15" spans="1:9" x14ac:dyDescent="0.3">
      <c r="A15" t="s">
        <v>33</v>
      </c>
      <c r="B15" t="s">
        <v>2563</v>
      </c>
      <c r="C15">
        <v>110</v>
      </c>
      <c r="D15" t="s">
        <v>2618</v>
      </c>
      <c r="E15" t="s">
        <v>1586</v>
      </c>
      <c r="F15" t="s">
        <v>1391</v>
      </c>
      <c r="G15" t="s">
        <v>1416</v>
      </c>
      <c r="H15" t="s">
        <v>2753</v>
      </c>
      <c r="I15" t="s">
        <v>976</v>
      </c>
    </row>
    <row r="16" spans="1:9" x14ac:dyDescent="0.3">
      <c r="A16" t="s">
        <v>34</v>
      </c>
      <c r="B16" t="s">
        <v>2564</v>
      </c>
      <c r="C16">
        <v>110</v>
      </c>
      <c r="D16" t="s">
        <v>2618</v>
      </c>
      <c r="E16" t="s">
        <v>1586</v>
      </c>
      <c r="F16" t="s">
        <v>1391</v>
      </c>
      <c r="G16" t="s">
        <v>1416</v>
      </c>
      <c r="H16" t="s">
        <v>2752</v>
      </c>
      <c r="I16" t="s">
        <v>976</v>
      </c>
    </row>
    <row r="17" spans="1:9" x14ac:dyDescent="0.3">
      <c r="A17" t="s">
        <v>35</v>
      </c>
      <c r="B17" t="s">
        <v>2565</v>
      </c>
      <c r="C17">
        <v>110</v>
      </c>
      <c r="D17" t="s">
        <v>2618</v>
      </c>
      <c r="E17" t="s">
        <v>1586</v>
      </c>
      <c r="F17" t="s">
        <v>1391</v>
      </c>
      <c r="G17" t="s">
        <v>1416</v>
      </c>
      <c r="H17" t="s">
        <v>2751</v>
      </c>
      <c r="I17" t="s">
        <v>976</v>
      </c>
    </row>
    <row r="18" spans="1:9" x14ac:dyDescent="0.3">
      <c r="A18" t="s">
        <v>36</v>
      </c>
      <c r="B18" t="s">
        <v>2566</v>
      </c>
      <c r="C18">
        <v>110</v>
      </c>
      <c r="D18" t="s">
        <v>2618</v>
      </c>
      <c r="E18" t="s">
        <v>1586</v>
      </c>
      <c r="F18" t="s">
        <v>1391</v>
      </c>
      <c r="G18" t="s">
        <v>1416</v>
      </c>
      <c r="H18" t="s">
        <v>2750</v>
      </c>
      <c r="I18" t="s">
        <v>976</v>
      </c>
    </row>
    <row r="19" spans="1:9" x14ac:dyDescent="0.3">
      <c r="A19" t="s">
        <v>37</v>
      </c>
      <c r="B19" t="s">
        <v>2567</v>
      </c>
      <c r="C19">
        <v>110</v>
      </c>
      <c r="D19" t="s">
        <v>2618</v>
      </c>
      <c r="E19" t="s">
        <v>1586</v>
      </c>
      <c r="F19" t="s">
        <v>1391</v>
      </c>
      <c r="G19" t="s">
        <v>1416</v>
      </c>
      <c r="H19" t="s">
        <v>2747</v>
      </c>
      <c r="I19" t="s">
        <v>976</v>
      </c>
    </row>
    <row r="20" spans="1:9" x14ac:dyDescent="0.3">
      <c r="A20" t="s">
        <v>38</v>
      </c>
      <c r="B20" t="s">
        <v>2568</v>
      </c>
      <c r="C20">
        <v>110</v>
      </c>
      <c r="D20" t="s">
        <v>2618</v>
      </c>
      <c r="E20" t="s">
        <v>1586</v>
      </c>
      <c r="F20" t="s">
        <v>1391</v>
      </c>
      <c r="G20" t="s">
        <v>1416</v>
      </c>
      <c r="H20" t="s">
        <v>2749</v>
      </c>
      <c r="I20" t="s">
        <v>976</v>
      </c>
    </row>
    <row r="21" spans="1:9" x14ac:dyDescent="0.3">
      <c r="A21" t="s">
        <v>39</v>
      </c>
      <c r="B21" t="s">
        <v>2569</v>
      </c>
      <c r="C21">
        <v>110</v>
      </c>
      <c r="D21" t="s">
        <v>2618</v>
      </c>
      <c r="E21" t="s">
        <v>1586</v>
      </c>
      <c r="F21" t="s">
        <v>1391</v>
      </c>
      <c r="G21" t="s">
        <v>1416</v>
      </c>
      <c r="H21" t="s">
        <v>2748</v>
      </c>
      <c r="I21" t="s">
        <v>976</v>
      </c>
    </row>
    <row r="22" spans="1:9" x14ac:dyDescent="0.3">
      <c r="A22" t="s">
        <v>40</v>
      </c>
      <c r="B22" t="s">
        <v>2570</v>
      </c>
      <c r="C22">
        <v>110</v>
      </c>
      <c r="D22" t="s">
        <v>2618</v>
      </c>
      <c r="E22" t="s">
        <v>1586</v>
      </c>
      <c r="F22" t="s">
        <v>1391</v>
      </c>
      <c r="G22" t="s">
        <v>1416</v>
      </c>
      <c r="H22" t="s">
        <v>2746</v>
      </c>
      <c r="I22" t="s">
        <v>976</v>
      </c>
    </row>
    <row r="23" spans="1:9" x14ac:dyDescent="0.3">
      <c r="A23" t="s">
        <v>50</v>
      </c>
      <c r="B23" t="s">
        <v>2584</v>
      </c>
      <c r="C23">
        <v>112</v>
      </c>
      <c r="D23" t="s">
        <v>2620</v>
      </c>
      <c r="E23" t="s">
        <v>1585</v>
      </c>
      <c r="F23" t="s">
        <v>1415</v>
      </c>
      <c r="G23" t="s">
        <v>336</v>
      </c>
      <c r="H23" t="s">
        <v>2742</v>
      </c>
      <c r="I23" t="s">
        <v>996</v>
      </c>
    </row>
    <row r="24" spans="1:9" x14ac:dyDescent="0.3">
      <c r="A24" t="s">
        <v>56</v>
      </c>
      <c r="B24" t="s">
        <v>2587</v>
      </c>
      <c r="C24">
        <v>112</v>
      </c>
      <c r="D24" t="s">
        <v>2620</v>
      </c>
      <c r="E24" t="s">
        <v>1549</v>
      </c>
      <c r="F24" t="s">
        <v>1384</v>
      </c>
      <c r="G24" t="s">
        <v>486</v>
      </c>
      <c r="H24" t="s">
        <v>2734</v>
      </c>
      <c r="I24" t="s">
        <v>1270</v>
      </c>
    </row>
    <row r="25" spans="1:9" x14ac:dyDescent="0.3">
      <c r="A25" t="s">
        <v>60</v>
      </c>
      <c r="B25" t="s">
        <v>2571</v>
      </c>
      <c r="C25">
        <v>114</v>
      </c>
      <c r="D25" t="s">
        <v>2622</v>
      </c>
      <c r="E25" t="s">
        <v>1536</v>
      </c>
      <c r="F25" t="s">
        <v>1391</v>
      </c>
      <c r="G25" t="s">
        <v>106</v>
      </c>
      <c r="H25" t="s">
        <v>2743</v>
      </c>
      <c r="I25" t="s">
        <v>458</v>
      </c>
    </row>
    <row r="26" spans="1:9" x14ac:dyDescent="0.3">
      <c r="A26" t="s">
        <v>46</v>
      </c>
      <c r="B26" t="s">
        <v>2586</v>
      </c>
      <c r="C26">
        <v>115</v>
      </c>
      <c r="D26" t="s">
        <v>2623</v>
      </c>
      <c r="E26" t="s">
        <v>1524</v>
      </c>
      <c r="F26" t="s">
        <v>1384</v>
      </c>
      <c r="G26" t="s">
        <v>375</v>
      </c>
      <c r="H26" t="s">
        <v>2745</v>
      </c>
      <c r="I26" t="s">
        <v>1038</v>
      </c>
    </row>
    <row r="27" spans="1:9" x14ac:dyDescent="0.3">
      <c r="A27" t="s">
        <v>61</v>
      </c>
      <c r="B27" t="s">
        <v>711</v>
      </c>
      <c r="C27">
        <v>123</v>
      </c>
      <c r="D27" t="s">
        <v>2631</v>
      </c>
      <c r="E27" t="s">
        <v>1517</v>
      </c>
      <c r="F27" t="s">
        <v>1385</v>
      </c>
      <c r="G27" t="s">
        <v>183</v>
      </c>
      <c r="H27" t="s">
        <v>2739</v>
      </c>
      <c r="I27" t="s">
        <v>1064</v>
      </c>
    </row>
    <row r="28" spans="1:9" x14ac:dyDescent="0.3">
      <c r="A28" t="s">
        <v>2604</v>
      </c>
      <c r="B28" t="s">
        <v>712</v>
      </c>
      <c r="C28">
        <v>124</v>
      </c>
      <c r="D28" t="s">
        <v>2632</v>
      </c>
      <c r="E28" t="s">
        <v>1532</v>
      </c>
      <c r="F28" t="s">
        <v>1388</v>
      </c>
      <c r="G28" t="s">
        <v>2768</v>
      </c>
      <c r="H28" t="s">
        <v>2769</v>
      </c>
      <c r="I28" s="235"/>
    </row>
    <row r="29" spans="1:9" x14ac:dyDescent="0.3">
      <c r="A29" t="s">
        <v>49</v>
      </c>
      <c r="B29" t="s">
        <v>2580</v>
      </c>
      <c r="C29">
        <v>125</v>
      </c>
      <c r="D29" t="s">
        <v>2633</v>
      </c>
      <c r="E29" t="s">
        <v>1557</v>
      </c>
      <c r="F29" t="s">
        <v>1405</v>
      </c>
      <c r="G29" t="s">
        <v>281</v>
      </c>
      <c r="H29" t="s">
        <v>2731</v>
      </c>
      <c r="I29" s="235"/>
    </row>
    <row r="30" spans="1:9" x14ac:dyDescent="0.3">
      <c r="A30" t="s">
        <v>62</v>
      </c>
      <c r="B30" t="s">
        <v>1425</v>
      </c>
      <c r="C30">
        <v>129</v>
      </c>
      <c r="D30" t="s">
        <v>2637</v>
      </c>
      <c r="E30" t="s">
        <v>1571</v>
      </c>
      <c r="F30" t="s">
        <v>1384</v>
      </c>
      <c r="G30" t="s">
        <v>965</v>
      </c>
      <c r="H30" t="s">
        <v>2729</v>
      </c>
      <c r="I30" t="s">
        <v>1158</v>
      </c>
    </row>
    <row r="31" spans="1:9" x14ac:dyDescent="0.3">
      <c r="A31" t="s">
        <v>54</v>
      </c>
      <c r="B31" t="s">
        <v>63</v>
      </c>
      <c r="C31">
        <v>131</v>
      </c>
      <c r="D31" t="s">
        <v>2639</v>
      </c>
      <c r="E31" t="s">
        <v>1673</v>
      </c>
      <c r="F31" t="s">
        <v>1403</v>
      </c>
      <c r="G31" t="s">
        <v>1479</v>
      </c>
      <c r="H31" t="s">
        <v>2740</v>
      </c>
      <c r="I31" t="s">
        <v>1027</v>
      </c>
    </row>
    <row r="32" spans="1:9" x14ac:dyDescent="0.3">
      <c r="A32" t="s">
        <v>47</v>
      </c>
      <c r="B32" t="s">
        <v>961</v>
      </c>
      <c r="C32">
        <v>134</v>
      </c>
      <c r="D32" t="s">
        <v>2642</v>
      </c>
      <c r="E32" t="s">
        <v>1512</v>
      </c>
      <c r="F32" t="s">
        <v>1388</v>
      </c>
      <c r="G32" t="s">
        <v>1387</v>
      </c>
      <c r="H32" t="s">
        <v>2744</v>
      </c>
      <c r="I32" t="s">
        <v>982</v>
      </c>
    </row>
    <row r="33" spans="1:9" x14ac:dyDescent="0.3">
      <c r="A33" t="s">
        <v>52</v>
      </c>
      <c r="B33" t="s">
        <v>2590</v>
      </c>
      <c r="C33">
        <v>141</v>
      </c>
      <c r="D33" t="s">
        <v>1435</v>
      </c>
      <c r="E33" t="s">
        <v>1609</v>
      </c>
      <c r="F33" t="s">
        <v>1415</v>
      </c>
      <c r="G33" t="s">
        <v>518</v>
      </c>
      <c r="H33" t="s">
        <v>2737</v>
      </c>
      <c r="I33" t="s">
        <v>1175</v>
      </c>
    </row>
    <row r="34" spans="1:9" x14ac:dyDescent="0.3">
      <c r="A34" t="s">
        <v>58</v>
      </c>
      <c r="B34" t="s">
        <v>2583</v>
      </c>
      <c r="C34">
        <v>143</v>
      </c>
      <c r="D34" t="s">
        <v>2650</v>
      </c>
      <c r="E34" t="s">
        <v>1640</v>
      </c>
      <c r="F34" t="s">
        <v>1384</v>
      </c>
      <c r="G34" t="s">
        <v>848</v>
      </c>
      <c r="H34" t="s">
        <v>2728</v>
      </c>
      <c r="I34" t="s">
        <v>1328</v>
      </c>
    </row>
    <row r="35" spans="1:9" x14ac:dyDescent="0.3">
      <c r="A35" t="s">
        <v>57</v>
      </c>
      <c r="B35" t="s">
        <v>2601</v>
      </c>
      <c r="C35">
        <v>152</v>
      </c>
      <c r="D35" t="s">
        <v>2658</v>
      </c>
      <c r="E35" t="s">
        <v>1635</v>
      </c>
      <c r="F35" t="s">
        <v>1384</v>
      </c>
      <c r="G35" t="s">
        <v>1457</v>
      </c>
      <c r="H35" t="s">
        <v>2735</v>
      </c>
      <c r="I35" t="s">
        <v>791</v>
      </c>
    </row>
    <row r="36" spans="1:9" x14ac:dyDescent="0.3">
      <c r="A36" t="s">
        <v>59</v>
      </c>
      <c r="B36" t="s">
        <v>2578</v>
      </c>
      <c r="C36">
        <v>154</v>
      </c>
      <c r="D36" t="s">
        <v>2660</v>
      </c>
      <c r="E36" t="s">
        <v>1534</v>
      </c>
      <c r="F36" t="s">
        <v>1391</v>
      </c>
      <c r="G36" t="s">
        <v>1397</v>
      </c>
      <c r="H36" t="s">
        <v>2733</v>
      </c>
      <c r="I36" t="s">
        <v>1289</v>
      </c>
    </row>
    <row r="37" spans="1:9" x14ac:dyDescent="0.3">
      <c r="A37" t="s">
        <v>55</v>
      </c>
      <c r="B37" t="s">
        <v>2579</v>
      </c>
      <c r="C37">
        <v>160</v>
      </c>
      <c r="D37" t="s">
        <v>2666</v>
      </c>
      <c r="E37" t="s">
        <v>1565</v>
      </c>
      <c r="F37" t="s">
        <v>1405</v>
      </c>
      <c r="G37" t="s">
        <v>241</v>
      </c>
      <c r="H37" t="s">
        <v>2738</v>
      </c>
      <c r="I37" t="s">
        <v>1230</v>
      </c>
    </row>
  </sheetData>
  <autoFilter ref="A1:I37" xr:uid="{86B50FE2-5625-44DB-8941-2B8FB926B481}">
    <filterColumn colId="0">
      <colorFilter dxfId="9"/>
    </filterColumn>
    <sortState xmlns:xlrd2="http://schemas.microsoft.com/office/spreadsheetml/2017/richdata2" ref="A2:I37">
      <sortCondition ref="C1:C37"/>
    </sortState>
  </autoFilter>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AD6D-C31B-4C64-A6AE-7504E47038BB}">
  <dimension ref="A1:C37"/>
  <sheetViews>
    <sheetView topLeftCell="A10" workbookViewId="0">
      <selection activeCell="F34" sqref="F34"/>
    </sheetView>
  </sheetViews>
  <sheetFormatPr baseColWidth="10" defaultRowHeight="14.4" x14ac:dyDescent="0.3"/>
  <cols>
    <col min="1" max="2" width="5.33203125" bestFit="1" customWidth="1"/>
    <col min="3" max="3" width="43.77734375" bestFit="1" customWidth="1"/>
  </cols>
  <sheetData>
    <row r="1" spans="1:3" x14ac:dyDescent="0.3">
      <c r="A1" t="s">
        <v>2770</v>
      </c>
      <c r="B1" t="s">
        <v>2771</v>
      </c>
      <c r="C1" t="s">
        <v>2772</v>
      </c>
    </row>
    <row r="2" spans="1:3" x14ac:dyDescent="0.3">
      <c r="B2" t="s">
        <v>23</v>
      </c>
      <c r="C2" t="s">
        <v>22</v>
      </c>
    </row>
    <row r="3" spans="1:3" x14ac:dyDescent="0.3">
      <c r="B3" t="s">
        <v>41</v>
      </c>
      <c r="C3" t="s">
        <v>2554</v>
      </c>
    </row>
    <row r="4" spans="1:3" x14ac:dyDescent="0.3">
      <c r="B4" t="s">
        <v>42</v>
      </c>
      <c r="C4" t="s">
        <v>43</v>
      </c>
    </row>
    <row r="5" spans="1:3" x14ac:dyDescent="0.3">
      <c r="B5" t="s">
        <v>25</v>
      </c>
      <c r="C5" t="s">
        <v>26</v>
      </c>
    </row>
    <row r="6" spans="1:3" x14ac:dyDescent="0.3">
      <c r="B6" t="s">
        <v>28</v>
      </c>
      <c r="C6" t="s">
        <v>27</v>
      </c>
    </row>
    <row r="7" spans="1:3" x14ac:dyDescent="0.3">
      <c r="B7" t="s">
        <v>29</v>
      </c>
      <c r="C7" t="s">
        <v>2559</v>
      </c>
    </row>
    <row r="8" spans="1:3" x14ac:dyDescent="0.3">
      <c r="B8" t="s">
        <v>30</v>
      </c>
      <c r="C8" t="s">
        <v>2560</v>
      </c>
    </row>
    <row r="9" spans="1:3" x14ac:dyDescent="0.3">
      <c r="B9" t="s">
        <v>31</v>
      </c>
      <c r="C9" t="s">
        <v>2561</v>
      </c>
    </row>
    <row r="10" spans="1:3" x14ac:dyDescent="0.3">
      <c r="B10" t="s">
        <v>32</v>
      </c>
      <c r="C10" t="s">
        <v>2562</v>
      </c>
    </row>
    <row r="11" spans="1:3" x14ac:dyDescent="0.3">
      <c r="B11" t="s">
        <v>33</v>
      </c>
      <c r="C11" t="s">
        <v>2563</v>
      </c>
    </row>
    <row r="12" spans="1:3" x14ac:dyDescent="0.3">
      <c r="B12" t="s">
        <v>34</v>
      </c>
      <c r="C12" t="s">
        <v>2564</v>
      </c>
    </row>
    <row r="13" spans="1:3" x14ac:dyDescent="0.3">
      <c r="B13" t="s">
        <v>35</v>
      </c>
      <c r="C13" t="s">
        <v>2565</v>
      </c>
    </row>
    <row r="14" spans="1:3" x14ac:dyDescent="0.3">
      <c r="B14" t="s">
        <v>36</v>
      </c>
      <c r="C14" t="s">
        <v>2566</v>
      </c>
    </row>
    <row r="15" spans="1:3" x14ac:dyDescent="0.3">
      <c r="B15" t="s">
        <v>37</v>
      </c>
      <c r="C15" t="s">
        <v>2567</v>
      </c>
    </row>
    <row r="16" spans="1:3" x14ac:dyDescent="0.3">
      <c r="B16" t="s">
        <v>38</v>
      </c>
      <c r="C16" t="s">
        <v>2568</v>
      </c>
    </row>
    <row r="17" spans="2:3" x14ac:dyDescent="0.3">
      <c r="B17" t="s">
        <v>39</v>
      </c>
      <c r="C17" t="s">
        <v>2569</v>
      </c>
    </row>
    <row r="18" spans="2:3" x14ac:dyDescent="0.3">
      <c r="B18" t="s">
        <v>40</v>
      </c>
      <c r="C18" t="s">
        <v>2570</v>
      </c>
    </row>
    <row r="19" spans="2:3" x14ac:dyDescent="0.3">
      <c r="B19" t="s">
        <v>45</v>
      </c>
      <c r="C19" t="s">
        <v>9</v>
      </c>
    </row>
    <row r="20" spans="2:3" x14ac:dyDescent="0.3">
      <c r="B20" t="s">
        <v>60</v>
      </c>
      <c r="C20" t="s">
        <v>2571</v>
      </c>
    </row>
    <row r="21" spans="2:3" x14ac:dyDescent="0.3">
      <c r="B21" t="s">
        <v>61</v>
      </c>
      <c r="C21" t="s">
        <v>711</v>
      </c>
    </row>
    <row r="22" spans="2:3" x14ac:dyDescent="0.3">
      <c r="B22" t="s">
        <v>59</v>
      </c>
      <c r="C22" t="s">
        <v>2578</v>
      </c>
    </row>
    <row r="23" spans="2:3" x14ac:dyDescent="0.3">
      <c r="B23" t="s">
        <v>55</v>
      </c>
      <c r="C23" t="s">
        <v>2579</v>
      </c>
    </row>
    <row r="24" spans="2:3" x14ac:dyDescent="0.3">
      <c r="B24" t="s">
        <v>49</v>
      </c>
      <c r="C24" t="s">
        <v>2580</v>
      </c>
    </row>
    <row r="25" spans="2:3" x14ac:dyDescent="0.3">
      <c r="B25" t="s">
        <v>58</v>
      </c>
      <c r="C25" t="s">
        <v>2583</v>
      </c>
    </row>
    <row r="26" spans="2:3" x14ac:dyDescent="0.3">
      <c r="B26" t="s">
        <v>50</v>
      </c>
      <c r="C26" t="s">
        <v>2584</v>
      </c>
    </row>
    <row r="27" spans="2:3" x14ac:dyDescent="0.3">
      <c r="B27" t="s">
        <v>62</v>
      </c>
      <c r="C27" t="s">
        <v>1425</v>
      </c>
    </row>
    <row r="28" spans="2:3" x14ac:dyDescent="0.3">
      <c r="B28" t="s">
        <v>51</v>
      </c>
      <c r="C28" t="s">
        <v>2585</v>
      </c>
    </row>
    <row r="29" spans="2:3" x14ac:dyDescent="0.3">
      <c r="B29" t="s">
        <v>47</v>
      </c>
      <c r="C29" t="s">
        <v>961</v>
      </c>
    </row>
    <row r="30" spans="2:3" x14ac:dyDescent="0.3">
      <c r="B30" t="s">
        <v>46</v>
      </c>
      <c r="C30" t="s">
        <v>2586</v>
      </c>
    </row>
    <row r="31" spans="2:3" x14ac:dyDescent="0.3">
      <c r="B31" t="s">
        <v>56</v>
      </c>
      <c r="C31" t="s">
        <v>2587</v>
      </c>
    </row>
    <row r="32" spans="2:3" x14ac:dyDescent="0.3">
      <c r="B32" t="s">
        <v>54</v>
      </c>
      <c r="C32" t="s">
        <v>63</v>
      </c>
    </row>
    <row r="33" spans="2:3" x14ac:dyDescent="0.3">
      <c r="B33" t="s">
        <v>52</v>
      </c>
      <c r="C33" t="s">
        <v>2590</v>
      </c>
    </row>
    <row r="34" spans="2:3" x14ac:dyDescent="0.3">
      <c r="B34" t="s">
        <v>48</v>
      </c>
      <c r="C34" t="s">
        <v>2593</v>
      </c>
    </row>
    <row r="35" spans="2:3" x14ac:dyDescent="0.3">
      <c r="B35" t="s">
        <v>53</v>
      </c>
      <c r="C35" t="s">
        <v>2598</v>
      </c>
    </row>
    <row r="36" spans="2:3" x14ac:dyDescent="0.3">
      <c r="B36" t="s">
        <v>57</v>
      </c>
      <c r="C36" t="s">
        <v>2601</v>
      </c>
    </row>
    <row r="37" spans="2:3" x14ac:dyDescent="0.3">
      <c r="B37" t="s">
        <v>2604</v>
      </c>
      <c r="C37" t="s">
        <v>712</v>
      </c>
    </row>
  </sheetData>
  <conditionalFormatting sqref="A1:C1 A38:C1048576 A2:A37">
    <cfRule type="duplicateValues" dxfId="2" priority="1"/>
  </conditionalFormatting>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4DF-287A-4948-ACA4-D2043947DA50}">
  <dimension ref="A1:C54"/>
  <sheetViews>
    <sheetView topLeftCell="A23" workbookViewId="0">
      <selection activeCell="B2" sqref="B2:C54"/>
    </sheetView>
  </sheetViews>
  <sheetFormatPr baseColWidth="10" defaultRowHeight="14.4" x14ac:dyDescent="0.3"/>
  <cols>
    <col min="1" max="1" width="5.21875" customWidth="1"/>
    <col min="2" max="2" width="6.88671875" customWidth="1"/>
    <col min="3" max="3" width="42.88671875" bestFit="1" customWidth="1"/>
  </cols>
  <sheetData>
    <row r="1" spans="1:3" x14ac:dyDescent="0.3">
      <c r="A1" t="s">
        <v>2770</v>
      </c>
      <c r="B1" t="s">
        <v>2771</v>
      </c>
      <c r="C1" t="s">
        <v>2772</v>
      </c>
    </row>
    <row r="2" spans="1:3" x14ac:dyDescent="0.3">
      <c r="B2">
        <v>100</v>
      </c>
      <c r="C2" t="s">
        <v>2610</v>
      </c>
    </row>
    <row r="3" spans="1:3" x14ac:dyDescent="0.3">
      <c r="B3">
        <v>101</v>
      </c>
      <c r="C3" t="s">
        <v>2611</v>
      </c>
    </row>
    <row r="4" spans="1:3" x14ac:dyDescent="0.3">
      <c r="B4">
        <v>102</v>
      </c>
      <c r="C4" t="s">
        <v>43</v>
      </c>
    </row>
    <row r="5" spans="1:3" x14ac:dyDescent="0.3">
      <c r="B5">
        <v>103</v>
      </c>
      <c r="C5" t="s">
        <v>2554</v>
      </c>
    </row>
    <row r="6" spans="1:3" x14ac:dyDescent="0.3">
      <c r="B6">
        <v>104</v>
      </c>
      <c r="C6" t="s">
        <v>2612</v>
      </c>
    </row>
    <row r="7" spans="1:3" x14ac:dyDescent="0.3">
      <c r="B7">
        <v>105</v>
      </c>
      <c r="C7" t="s">
        <v>2613</v>
      </c>
    </row>
    <row r="8" spans="1:3" x14ac:dyDescent="0.3">
      <c r="B8">
        <v>106</v>
      </c>
      <c r="C8" t="s">
        <v>2614</v>
      </c>
    </row>
    <row r="9" spans="1:3" x14ac:dyDescent="0.3">
      <c r="B9">
        <v>108</v>
      </c>
      <c r="C9" t="s">
        <v>2616</v>
      </c>
    </row>
    <row r="10" spans="1:3" x14ac:dyDescent="0.3">
      <c r="B10">
        <v>109</v>
      </c>
      <c r="C10" t="s">
        <v>2617</v>
      </c>
    </row>
    <row r="11" spans="1:3" x14ac:dyDescent="0.3">
      <c r="B11">
        <v>110</v>
      </c>
      <c r="C11" t="s">
        <v>2618</v>
      </c>
    </row>
    <row r="12" spans="1:3" x14ac:dyDescent="0.3">
      <c r="B12">
        <v>111</v>
      </c>
      <c r="C12" t="s">
        <v>2619</v>
      </c>
    </row>
    <row r="13" spans="1:3" x14ac:dyDescent="0.3">
      <c r="B13">
        <v>112</v>
      </c>
      <c r="C13" t="s">
        <v>2620</v>
      </c>
    </row>
    <row r="14" spans="1:3" x14ac:dyDescent="0.3">
      <c r="B14">
        <v>114</v>
      </c>
      <c r="C14" t="s">
        <v>2622</v>
      </c>
    </row>
    <row r="15" spans="1:3" x14ac:dyDescent="0.3">
      <c r="B15">
        <v>115</v>
      </c>
      <c r="C15" t="s">
        <v>2623</v>
      </c>
    </row>
    <row r="16" spans="1:3" x14ac:dyDescent="0.3">
      <c r="B16">
        <v>116</v>
      </c>
      <c r="C16" t="s">
        <v>2624</v>
      </c>
    </row>
    <row r="17" spans="2:3" x14ac:dyDescent="0.3">
      <c r="B17">
        <v>117</v>
      </c>
      <c r="C17" t="s">
        <v>2625</v>
      </c>
    </row>
    <row r="18" spans="2:3" x14ac:dyDescent="0.3">
      <c r="B18">
        <v>118</v>
      </c>
      <c r="C18" t="s">
        <v>2626</v>
      </c>
    </row>
    <row r="19" spans="2:3" x14ac:dyDescent="0.3">
      <c r="B19">
        <v>119</v>
      </c>
      <c r="C19" t="s">
        <v>2627</v>
      </c>
    </row>
    <row r="20" spans="2:3" x14ac:dyDescent="0.3">
      <c r="B20">
        <v>120</v>
      </c>
      <c r="C20" t="s">
        <v>2628</v>
      </c>
    </row>
    <row r="21" spans="2:3" x14ac:dyDescent="0.3">
      <c r="B21">
        <v>121</v>
      </c>
      <c r="C21" t="s">
        <v>2629</v>
      </c>
    </row>
    <row r="22" spans="2:3" x14ac:dyDescent="0.3">
      <c r="B22">
        <v>122</v>
      </c>
      <c r="C22" t="s">
        <v>2630</v>
      </c>
    </row>
    <row r="23" spans="2:3" x14ac:dyDescent="0.3">
      <c r="B23">
        <v>123</v>
      </c>
      <c r="C23" t="s">
        <v>2631</v>
      </c>
    </row>
    <row r="24" spans="2:3" x14ac:dyDescent="0.3">
      <c r="B24">
        <v>124</v>
      </c>
      <c r="C24" t="s">
        <v>2632</v>
      </c>
    </row>
    <row r="25" spans="2:3" x14ac:dyDescent="0.3">
      <c r="B25">
        <v>125</v>
      </c>
      <c r="C25" t="s">
        <v>2633</v>
      </c>
    </row>
    <row r="26" spans="2:3" x14ac:dyDescent="0.3">
      <c r="B26">
        <v>126</v>
      </c>
      <c r="C26" t="s">
        <v>2634</v>
      </c>
    </row>
    <row r="27" spans="2:3" x14ac:dyDescent="0.3">
      <c r="B27">
        <v>127</v>
      </c>
      <c r="C27" t="s">
        <v>2635</v>
      </c>
    </row>
    <row r="28" spans="2:3" x14ac:dyDescent="0.3">
      <c r="B28">
        <v>128</v>
      </c>
      <c r="C28" t="s">
        <v>2636</v>
      </c>
    </row>
    <row r="29" spans="2:3" x14ac:dyDescent="0.3">
      <c r="B29">
        <v>129</v>
      </c>
      <c r="C29" t="s">
        <v>2637</v>
      </c>
    </row>
    <row r="30" spans="2:3" x14ac:dyDescent="0.3">
      <c r="B30">
        <v>131</v>
      </c>
      <c r="C30" t="s">
        <v>2639</v>
      </c>
    </row>
    <row r="31" spans="2:3" x14ac:dyDescent="0.3">
      <c r="B31">
        <v>133</v>
      </c>
      <c r="C31" t="s">
        <v>2641</v>
      </c>
    </row>
    <row r="32" spans="2:3" x14ac:dyDescent="0.3">
      <c r="B32">
        <v>134</v>
      </c>
      <c r="C32" t="s">
        <v>2642</v>
      </c>
    </row>
    <row r="33" spans="2:3" x14ac:dyDescent="0.3">
      <c r="B33">
        <v>135</v>
      </c>
      <c r="C33" t="s">
        <v>2643</v>
      </c>
    </row>
    <row r="34" spans="2:3" x14ac:dyDescent="0.3">
      <c r="B34">
        <v>136</v>
      </c>
      <c r="C34" t="s">
        <v>2644</v>
      </c>
    </row>
    <row r="35" spans="2:3" x14ac:dyDescent="0.3">
      <c r="B35">
        <v>137</v>
      </c>
      <c r="C35" t="s">
        <v>2645</v>
      </c>
    </row>
    <row r="36" spans="2:3" x14ac:dyDescent="0.3">
      <c r="B36">
        <v>138</v>
      </c>
      <c r="C36" t="s">
        <v>2646</v>
      </c>
    </row>
    <row r="37" spans="2:3" x14ac:dyDescent="0.3">
      <c r="B37">
        <v>139</v>
      </c>
      <c r="C37" t="s">
        <v>2647</v>
      </c>
    </row>
    <row r="38" spans="2:3" x14ac:dyDescent="0.3">
      <c r="B38">
        <v>140</v>
      </c>
      <c r="C38" t="s">
        <v>2648</v>
      </c>
    </row>
    <row r="39" spans="2:3" x14ac:dyDescent="0.3">
      <c r="B39">
        <v>141</v>
      </c>
      <c r="C39" t="s">
        <v>1435</v>
      </c>
    </row>
    <row r="40" spans="2:3" x14ac:dyDescent="0.3">
      <c r="B40">
        <v>143</v>
      </c>
      <c r="C40" t="s">
        <v>2650</v>
      </c>
    </row>
    <row r="41" spans="2:3" x14ac:dyDescent="0.3">
      <c r="B41">
        <v>144</v>
      </c>
      <c r="C41" t="s">
        <v>2651</v>
      </c>
    </row>
    <row r="42" spans="2:3" x14ac:dyDescent="0.3">
      <c r="B42">
        <v>145</v>
      </c>
      <c r="C42" t="s">
        <v>2652</v>
      </c>
    </row>
    <row r="43" spans="2:3" x14ac:dyDescent="0.3">
      <c r="B43">
        <v>147</v>
      </c>
      <c r="C43" t="s">
        <v>2654</v>
      </c>
    </row>
    <row r="44" spans="2:3" x14ac:dyDescent="0.3">
      <c r="B44">
        <v>149</v>
      </c>
      <c r="C44" t="s">
        <v>2656</v>
      </c>
    </row>
    <row r="45" spans="2:3" x14ac:dyDescent="0.3">
      <c r="B45">
        <v>150</v>
      </c>
      <c r="C45" t="s">
        <v>1432</v>
      </c>
    </row>
    <row r="46" spans="2:3" x14ac:dyDescent="0.3">
      <c r="B46">
        <v>151</v>
      </c>
      <c r="C46" t="s">
        <v>2657</v>
      </c>
    </row>
    <row r="47" spans="2:3" x14ac:dyDescent="0.3">
      <c r="B47">
        <v>152</v>
      </c>
      <c r="C47" t="s">
        <v>2658</v>
      </c>
    </row>
    <row r="48" spans="2:3" x14ac:dyDescent="0.3">
      <c r="B48">
        <v>153</v>
      </c>
      <c r="C48" t="s">
        <v>2659</v>
      </c>
    </row>
    <row r="49" spans="2:3" x14ac:dyDescent="0.3">
      <c r="B49">
        <v>154</v>
      </c>
      <c r="C49" t="s">
        <v>2660</v>
      </c>
    </row>
    <row r="50" spans="2:3" x14ac:dyDescent="0.3">
      <c r="B50">
        <v>155</v>
      </c>
      <c r="C50" t="s">
        <v>2661</v>
      </c>
    </row>
    <row r="51" spans="2:3" x14ac:dyDescent="0.3">
      <c r="B51">
        <v>158</v>
      </c>
      <c r="C51" t="s">
        <v>2664</v>
      </c>
    </row>
    <row r="52" spans="2:3" x14ac:dyDescent="0.3">
      <c r="B52">
        <v>160</v>
      </c>
      <c r="C52" t="s">
        <v>2666</v>
      </c>
    </row>
    <row r="53" spans="2:3" x14ac:dyDescent="0.3">
      <c r="B53">
        <v>169</v>
      </c>
      <c r="C53" t="s">
        <v>2674</v>
      </c>
    </row>
    <row r="54" spans="2:3" x14ac:dyDescent="0.3">
      <c r="B54">
        <v>172</v>
      </c>
      <c r="C54" t="s">
        <v>2676</v>
      </c>
    </row>
  </sheetData>
  <autoFilter ref="A1:C1" xr:uid="{574244DF-287A-4948-ACA4-D2043947DA50}">
    <sortState xmlns:xlrd2="http://schemas.microsoft.com/office/spreadsheetml/2017/richdata2" ref="A2:C54">
      <sortCondition ref="B1"/>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E67F6-B288-4758-88E1-2290947FEB60}">
  <dimension ref="A1:D268"/>
  <sheetViews>
    <sheetView tabSelected="1" topLeftCell="A26" zoomScaleNormal="100" workbookViewId="0">
      <selection activeCell="A173" activeCellId="27" sqref="A27:XFD27 A29:XFD35 A37:XFD37 A39:XFD42 A44:XFD46 A48:XFD49 A52:XFD63 A65:XFD68 A70:XFD75 A77:XFD82 A84:XFD87 A89:XFD93 A95:XFD95 A97:XFD100 A102:XFD106 A108:XFD108 A110:XFD115 A117:XFD126 A128:XFD132 A134:XFD138 A140:XFD141 A143:XFD149 A151:XFD154 A156:XFD159 A161:XFD162 A164:XFD167 A171:XFD171 A173:XFD174"/>
    </sheetView>
  </sheetViews>
  <sheetFormatPr baseColWidth="10" defaultRowHeight="14.4" x14ac:dyDescent="0.3"/>
  <cols>
    <col min="1" max="1" width="4.6640625" bestFit="1" customWidth="1"/>
    <col min="2" max="2" width="16.44140625" customWidth="1"/>
    <col min="3" max="3" width="8.109375" bestFit="1" customWidth="1"/>
    <col min="4" max="4" width="112.33203125" bestFit="1" customWidth="1"/>
  </cols>
  <sheetData>
    <row r="1" spans="1:4" x14ac:dyDescent="0.3">
      <c r="A1" t="s">
        <v>2770</v>
      </c>
      <c r="B1" t="s">
        <v>2771</v>
      </c>
      <c r="C1" t="s">
        <v>2773</v>
      </c>
      <c r="D1" t="s">
        <v>2774</v>
      </c>
    </row>
    <row r="2" spans="1:4" x14ac:dyDescent="0.3">
      <c r="B2" t="s">
        <v>1506</v>
      </c>
      <c r="C2" t="s">
        <v>1384</v>
      </c>
      <c r="D2" t="s">
        <v>151</v>
      </c>
    </row>
    <row r="3" spans="1:4" x14ac:dyDescent="0.3">
      <c r="B3" t="s">
        <v>1507</v>
      </c>
      <c r="C3" t="s">
        <v>1384</v>
      </c>
      <c r="D3" t="s">
        <v>1372</v>
      </c>
    </row>
    <row r="4" spans="1:4" x14ac:dyDescent="0.3">
      <c r="B4" t="s">
        <v>1508</v>
      </c>
      <c r="C4" t="s">
        <v>1385</v>
      </c>
      <c r="D4" t="s">
        <v>77</v>
      </c>
    </row>
    <row r="5" spans="1:4" x14ac:dyDescent="0.3">
      <c r="B5" t="s">
        <v>1509</v>
      </c>
      <c r="C5" t="s">
        <v>1384</v>
      </c>
      <c r="D5" t="s">
        <v>761</v>
      </c>
    </row>
    <row r="6" spans="1:4" x14ac:dyDescent="0.3">
      <c r="B6" t="s">
        <v>1510</v>
      </c>
      <c r="C6" t="s">
        <v>1384</v>
      </c>
      <c r="D6" t="s">
        <v>1386</v>
      </c>
    </row>
    <row r="7" spans="1:4" x14ac:dyDescent="0.3">
      <c r="B7" t="s">
        <v>1511</v>
      </c>
      <c r="C7" t="s">
        <v>1384</v>
      </c>
      <c r="D7" t="s">
        <v>846</v>
      </c>
    </row>
    <row r="8" spans="1:4" x14ac:dyDescent="0.3">
      <c r="B8" t="s">
        <v>1512</v>
      </c>
      <c r="C8" t="s">
        <v>1388</v>
      </c>
      <c r="D8" t="s">
        <v>1387</v>
      </c>
    </row>
    <row r="9" spans="1:4" x14ac:dyDescent="0.3">
      <c r="B9" t="s">
        <v>1513</v>
      </c>
      <c r="C9" t="s">
        <v>1385</v>
      </c>
      <c r="D9" t="s">
        <v>1494</v>
      </c>
    </row>
    <row r="10" spans="1:4" x14ac:dyDescent="0.3">
      <c r="B10" t="s">
        <v>1882</v>
      </c>
      <c r="C10" t="s">
        <v>1388</v>
      </c>
      <c r="D10" t="s">
        <v>1389</v>
      </c>
    </row>
    <row r="11" spans="1:4" x14ac:dyDescent="0.3">
      <c r="B11" t="s">
        <v>1883</v>
      </c>
      <c r="C11" t="s">
        <v>1388</v>
      </c>
      <c r="D11" t="s">
        <v>369</v>
      </c>
    </row>
    <row r="12" spans="1:4" x14ac:dyDescent="0.3">
      <c r="B12" t="s">
        <v>1514</v>
      </c>
      <c r="C12" t="s">
        <v>1388</v>
      </c>
      <c r="D12" t="s">
        <v>1495</v>
      </c>
    </row>
    <row r="13" spans="1:4" x14ac:dyDescent="0.3">
      <c r="B13" t="s">
        <v>1515</v>
      </c>
      <c r="C13" t="s">
        <v>1388</v>
      </c>
      <c r="D13" t="s">
        <v>373</v>
      </c>
    </row>
    <row r="14" spans="1:4" x14ac:dyDescent="0.3">
      <c r="B14" t="s">
        <v>1516</v>
      </c>
      <c r="C14" t="s">
        <v>1390</v>
      </c>
      <c r="D14" t="s">
        <v>474</v>
      </c>
    </row>
    <row r="15" spans="1:4" x14ac:dyDescent="0.3">
      <c r="B15" t="s">
        <v>1517</v>
      </c>
      <c r="C15" t="s">
        <v>1385</v>
      </c>
      <c r="D15" t="s">
        <v>183</v>
      </c>
    </row>
    <row r="16" spans="1:4" x14ac:dyDescent="0.3">
      <c r="B16" t="s">
        <v>1518</v>
      </c>
      <c r="C16" t="s">
        <v>1391</v>
      </c>
      <c r="D16" t="s">
        <v>186</v>
      </c>
    </row>
    <row r="17" spans="2:4" x14ac:dyDescent="0.3">
      <c r="B17" t="s">
        <v>1520</v>
      </c>
      <c r="C17" t="s">
        <v>1391</v>
      </c>
      <c r="D17" t="s">
        <v>96</v>
      </c>
    </row>
    <row r="18" spans="2:4" x14ac:dyDescent="0.3">
      <c r="B18" t="s">
        <v>1521</v>
      </c>
      <c r="C18" t="s">
        <v>1390</v>
      </c>
      <c r="D18" t="s">
        <v>1496</v>
      </c>
    </row>
    <row r="19" spans="2:4" x14ac:dyDescent="0.3">
      <c r="B19" t="s">
        <v>1523</v>
      </c>
      <c r="C19" t="s">
        <v>1384</v>
      </c>
      <c r="D19" t="s">
        <v>1497</v>
      </c>
    </row>
    <row r="20" spans="2:4" x14ac:dyDescent="0.3">
      <c r="B20" t="s">
        <v>1524</v>
      </c>
      <c r="C20" t="s">
        <v>1384</v>
      </c>
      <c r="D20" t="s">
        <v>375</v>
      </c>
    </row>
    <row r="21" spans="2:4" x14ac:dyDescent="0.3">
      <c r="B21" t="s">
        <v>1525</v>
      </c>
      <c r="C21" t="s">
        <v>1384</v>
      </c>
      <c r="D21" t="s">
        <v>394</v>
      </c>
    </row>
    <row r="22" spans="2:4" x14ac:dyDescent="0.3">
      <c r="B22" t="s">
        <v>1526</v>
      </c>
      <c r="C22" t="s">
        <v>1393</v>
      </c>
      <c r="D22" t="s">
        <v>398</v>
      </c>
    </row>
    <row r="23" spans="2:4" x14ac:dyDescent="0.3">
      <c r="B23" t="s">
        <v>1529</v>
      </c>
      <c r="C23" t="s">
        <v>1385</v>
      </c>
      <c r="D23" t="s">
        <v>408</v>
      </c>
    </row>
    <row r="24" spans="2:4" x14ac:dyDescent="0.3">
      <c r="B24" t="s">
        <v>1531</v>
      </c>
      <c r="C24" t="s">
        <v>1388</v>
      </c>
      <c r="D24" t="s">
        <v>411</v>
      </c>
    </row>
    <row r="25" spans="2:4" x14ac:dyDescent="0.3">
      <c r="B25" t="s">
        <v>1532</v>
      </c>
      <c r="C25" t="s">
        <v>1388</v>
      </c>
      <c r="D25" t="s">
        <v>418</v>
      </c>
    </row>
    <row r="26" spans="2:4" x14ac:dyDescent="0.3">
      <c r="B26" t="s">
        <v>1533</v>
      </c>
      <c r="C26" t="s">
        <v>1385</v>
      </c>
      <c r="D26" t="s">
        <v>165</v>
      </c>
    </row>
    <row r="27" spans="2:4" x14ac:dyDescent="0.3">
      <c r="B27" t="s">
        <v>1534</v>
      </c>
      <c r="C27" t="s">
        <v>1391</v>
      </c>
      <c r="D27" t="s">
        <v>1397</v>
      </c>
    </row>
    <row r="28" spans="2:4" x14ac:dyDescent="0.3">
      <c r="B28" t="s">
        <v>1535</v>
      </c>
      <c r="C28" t="s">
        <v>1391</v>
      </c>
      <c r="D28" t="s">
        <v>174</v>
      </c>
    </row>
    <row r="29" spans="2:4" x14ac:dyDescent="0.3">
      <c r="B29" t="s">
        <v>1536</v>
      </c>
      <c r="C29" t="s">
        <v>1391</v>
      </c>
      <c r="D29" t="s">
        <v>106</v>
      </c>
    </row>
    <row r="30" spans="2:4" x14ac:dyDescent="0.3">
      <c r="B30" t="s">
        <v>1537</v>
      </c>
      <c r="C30" t="s">
        <v>1388</v>
      </c>
      <c r="D30" t="s">
        <v>508</v>
      </c>
    </row>
    <row r="31" spans="2:4" x14ac:dyDescent="0.3">
      <c r="B31" t="s">
        <v>1538</v>
      </c>
      <c r="C31" t="s">
        <v>1391</v>
      </c>
      <c r="D31" t="s">
        <v>652</v>
      </c>
    </row>
    <row r="32" spans="2:4" x14ac:dyDescent="0.3">
      <c r="B32" t="s">
        <v>1539</v>
      </c>
      <c r="C32" t="s">
        <v>1384</v>
      </c>
      <c r="D32" t="s">
        <v>592</v>
      </c>
    </row>
    <row r="33" spans="2:4" x14ac:dyDescent="0.3">
      <c r="B33" t="s">
        <v>1540</v>
      </c>
      <c r="C33" t="s">
        <v>1391</v>
      </c>
      <c r="D33" t="s">
        <v>589</v>
      </c>
    </row>
    <row r="34" spans="2:4" x14ac:dyDescent="0.3">
      <c r="B34" t="s">
        <v>1541</v>
      </c>
      <c r="C34" t="s">
        <v>1385</v>
      </c>
      <c r="D34" t="s">
        <v>1398</v>
      </c>
    </row>
    <row r="35" spans="2:4" x14ac:dyDescent="0.3">
      <c r="B35" t="s">
        <v>1885</v>
      </c>
      <c r="C35" t="s">
        <v>1384</v>
      </c>
      <c r="D35" t="s">
        <v>843</v>
      </c>
    </row>
    <row r="36" spans="2:4" x14ac:dyDescent="0.3">
      <c r="B36" t="s">
        <v>1886</v>
      </c>
      <c r="C36" t="s">
        <v>1384</v>
      </c>
      <c r="D36" t="s">
        <v>1877</v>
      </c>
    </row>
    <row r="37" spans="2:4" x14ac:dyDescent="0.3">
      <c r="B37" t="s">
        <v>1542</v>
      </c>
      <c r="C37" t="s">
        <v>1384</v>
      </c>
      <c r="D37" t="s">
        <v>840</v>
      </c>
    </row>
    <row r="38" spans="2:4" x14ac:dyDescent="0.3">
      <c r="B38" t="s">
        <v>1543</v>
      </c>
      <c r="C38" t="s">
        <v>1399</v>
      </c>
      <c r="D38" t="s">
        <v>624</v>
      </c>
    </row>
    <row r="39" spans="2:4" x14ac:dyDescent="0.3">
      <c r="B39" t="s">
        <v>1544</v>
      </c>
      <c r="C39" t="s">
        <v>1391</v>
      </c>
      <c r="D39" t="s">
        <v>620</v>
      </c>
    </row>
    <row r="40" spans="2:4" x14ac:dyDescent="0.3">
      <c r="B40" t="s">
        <v>1545</v>
      </c>
      <c r="C40" t="s">
        <v>1384</v>
      </c>
      <c r="D40" t="s">
        <v>594</v>
      </c>
    </row>
    <row r="41" spans="2:4" x14ac:dyDescent="0.3">
      <c r="B41" t="s">
        <v>1546</v>
      </c>
      <c r="C41" t="s">
        <v>1399</v>
      </c>
      <c r="D41" t="s">
        <v>601</v>
      </c>
    </row>
    <row r="42" spans="2:4" x14ac:dyDescent="0.3">
      <c r="B42" t="s">
        <v>1547</v>
      </c>
      <c r="C42" t="s">
        <v>1399</v>
      </c>
      <c r="D42" t="s">
        <v>608</v>
      </c>
    </row>
    <row r="43" spans="2:4" x14ac:dyDescent="0.3">
      <c r="B43" t="s">
        <v>1548</v>
      </c>
      <c r="C43" t="s">
        <v>1415</v>
      </c>
      <c r="D43" t="s">
        <v>1400</v>
      </c>
    </row>
    <row r="44" spans="2:4" x14ac:dyDescent="0.3">
      <c r="B44" t="s">
        <v>1549</v>
      </c>
      <c r="C44" t="s">
        <v>1384</v>
      </c>
      <c r="D44" t="s">
        <v>486</v>
      </c>
    </row>
    <row r="45" spans="2:4" x14ac:dyDescent="0.3">
      <c r="B45" t="s">
        <v>1550</v>
      </c>
      <c r="C45" t="s">
        <v>1384</v>
      </c>
      <c r="D45" t="s">
        <v>1401</v>
      </c>
    </row>
    <row r="46" spans="2:4" x14ac:dyDescent="0.3">
      <c r="B46" t="s">
        <v>1551</v>
      </c>
      <c r="C46" t="s">
        <v>1384</v>
      </c>
      <c r="D46" t="s">
        <v>463</v>
      </c>
    </row>
    <row r="47" spans="2:4" x14ac:dyDescent="0.3">
      <c r="B47" t="s">
        <v>1552</v>
      </c>
      <c r="C47" t="s">
        <v>1384</v>
      </c>
      <c r="D47" t="s">
        <v>1498</v>
      </c>
    </row>
    <row r="48" spans="2:4" x14ac:dyDescent="0.3">
      <c r="B48" t="s">
        <v>1554</v>
      </c>
      <c r="C48" t="s">
        <v>1403</v>
      </c>
      <c r="D48" t="s">
        <v>128</v>
      </c>
    </row>
    <row r="49" spans="2:4" x14ac:dyDescent="0.3">
      <c r="B49" t="s">
        <v>1555</v>
      </c>
      <c r="C49" t="s">
        <v>1384</v>
      </c>
      <c r="D49" t="s">
        <v>670</v>
      </c>
    </row>
    <row r="50" spans="2:4" x14ac:dyDescent="0.3">
      <c r="B50" t="s">
        <v>1556</v>
      </c>
      <c r="C50" t="s">
        <v>1384</v>
      </c>
      <c r="D50" t="s">
        <v>1404</v>
      </c>
    </row>
    <row r="51" spans="2:4" x14ac:dyDescent="0.3">
      <c r="B51" t="s">
        <v>1557</v>
      </c>
      <c r="C51" t="s">
        <v>1405</v>
      </c>
      <c r="D51" t="s">
        <v>281</v>
      </c>
    </row>
    <row r="52" spans="2:4" x14ac:dyDescent="0.3">
      <c r="B52" t="s">
        <v>1558</v>
      </c>
      <c r="C52" t="s">
        <v>1384</v>
      </c>
      <c r="D52" t="s">
        <v>287</v>
      </c>
    </row>
    <row r="53" spans="2:4" x14ac:dyDescent="0.3">
      <c r="B53" t="s">
        <v>1565</v>
      </c>
      <c r="C53" t="s">
        <v>1405</v>
      </c>
      <c r="D53" t="s">
        <v>241</v>
      </c>
    </row>
    <row r="54" spans="2:4" x14ac:dyDescent="0.3">
      <c r="B54" t="s">
        <v>1569</v>
      </c>
      <c r="C54" t="s">
        <v>1403</v>
      </c>
      <c r="D54" t="s">
        <v>1232</v>
      </c>
    </row>
    <row r="55" spans="2:4" x14ac:dyDescent="0.3">
      <c r="B55" t="s">
        <v>1570</v>
      </c>
      <c r="C55" t="s">
        <v>1405</v>
      </c>
      <c r="D55" t="s">
        <v>259</v>
      </c>
    </row>
    <row r="56" spans="2:4" x14ac:dyDescent="0.3">
      <c r="B56" t="s">
        <v>1571</v>
      </c>
      <c r="C56" t="s">
        <v>1384</v>
      </c>
      <c r="D56" t="s">
        <v>965</v>
      </c>
    </row>
    <row r="57" spans="2:4" x14ac:dyDescent="0.3">
      <c r="B57" t="s">
        <v>1572</v>
      </c>
      <c r="C57" t="s">
        <v>1384</v>
      </c>
      <c r="D57" t="s">
        <v>1412</v>
      </c>
    </row>
    <row r="58" spans="2:4" x14ac:dyDescent="0.3">
      <c r="B58" t="s">
        <v>1573</v>
      </c>
      <c r="C58" t="s">
        <v>1384</v>
      </c>
      <c r="D58" t="s">
        <v>966</v>
      </c>
    </row>
    <row r="59" spans="2:4" x14ac:dyDescent="0.3">
      <c r="B59" t="s">
        <v>1573</v>
      </c>
      <c r="C59" t="s">
        <v>1384</v>
      </c>
      <c r="D59" t="s">
        <v>966</v>
      </c>
    </row>
    <row r="60" spans="2:4" x14ac:dyDescent="0.3">
      <c r="B60" t="s">
        <v>1573</v>
      </c>
      <c r="C60" t="s">
        <v>1384</v>
      </c>
      <c r="D60" t="s">
        <v>966</v>
      </c>
    </row>
    <row r="61" spans="2:4" x14ac:dyDescent="0.3">
      <c r="B61" t="s">
        <v>1573</v>
      </c>
      <c r="C61" t="s">
        <v>1384</v>
      </c>
      <c r="D61" t="s">
        <v>966</v>
      </c>
    </row>
    <row r="62" spans="2:4" x14ac:dyDescent="0.3">
      <c r="B62" t="s">
        <v>1573</v>
      </c>
      <c r="C62" t="s">
        <v>1384</v>
      </c>
      <c r="D62" t="s">
        <v>966</v>
      </c>
    </row>
    <row r="63" spans="2:4" x14ac:dyDescent="0.3">
      <c r="B63" t="s">
        <v>1573</v>
      </c>
      <c r="C63" t="s">
        <v>1384</v>
      </c>
      <c r="D63" t="s">
        <v>966</v>
      </c>
    </row>
    <row r="64" spans="2:4" x14ac:dyDescent="0.3">
      <c r="B64" t="s">
        <v>1574</v>
      </c>
      <c r="C64" t="s">
        <v>1393</v>
      </c>
      <c r="D64" t="s">
        <v>1413</v>
      </c>
    </row>
    <row r="65" spans="2:4" x14ac:dyDescent="0.3">
      <c r="B65" t="s">
        <v>1576</v>
      </c>
      <c r="C65" t="s">
        <v>1393</v>
      </c>
      <c r="D65" t="s">
        <v>220</v>
      </c>
    </row>
    <row r="66" spans="2:4" x14ac:dyDescent="0.3">
      <c r="B66" t="s">
        <v>1576</v>
      </c>
      <c r="C66" t="s">
        <v>1393</v>
      </c>
      <c r="D66" t="s">
        <v>220</v>
      </c>
    </row>
    <row r="67" spans="2:4" x14ac:dyDescent="0.3">
      <c r="B67" t="s">
        <v>1576</v>
      </c>
      <c r="C67" t="s">
        <v>1393</v>
      </c>
      <c r="D67" t="s">
        <v>220</v>
      </c>
    </row>
    <row r="68" spans="2:4" x14ac:dyDescent="0.3">
      <c r="B68" t="s">
        <v>1576</v>
      </c>
      <c r="C68" t="s">
        <v>1393</v>
      </c>
      <c r="D68" t="s">
        <v>220</v>
      </c>
    </row>
    <row r="69" spans="2:4" x14ac:dyDescent="0.3">
      <c r="B69" t="s">
        <v>1579</v>
      </c>
      <c r="C69" t="s">
        <v>1393</v>
      </c>
      <c r="D69" t="s">
        <v>1092</v>
      </c>
    </row>
    <row r="70" spans="2:4" x14ac:dyDescent="0.3">
      <c r="B70" t="s">
        <v>1579</v>
      </c>
      <c r="C70" t="s">
        <v>1393</v>
      </c>
      <c r="D70" t="s">
        <v>1092</v>
      </c>
    </row>
    <row r="71" spans="2:4" x14ac:dyDescent="0.3">
      <c r="B71" t="s">
        <v>1579</v>
      </c>
      <c r="C71" t="s">
        <v>1393</v>
      </c>
      <c r="D71" t="s">
        <v>1092</v>
      </c>
    </row>
    <row r="72" spans="2:4" x14ac:dyDescent="0.3">
      <c r="B72" t="s">
        <v>1579</v>
      </c>
      <c r="C72" t="s">
        <v>1393</v>
      </c>
      <c r="D72" t="s">
        <v>1092</v>
      </c>
    </row>
    <row r="73" spans="2:4" x14ac:dyDescent="0.3">
      <c r="B73" t="s">
        <v>1579</v>
      </c>
      <c r="C73" t="s">
        <v>1393</v>
      </c>
      <c r="D73" t="s">
        <v>1092</v>
      </c>
    </row>
    <row r="74" spans="2:4" x14ac:dyDescent="0.3">
      <c r="B74" t="s">
        <v>1580</v>
      </c>
      <c r="C74" t="s">
        <v>1393</v>
      </c>
      <c r="D74" t="s">
        <v>202</v>
      </c>
    </row>
    <row r="75" spans="2:4" x14ac:dyDescent="0.3">
      <c r="B75" t="s">
        <v>1580</v>
      </c>
      <c r="C75" t="s">
        <v>1393</v>
      </c>
      <c r="D75" t="s">
        <v>202</v>
      </c>
    </row>
    <row r="76" spans="2:4" x14ac:dyDescent="0.3">
      <c r="B76" t="s">
        <v>1580</v>
      </c>
      <c r="C76" t="s">
        <v>1393</v>
      </c>
      <c r="D76" t="s">
        <v>202</v>
      </c>
    </row>
    <row r="77" spans="2:4" x14ac:dyDescent="0.3">
      <c r="B77" t="s">
        <v>1580</v>
      </c>
      <c r="C77" t="s">
        <v>1393</v>
      </c>
      <c r="D77" t="s">
        <v>202</v>
      </c>
    </row>
    <row r="78" spans="2:4" x14ac:dyDescent="0.3">
      <c r="B78" t="s">
        <v>1580</v>
      </c>
      <c r="C78" t="s">
        <v>1393</v>
      </c>
      <c r="D78" t="s">
        <v>202</v>
      </c>
    </row>
    <row r="79" spans="2:4" x14ac:dyDescent="0.3">
      <c r="B79" t="s">
        <v>1580</v>
      </c>
      <c r="C79" t="s">
        <v>1393</v>
      </c>
      <c r="D79" t="s">
        <v>202</v>
      </c>
    </row>
    <row r="80" spans="2:4" x14ac:dyDescent="0.3">
      <c r="B80" t="s">
        <v>1580</v>
      </c>
      <c r="C80" t="s">
        <v>1393</v>
      </c>
      <c r="D80" t="s">
        <v>202</v>
      </c>
    </row>
    <row r="81" spans="2:4" x14ac:dyDescent="0.3">
      <c r="B81" t="s">
        <v>1581</v>
      </c>
      <c r="C81" t="s">
        <v>1393</v>
      </c>
      <c r="D81" t="s">
        <v>206</v>
      </c>
    </row>
    <row r="82" spans="2:4" x14ac:dyDescent="0.3">
      <c r="B82" t="s">
        <v>1581</v>
      </c>
      <c r="C82" t="s">
        <v>1393</v>
      </c>
      <c r="D82" t="s">
        <v>206</v>
      </c>
    </row>
    <row r="83" spans="2:4" x14ac:dyDescent="0.3">
      <c r="B83" t="s">
        <v>1581</v>
      </c>
      <c r="C83" t="s">
        <v>1393</v>
      </c>
      <c r="D83" t="s">
        <v>206</v>
      </c>
    </row>
    <row r="84" spans="2:4" x14ac:dyDescent="0.3">
      <c r="B84" t="s">
        <v>1581</v>
      </c>
      <c r="C84" t="s">
        <v>1393</v>
      </c>
      <c r="D84" t="s">
        <v>206</v>
      </c>
    </row>
    <row r="85" spans="2:4" x14ac:dyDescent="0.3">
      <c r="B85" t="s">
        <v>1581</v>
      </c>
      <c r="C85" t="s">
        <v>1393</v>
      </c>
      <c r="D85" t="s">
        <v>206</v>
      </c>
    </row>
    <row r="86" spans="2:4" x14ac:dyDescent="0.3">
      <c r="B86" t="s">
        <v>1581</v>
      </c>
      <c r="C86" t="s">
        <v>1393</v>
      </c>
      <c r="D86" t="s">
        <v>206</v>
      </c>
    </row>
    <row r="87" spans="2:4" x14ac:dyDescent="0.3">
      <c r="B87" t="s">
        <v>1581</v>
      </c>
      <c r="C87" t="s">
        <v>1393</v>
      </c>
      <c r="D87" t="s">
        <v>206</v>
      </c>
    </row>
    <row r="88" spans="2:4" x14ac:dyDescent="0.3">
      <c r="B88" t="s">
        <v>1582</v>
      </c>
      <c r="C88" t="s">
        <v>1393</v>
      </c>
      <c r="D88" t="s">
        <v>203</v>
      </c>
    </row>
    <row r="89" spans="2:4" x14ac:dyDescent="0.3">
      <c r="B89" t="s">
        <v>1582</v>
      </c>
      <c r="C89" t="s">
        <v>1393</v>
      </c>
      <c r="D89" t="s">
        <v>203</v>
      </c>
    </row>
    <row r="90" spans="2:4" x14ac:dyDescent="0.3">
      <c r="B90" t="s">
        <v>1582</v>
      </c>
      <c r="C90" t="s">
        <v>1393</v>
      </c>
      <c r="D90" t="s">
        <v>203</v>
      </c>
    </row>
    <row r="91" spans="2:4" x14ac:dyDescent="0.3">
      <c r="B91" t="s">
        <v>1582</v>
      </c>
      <c r="C91" t="s">
        <v>1393</v>
      </c>
      <c r="D91" t="s">
        <v>203</v>
      </c>
    </row>
    <row r="92" spans="2:4" x14ac:dyDescent="0.3">
      <c r="B92" t="s">
        <v>1583</v>
      </c>
      <c r="C92" t="s">
        <v>1393</v>
      </c>
      <c r="D92" t="s">
        <v>204</v>
      </c>
    </row>
    <row r="93" spans="2:4" x14ac:dyDescent="0.3">
      <c r="B93" t="s">
        <v>1583</v>
      </c>
      <c r="C93" t="s">
        <v>1393</v>
      </c>
      <c r="D93" t="s">
        <v>204</v>
      </c>
    </row>
    <row r="94" spans="2:4" x14ac:dyDescent="0.3">
      <c r="B94" t="s">
        <v>1583</v>
      </c>
      <c r="C94" t="s">
        <v>1393</v>
      </c>
      <c r="D94" t="s">
        <v>204</v>
      </c>
    </row>
    <row r="95" spans="2:4" x14ac:dyDescent="0.3">
      <c r="B95" t="s">
        <v>1583</v>
      </c>
      <c r="C95" t="s">
        <v>1393</v>
      </c>
      <c r="D95" t="s">
        <v>204</v>
      </c>
    </row>
    <row r="96" spans="2:4" x14ac:dyDescent="0.3">
      <c r="B96" t="s">
        <v>1584</v>
      </c>
      <c r="C96" t="s">
        <v>1393</v>
      </c>
      <c r="D96" t="s">
        <v>1414</v>
      </c>
    </row>
    <row r="97" spans="2:4" x14ac:dyDescent="0.3">
      <c r="B97" t="s">
        <v>1585</v>
      </c>
      <c r="C97" t="s">
        <v>1415</v>
      </c>
      <c r="D97" t="s">
        <v>336</v>
      </c>
    </row>
    <row r="98" spans="2:4" x14ac:dyDescent="0.3">
      <c r="B98" t="s">
        <v>1585</v>
      </c>
      <c r="C98" t="s">
        <v>1415</v>
      </c>
      <c r="D98" t="s">
        <v>336</v>
      </c>
    </row>
    <row r="99" spans="2:4" x14ac:dyDescent="0.3">
      <c r="B99" t="s">
        <v>1585</v>
      </c>
      <c r="C99" t="s">
        <v>1415</v>
      </c>
      <c r="D99" t="s">
        <v>336</v>
      </c>
    </row>
    <row r="100" spans="2:4" x14ac:dyDescent="0.3">
      <c r="B100" t="s">
        <v>1585</v>
      </c>
      <c r="C100" t="s">
        <v>1415</v>
      </c>
      <c r="D100" t="s">
        <v>336</v>
      </c>
    </row>
    <row r="101" spans="2:4" x14ac:dyDescent="0.3">
      <c r="B101" t="s">
        <v>1585</v>
      </c>
      <c r="C101" t="s">
        <v>1415</v>
      </c>
      <c r="D101" t="s">
        <v>336</v>
      </c>
    </row>
    <row r="102" spans="2:4" x14ac:dyDescent="0.3">
      <c r="B102" t="s">
        <v>1585</v>
      </c>
      <c r="C102" t="s">
        <v>1415</v>
      </c>
      <c r="D102" t="s">
        <v>336</v>
      </c>
    </row>
    <row r="103" spans="2:4" x14ac:dyDescent="0.3">
      <c r="B103" t="s">
        <v>1585</v>
      </c>
      <c r="C103" t="s">
        <v>1415</v>
      </c>
      <c r="D103" t="s">
        <v>336</v>
      </c>
    </row>
    <row r="104" spans="2:4" x14ac:dyDescent="0.3">
      <c r="B104" t="s">
        <v>1586</v>
      </c>
      <c r="C104" t="s">
        <v>1391</v>
      </c>
      <c r="D104" t="s">
        <v>1416</v>
      </c>
    </row>
    <row r="105" spans="2:4" x14ac:dyDescent="0.3">
      <c r="B105" t="s">
        <v>1586</v>
      </c>
      <c r="C105" t="s">
        <v>1391</v>
      </c>
      <c r="D105" t="s">
        <v>1416</v>
      </c>
    </row>
    <row r="106" spans="2:4" x14ac:dyDescent="0.3">
      <c r="B106" t="s">
        <v>1586</v>
      </c>
      <c r="C106" t="s">
        <v>1391</v>
      </c>
      <c r="D106" t="s">
        <v>1416</v>
      </c>
    </row>
    <row r="107" spans="2:4" x14ac:dyDescent="0.3">
      <c r="B107" t="s">
        <v>1586</v>
      </c>
      <c r="C107" t="s">
        <v>1391</v>
      </c>
      <c r="D107" t="s">
        <v>1416</v>
      </c>
    </row>
    <row r="108" spans="2:4" x14ac:dyDescent="0.3">
      <c r="B108" t="s">
        <v>1586</v>
      </c>
      <c r="C108" t="s">
        <v>1391</v>
      </c>
      <c r="D108" t="s">
        <v>1416</v>
      </c>
    </row>
    <row r="109" spans="2:4" x14ac:dyDescent="0.3">
      <c r="B109" t="s">
        <v>1586</v>
      </c>
      <c r="C109" t="s">
        <v>1391</v>
      </c>
      <c r="D109" t="s">
        <v>1416</v>
      </c>
    </row>
    <row r="110" spans="2:4" x14ac:dyDescent="0.3">
      <c r="B110" t="s">
        <v>1586</v>
      </c>
      <c r="C110" t="s">
        <v>1391</v>
      </c>
      <c r="D110" t="s">
        <v>1416</v>
      </c>
    </row>
    <row r="111" spans="2:4" x14ac:dyDescent="0.3">
      <c r="B111" t="s">
        <v>1586</v>
      </c>
      <c r="C111" t="s">
        <v>1391</v>
      </c>
      <c r="D111" t="s">
        <v>1416</v>
      </c>
    </row>
    <row r="112" spans="2:4" x14ac:dyDescent="0.3">
      <c r="B112" t="s">
        <v>1586</v>
      </c>
      <c r="C112" t="s">
        <v>1391</v>
      </c>
      <c r="D112" t="s">
        <v>1416</v>
      </c>
    </row>
    <row r="113" spans="2:4" x14ac:dyDescent="0.3">
      <c r="B113" t="s">
        <v>1586</v>
      </c>
      <c r="C113" t="s">
        <v>1391</v>
      </c>
      <c r="D113" t="s">
        <v>1416</v>
      </c>
    </row>
    <row r="114" spans="2:4" x14ac:dyDescent="0.3">
      <c r="B114" t="s">
        <v>1586</v>
      </c>
      <c r="C114" t="s">
        <v>1391</v>
      </c>
      <c r="D114" t="s">
        <v>1416</v>
      </c>
    </row>
    <row r="115" spans="2:4" x14ac:dyDescent="0.3">
      <c r="B115" t="s">
        <v>1586</v>
      </c>
      <c r="C115" t="s">
        <v>1391</v>
      </c>
      <c r="D115" t="s">
        <v>1416</v>
      </c>
    </row>
    <row r="116" spans="2:4" x14ac:dyDescent="0.3">
      <c r="B116" t="s">
        <v>1586</v>
      </c>
      <c r="C116" t="s">
        <v>1391</v>
      </c>
      <c r="D116" t="s">
        <v>1416</v>
      </c>
    </row>
    <row r="117" spans="2:4" x14ac:dyDescent="0.3">
      <c r="B117" t="s">
        <v>1586</v>
      </c>
      <c r="C117" t="s">
        <v>1391</v>
      </c>
      <c r="D117" t="s">
        <v>1416</v>
      </c>
    </row>
    <row r="118" spans="2:4" x14ac:dyDescent="0.3">
      <c r="B118" t="s">
        <v>1586</v>
      </c>
      <c r="C118" t="s">
        <v>1391</v>
      </c>
      <c r="D118" t="s">
        <v>1416</v>
      </c>
    </row>
    <row r="119" spans="2:4" x14ac:dyDescent="0.3">
      <c r="B119" t="s">
        <v>1586</v>
      </c>
      <c r="C119" t="s">
        <v>1391</v>
      </c>
      <c r="D119" t="s">
        <v>1416</v>
      </c>
    </row>
    <row r="120" spans="2:4" x14ac:dyDescent="0.3">
      <c r="B120" t="s">
        <v>1586</v>
      </c>
      <c r="C120" t="s">
        <v>1391</v>
      </c>
      <c r="D120" t="s">
        <v>1416</v>
      </c>
    </row>
    <row r="121" spans="2:4" x14ac:dyDescent="0.3">
      <c r="B121" t="s">
        <v>1586</v>
      </c>
      <c r="C121" t="s">
        <v>1391</v>
      </c>
      <c r="D121" t="s">
        <v>1416</v>
      </c>
    </row>
    <row r="122" spans="2:4" x14ac:dyDescent="0.3">
      <c r="B122" t="s">
        <v>1586</v>
      </c>
      <c r="C122" t="s">
        <v>1391</v>
      </c>
      <c r="D122" t="s">
        <v>1416</v>
      </c>
    </row>
    <row r="123" spans="2:4" x14ac:dyDescent="0.3">
      <c r="B123" t="s">
        <v>1586</v>
      </c>
      <c r="C123" t="s">
        <v>1391</v>
      </c>
      <c r="D123" t="s">
        <v>1416</v>
      </c>
    </row>
    <row r="124" spans="2:4" x14ac:dyDescent="0.3">
      <c r="B124" t="s">
        <v>1586</v>
      </c>
      <c r="C124" t="s">
        <v>1391</v>
      </c>
      <c r="D124" t="s">
        <v>1416</v>
      </c>
    </row>
    <row r="125" spans="2:4" x14ac:dyDescent="0.3">
      <c r="B125" t="s">
        <v>1586</v>
      </c>
      <c r="C125" t="s">
        <v>1391</v>
      </c>
      <c r="D125" t="s">
        <v>1416</v>
      </c>
    </row>
    <row r="126" spans="2:4" x14ac:dyDescent="0.3">
      <c r="B126" t="s">
        <v>1586</v>
      </c>
      <c r="C126" t="s">
        <v>1391</v>
      </c>
      <c r="D126" t="s">
        <v>1416</v>
      </c>
    </row>
    <row r="127" spans="2:4" x14ac:dyDescent="0.3">
      <c r="B127" t="s">
        <v>1586</v>
      </c>
      <c r="C127" t="s">
        <v>1391</v>
      </c>
      <c r="D127" t="s">
        <v>1416</v>
      </c>
    </row>
    <row r="128" spans="2:4" x14ac:dyDescent="0.3">
      <c r="B128" t="s">
        <v>1586</v>
      </c>
      <c r="C128" t="s">
        <v>1391</v>
      </c>
      <c r="D128" t="s">
        <v>1416</v>
      </c>
    </row>
    <row r="129" spans="2:4" x14ac:dyDescent="0.3">
      <c r="B129" t="s">
        <v>1586</v>
      </c>
      <c r="C129" t="s">
        <v>1391</v>
      </c>
      <c r="D129" t="s">
        <v>1416</v>
      </c>
    </row>
    <row r="130" spans="2:4" x14ac:dyDescent="0.3">
      <c r="B130" t="s">
        <v>1586</v>
      </c>
      <c r="C130" t="s">
        <v>1391</v>
      </c>
      <c r="D130" t="s">
        <v>1416</v>
      </c>
    </row>
    <row r="131" spans="2:4" x14ac:dyDescent="0.3">
      <c r="B131" t="s">
        <v>1586</v>
      </c>
      <c r="C131" t="s">
        <v>1391</v>
      </c>
      <c r="D131" t="s">
        <v>1416</v>
      </c>
    </row>
    <row r="132" spans="2:4" x14ac:dyDescent="0.3">
      <c r="B132" t="s">
        <v>1586</v>
      </c>
      <c r="C132" t="s">
        <v>1391</v>
      </c>
      <c r="D132" t="s">
        <v>1416</v>
      </c>
    </row>
    <row r="133" spans="2:4" x14ac:dyDescent="0.3">
      <c r="B133" t="s">
        <v>1586</v>
      </c>
      <c r="C133" t="s">
        <v>1391</v>
      </c>
      <c r="D133" t="s">
        <v>1416</v>
      </c>
    </row>
    <row r="134" spans="2:4" x14ac:dyDescent="0.3">
      <c r="B134" t="s">
        <v>1586</v>
      </c>
      <c r="C134" t="s">
        <v>1391</v>
      </c>
      <c r="D134" t="s">
        <v>1416</v>
      </c>
    </row>
    <row r="135" spans="2:4" x14ac:dyDescent="0.3">
      <c r="B135" t="s">
        <v>1586</v>
      </c>
      <c r="C135" t="s">
        <v>1391</v>
      </c>
      <c r="D135" t="s">
        <v>1416</v>
      </c>
    </row>
    <row r="136" spans="2:4" x14ac:dyDescent="0.3">
      <c r="B136" t="s">
        <v>1586</v>
      </c>
      <c r="C136" t="s">
        <v>1391</v>
      </c>
      <c r="D136" t="s">
        <v>1416</v>
      </c>
    </row>
    <row r="137" spans="2:4" x14ac:dyDescent="0.3">
      <c r="B137" t="s">
        <v>1586</v>
      </c>
      <c r="C137" t="s">
        <v>1391</v>
      </c>
      <c r="D137" t="s">
        <v>1416</v>
      </c>
    </row>
    <row r="138" spans="2:4" x14ac:dyDescent="0.3">
      <c r="B138" t="s">
        <v>1586</v>
      </c>
      <c r="C138" t="s">
        <v>1391</v>
      </c>
      <c r="D138" t="s">
        <v>1416</v>
      </c>
    </row>
    <row r="139" spans="2:4" x14ac:dyDescent="0.3">
      <c r="B139" t="s">
        <v>1586</v>
      </c>
      <c r="C139" t="s">
        <v>1391</v>
      </c>
      <c r="D139" t="s">
        <v>1416</v>
      </c>
    </row>
    <row r="140" spans="2:4" x14ac:dyDescent="0.3">
      <c r="B140" t="s">
        <v>1586</v>
      </c>
      <c r="C140" t="s">
        <v>1391</v>
      </c>
      <c r="D140" t="s">
        <v>1416</v>
      </c>
    </row>
    <row r="141" spans="2:4" x14ac:dyDescent="0.3">
      <c r="B141" t="s">
        <v>1586</v>
      </c>
      <c r="C141" t="s">
        <v>1391</v>
      </c>
      <c r="D141" t="s">
        <v>1416</v>
      </c>
    </row>
    <row r="142" spans="2:4" x14ac:dyDescent="0.3">
      <c r="B142" t="s">
        <v>1586</v>
      </c>
      <c r="C142" t="s">
        <v>1391</v>
      </c>
      <c r="D142" t="s">
        <v>1416</v>
      </c>
    </row>
    <row r="143" spans="2:4" x14ac:dyDescent="0.3">
      <c r="B143" t="s">
        <v>1586</v>
      </c>
      <c r="C143" t="s">
        <v>1391</v>
      </c>
      <c r="D143" t="s">
        <v>1416</v>
      </c>
    </row>
    <row r="144" spans="2:4" x14ac:dyDescent="0.3">
      <c r="B144" t="s">
        <v>1587</v>
      </c>
      <c r="C144" t="s">
        <v>1393</v>
      </c>
      <c r="D144" t="s">
        <v>1417</v>
      </c>
    </row>
    <row r="145" spans="2:4" x14ac:dyDescent="0.3">
      <c r="B145" t="s">
        <v>1587</v>
      </c>
      <c r="C145" t="s">
        <v>1393</v>
      </c>
      <c r="D145" t="s">
        <v>1417</v>
      </c>
    </row>
    <row r="146" spans="2:4" x14ac:dyDescent="0.3">
      <c r="B146" t="s">
        <v>1587</v>
      </c>
      <c r="C146" t="s">
        <v>1393</v>
      </c>
      <c r="D146" t="s">
        <v>1417</v>
      </c>
    </row>
    <row r="147" spans="2:4" x14ac:dyDescent="0.3">
      <c r="B147" t="s">
        <v>1587</v>
      </c>
      <c r="C147" t="s">
        <v>1393</v>
      </c>
      <c r="D147" t="s">
        <v>1417</v>
      </c>
    </row>
    <row r="148" spans="2:4" x14ac:dyDescent="0.3">
      <c r="B148" t="s">
        <v>1592</v>
      </c>
      <c r="C148" t="s">
        <v>1384</v>
      </c>
      <c r="D148" t="s">
        <v>1421</v>
      </c>
    </row>
    <row r="149" spans="2:4" x14ac:dyDescent="0.3">
      <c r="B149" t="s">
        <v>1592</v>
      </c>
      <c r="C149" t="s">
        <v>1384</v>
      </c>
      <c r="D149" t="s">
        <v>1421</v>
      </c>
    </row>
    <row r="150" spans="2:4" x14ac:dyDescent="0.3">
      <c r="B150" t="s">
        <v>1592</v>
      </c>
      <c r="C150" t="s">
        <v>1384</v>
      </c>
      <c r="D150" t="s">
        <v>1421</v>
      </c>
    </row>
    <row r="151" spans="2:4" x14ac:dyDescent="0.3">
      <c r="B151" t="s">
        <v>1595</v>
      </c>
      <c r="C151" t="s">
        <v>1384</v>
      </c>
      <c r="D151" t="s">
        <v>294</v>
      </c>
    </row>
    <row r="152" spans="2:4" x14ac:dyDescent="0.3">
      <c r="B152" t="s">
        <v>1595</v>
      </c>
      <c r="C152" t="s">
        <v>1384</v>
      </c>
      <c r="D152" t="s">
        <v>294</v>
      </c>
    </row>
    <row r="153" spans="2:4" x14ac:dyDescent="0.3">
      <c r="B153" t="s">
        <v>1595</v>
      </c>
      <c r="C153" t="s">
        <v>1384</v>
      </c>
      <c r="D153" t="s">
        <v>294</v>
      </c>
    </row>
    <row r="154" spans="2:4" x14ac:dyDescent="0.3">
      <c r="B154" t="s">
        <v>1596</v>
      </c>
      <c r="C154" t="s">
        <v>1384</v>
      </c>
      <c r="D154" t="s">
        <v>298</v>
      </c>
    </row>
    <row r="155" spans="2:4" x14ac:dyDescent="0.3">
      <c r="B155" t="s">
        <v>1596</v>
      </c>
      <c r="C155" t="s">
        <v>1384</v>
      </c>
      <c r="D155" t="s">
        <v>298</v>
      </c>
    </row>
    <row r="156" spans="2:4" x14ac:dyDescent="0.3">
      <c r="B156" t="s">
        <v>1596</v>
      </c>
      <c r="C156" t="s">
        <v>1384</v>
      </c>
      <c r="D156" t="s">
        <v>298</v>
      </c>
    </row>
    <row r="157" spans="2:4" x14ac:dyDescent="0.3">
      <c r="B157" t="s">
        <v>1598</v>
      </c>
      <c r="C157" t="s">
        <v>1384</v>
      </c>
      <c r="D157" t="s">
        <v>310</v>
      </c>
    </row>
    <row r="158" spans="2:4" x14ac:dyDescent="0.3">
      <c r="B158" t="s">
        <v>1598</v>
      </c>
      <c r="C158" t="s">
        <v>1384</v>
      </c>
      <c r="D158" t="s">
        <v>310</v>
      </c>
    </row>
    <row r="159" spans="2:4" x14ac:dyDescent="0.3">
      <c r="B159" t="s">
        <v>1598</v>
      </c>
      <c r="C159" t="s">
        <v>1384</v>
      </c>
      <c r="D159" t="s">
        <v>310</v>
      </c>
    </row>
    <row r="160" spans="2:4" x14ac:dyDescent="0.3">
      <c r="B160" t="s">
        <v>1598</v>
      </c>
      <c r="C160" t="s">
        <v>1384</v>
      </c>
      <c r="D160" t="s">
        <v>310</v>
      </c>
    </row>
    <row r="161" spans="2:4" x14ac:dyDescent="0.3">
      <c r="B161" t="s">
        <v>1601</v>
      </c>
      <c r="C161" t="s">
        <v>1384</v>
      </c>
      <c r="D161" t="s">
        <v>744</v>
      </c>
    </row>
    <row r="162" spans="2:4" x14ac:dyDescent="0.3">
      <c r="B162" t="s">
        <v>1601</v>
      </c>
      <c r="C162" t="s">
        <v>1384</v>
      </c>
      <c r="D162" t="s">
        <v>744</v>
      </c>
    </row>
    <row r="163" spans="2:4" x14ac:dyDescent="0.3">
      <c r="B163" t="s">
        <v>1601</v>
      </c>
      <c r="C163" t="s">
        <v>1384</v>
      </c>
      <c r="D163" t="s">
        <v>744</v>
      </c>
    </row>
    <row r="164" spans="2:4" x14ac:dyDescent="0.3">
      <c r="B164" t="s">
        <v>1601</v>
      </c>
      <c r="C164" t="s">
        <v>1384</v>
      </c>
      <c r="D164" t="s">
        <v>744</v>
      </c>
    </row>
    <row r="165" spans="2:4" x14ac:dyDescent="0.3">
      <c r="B165" t="s">
        <v>1601</v>
      </c>
      <c r="C165" t="s">
        <v>1384</v>
      </c>
      <c r="D165" t="s">
        <v>744</v>
      </c>
    </row>
    <row r="166" spans="2:4" x14ac:dyDescent="0.3">
      <c r="B166" t="s">
        <v>1603</v>
      </c>
      <c r="C166" t="s">
        <v>1415</v>
      </c>
      <c r="D166" t="s">
        <v>1428</v>
      </c>
    </row>
    <row r="167" spans="2:4" x14ac:dyDescent="0.3">
      <c r="B167" t="s">
        <v>1603</v>
      </c>
      <c r="C167" t="s">
        <v>1415</v>
      </c>
      <c r="D167" t="s">
        <v>1428</v>
      </c>
    </row>
    <row r="168" spans="2:4" x14ac:dyDescent="0.3">
      <c r="B168" t="s">
        <v>1607</v>
      </c>
      <c r="C168" t="s">
        <v>1403</v>
      </c>
      <c r="D168" t="s">
        <v>1433</v>
      </c>
    </row>
    <row r="169" spans="2:4" x14ac:dyDescent="0.3">
      <c r="B169" t="s">
        <v>1607</v>
      </c>
      <c r="C169" t="s">
        <v>1403</v>
      </c>
      <c r="D169" t="s">
        <v>1433</v>
      </c>
    </row>
    <row r="170" spans="2:4" x14ac:dyDescent="0.3">
      <c r="B170" t="s">
        <v>1607</v>
      </c>
      <c r="C170" t="s">
        <v>1403</v>
      </c>
      <c r="D170" t="s">
        <v>1433</v>
      </c>
    </row>
    <row r="171" spans="2:4" x14ac:dyDescent="0.3">
      <c r="B171" t="s">
        <v>1607</v>
      </c>
      <c r="C171" t="s">
        <v>1403</v>
      </c>
      <c r="D171" t="s">
        <v>1433</v>
      </c>
    </row>
    <row r="172" spans="2:4" x14ac:dyDescent="0.3">
      <c r="B172" t="s">
        <v>1607</v>
      </c>
      <c r="C172" t="s">
        <v>1403</v>
      </c>
      <c r="D172" t="s">
        <v>1433</v>
      </c>
    </row>
    <row r="173" spans="2:4" x14ac:dyDescent="0.3">
      <c r="B173" t="s">
        <v>1607</v>
      </c>
      <c r="C173" t="s">
        <v>1403</v>
      </c>
      <c r="D173" t="s">
        <v>1433</v>
      </c>
    </row>
    <row r="174" spans="2:4" x14ac:dyDescent="0.3">
      <c r="B174" t="s">
        <v>1607</v>
      </c>
      <c r="C174" t="s">
        <v>1403</v>
      </c>
      <c r="D174" t="s">
        <v>1433</v>
      </c>
    </row>
    <row r="175" spans="2:4" x14ac:dyDescent="0.3">
      <c r="B175" t="s">
        <v>1608</v>
      </c>
      <c r="C175" t="s">
        <v>1384</v>
      </c>
      <c r="D175" t="s">
        <v>1434</v>
      </c>
    </row>
    <row r="176" spans="2:4" x14ac:dyDescent="0.3">
      <c r="B176" t="s">
        <v>1608</v>
      </c>
      <c r="C176" t="s">
        <v>1384</v>
      </c>
      <c r="D176" t="s">
        <v>1434</v>
      </c>
    </row>
    <row r="177" spans="2:4" x14ac:dyDescent="0.3">
      <c r="B177" t="s">
        <v>1608</v>
      </c>
      <c r="C177" t="s">
        <v>1384</v>
      </c>
      <c r="D177" t="s">
        <v>1434</v>
      </c>
    </row>
    <row r="178" spans="2:4" x14ac:dyDescent="0.3">
      <c r="B178" t="s">
        <v>1609</v>
      </c>
      <c r="C178" t="s">
        <v>1415</v>
      </c>
      <c r="D178" t="s">
        <v>518</v>
      </c>
    </row>
    <row r="179" spans="2:4" x14ac:dyDescent="0.3">
      <c r="B179" t="s">
        <v>1609</v>
      </c>
      <c r="C179" t="s">
        <v>1415</v>
      </c>
      <c r="D179" t="s">
        <v>518</v>
      </c>
    </row>
    <row r="180" spans="2:4" x14ac:dyDescent="0.3">
      <c r="B180" t="s">
        <v>1609</v>
      </c>
      <c r="C180" t="s">
        <v>1415</v>
      </c>
      <c r="D180" t="s">
        <v>518</v>
      </c>
    </row>
    <row r="181" spans="2:4" x14ac:dyDescent="0.3">
      <c r="B181" t="s">
        <v>1610</v>
      </c>
      <c r="C181" t="s">
        <v>1415</v>
      </c>
      <c r="D181" t="s">
        <v>217</v>
      </c>
    </row>
    <row r="182" spans="2:4" x14ac:dyDescent="0.3">
      <c r="B182" t="s">
        <v>1610</v>
      </c>
      <c r="C182" t="s">
        <v>1415</v>
      </c>
      <c r="D182" t="s">
        <v>217</v>
      </c>
    </row>
    <row r="183" spans="2:4" x14ac:dyDescent="0.3">
      <c r="B183" t="s">
        <v>1611</v>
      </c>
      <c r="C183" t="s">
        <v>1415</v>
      </c>
      <c r="D183" t="s">
        <v>530</v>
      </c>
    </row>
    <row r="184" spans="2:4" x14ac:dyDescent="0.3">
      <c r="B184" t="s">
        <v>1611</v>
      </c>
      <c r="C184" t="s">
        <v>1415</v>
      </c>
      <c r="D184" t="s">
        <v>530</v>
      </c>
    </row>
    <row r="185" spans="2:4" x14ac:dyDescent="0.3">
      <c r="B185" t="s">
        <v>1612</v>
      </c>
      <c r="C185" t="s">
        <v>1415</v>
      </c>
      <c r="D185" t="s">
        <v>534</v>
      </c>
    </row>
    <row r="186" spans="2:4" x14ac:dyDescent="0.3">
      <c r="B186" t="s">
        <v>1613</v>
      </c>
      <c r="C186" t="s">
        <v>1415</v>
      </c>
      <c r="D186" t="s">
        <v>537</v>
      </c>
    </row>
    <row r="187" spans="2:4" x14ac:dyDescent="0.3">
      <c r="B187" t="s">
        <v>1621</v>
      </c>
      <c r="C187" t="s">
        <v>1385</v>
      </c>
      <c r="D187" t="s">
        <v>1443</v>
      </c>
    </row>
    <row r="188" spans="2:4" x14ac:dyDescent="0.3">
      <c r="B188" t="s">
        <v>1621</v>
      </c>
      <c r="C188" t="s">
        <v>1385</v>
      </c>
      <c r="D188" t="s">
        <v>1443</v>
      </c>
    </row>
    <row r="189" spans="2:4" x14ac:dyDescent="0.3">
      <c r="B189" t="s">
        <v>1621</v>
      </c>
      <c r="C189" t="s">
        <v>1385</v>
      </c>
      <c r="D189" t="s">
        <v>1443</v>
      </c>
    </row>
    <row r="190" spans="2:4" x14ac:dyDescent="0.3">
      <c r="B190" t="s">
        <v>1621</v>
      </c>
      <c r="C190" t="s">
        <v>1385</v>
      </c>
      <c r="D190" t="s">
        <v>1443</v>
      </c>
    </row>
    <row r="191" spans="2:4" x14ac:dyDescent="0.3">
      <c r="B191" t="s">
        <v>1635</v>
      </c>
      <c r="C191" t="s">
        <v>1384</v>
      </c>
      <c r="D191" t="s">
        <v>1457</v>
      </c>
    </row>
    <row r="192" spans="2:4" x14ac:dyDescent="0.3">
      <c r="B192" t="s">
        <v>1635</v>
      </c>
      <c r="C192" t="s">
        <v>1384</v>
      </c>
      <c r="D192" t="s">
        <v>1457</v>
      </c>
    </row>
    <row r="193" spans="2:4" x14ac:dyDescent="0.3">
      <c r="B193" t="s">
        <v>1635</v>
      </c>
      <c r="C193" t="s">
        <v>1384</v>
      </c>
      <c r="D193" t="s">
        <v>1457</v>
      </c>
    </row>
    <row r="194" spans="2:4" x14ac:dyDescent="0.3">
      <c r="B194" t="s">
        <v>1635</v>
      </c>
      <c r="C194" t="s">
        <v>1384</v>
      </c>
      <c r="D194" t="s">
        <v>1457</v>
      </c>
    </row>
    <row r="195" spans="2:4" x14ac:dyDescent="0.3">
      <c r="B195" t="s">
        <v>1635</v>
      </c>
      <c r="C195" t="s">
        <v>1384</v>
      </c>
      <c r="D195" t="s">
        <v>1457</v>
      </c>
    </row>
    <row r="196" spans="2:4" x14ac:dyDescent="0.3">
      <c r="B196" t="s">
        <v>1635</v>
      </c>
      <c r="C196" t="s">
        <v>1384</v>
      </c>
      <c r="D196" t="s">
        <v>1457</v>
      </c>
    </row>
    <row r="197" spans="2:4" x14ac:dyDescent="0.3">
      <c r="B197" t="s">
        <v>1635</v>
      </c>
      <c r="C197" t="s">
        <v>1384</v>
      </c>
      <c r="D197" t="s">
        <v>1457</v>
      </c>
    </row>
    <row r="198" spans="2:4" x14ac:dyDescent="0.3">
      <c r="B198" t="s">
        <v>1636</v>
      </c>
      <c r="C198" t="s">
        <v>1415</v>
      </c>
      <c r="D198" t="s">
        <v>1458</v>
      </c>
    </row>
    <row r="199" spans="2:4" x14ac:dyDescent="0.3">
      <c r="B199" t="s">
        <v>1636</v>
      </c>
      <c r="C199" t="s">
        <v>1415</v>
      </c>
      <c r="D199" t="s">
        <v>1458</v>
      </c>
    </row>
    <row r="200" spans="2:4" x14ac:dyDescent="0.3">
      <c r="B200" t="s">
        <v>1636</v>
      </c>
      <c r="C200" t="s">
        <v>1415</v>
      </c>
      <c r="D200" t="s">
        <v>1458</v>
      </c>
    </row>
    <row r="201" spans="2:4" x14ac:dyDescent="0.3">
      <c r="B201" t="s">
        <v>1636</v>
      </c>
      <c r="C201" t="s">
        <v>1415</v>
      </c>
      <c r="D201" t="s">
        <v>1458</v>
      </c>
    </row>
    <row r="202" spans="2:4" x14ac:dyDescent="0.3">
      <c r="B202" t="s">
        <v>1636</v>
      </c>
      <c r="C202" t="s">
        <v>1415</v>
      </c>
      <c r="D202" t="s">
        <v>1458</v>
      </c>
    </row>
    <row r="203" spans="2:4" x14ac:dyDescent="0.3">
      <c r="B203" t="s">
        <v>1636</v>
      </c>
      <c r="C203" t="s">
        <v>1415</v>
      </c>
      <c r="D203" t="s">
        <v>1458</v>
      </c>
    </row>
    <row r="204" spans="2:4" x14ac:dyDescent="0.3">
      <c r="B204" t="s">
        <v>1636</v>
      </c>
      <c r="C204" t="s">
        <v>1415</v>
      </c>
      <c r="D204" t="s">
        <v>1458</v>
      </c>
    </row>
    <row r="205" spans="2:4" x14ac:dyDescent="0.3">
      <c r="B205" t="s">
        <v>1636</v>
      </c>
      <c r="C205" t="s">
        <v>1415</v>
      </c>
      <c r="D205" t="s">
        <v>1458</v>
      </c>
    </row>
    <row r="206" spans="2:4" x14ac:dyDescent="0.3">
      <c r="B206" t="s">
        <v>1636</v>
      </c>
      <c r="C206" t="s">
        <v>1415</v>
      </c>
      <c r="D206" t="s">
        <v>1458</v>
      </c>
    </row>
    <row r="207" spans="2:4" x14ac:dyDescent="0.3">
      <c r="B207" t="s">
        <v>1636</v>
      </c>
      <c r="C207" t="s">
        <v>1415</v>
      </c>
      <c r="D207" t="s">
        <v>1458</v>
      </c>
    </row>
    <row r="208" spans="2:4" x14ac:dyDescent="0.3">
      <c r="B208" t="s">
        <v>1636</v>
      </c>
      <c r="C208" t="s">
        <v>1415</v>
      </c>
      <c r="D208" t="s">
        <v>1458</v>
      </c>
    </row>
    <row r="209" spans="2:4" x14ac:dyDescent="0.3">
      <c r="B209" t="s">
        <v>1636</v>
      </c>
      <c r="C209" t="s">
        <v>1415</v>
      </c>
      <c r="D209" t="s">
        <v>1458</v>
      </c>
    </row>
    <row r="210" spans="2:4" x14ac:dyDescent="0.3">
      <c r="B210" t="s">
        <v>1636</v>
      </c>
      <c r="C210" t="s">
        <v>1415</v>
      </c>
      <c r="D210" t="s">
        <v>1458</v>
      </c>
    </row>
    <row r="211" spans="2:4" x14ac:dyDescent="0.3">
      <c r="B211" t="s">
        <v>1636</v>
      </c>
      <c r="C211" t="s">
        <v>1415</v>
      </c>
      <c r="D211" t="s">
        <v>1458</v>
      </c>
    </row>
    <row r="212" spans="2:4" x14ac:dyDescent="0.3">
      <c r="B212" t="s">
        <v>1636</v>
      </c>
      <c r="C212" t="s">
        <v>1415</v>
      </c>
      <c r="D212" t="s">
        <v>1458</v>
      </c>
    </row>
    <row r="213" spans="2:4" x14ac:dyDescent="0.3">
      <c r="B213" t="s">
        <v>1636</v>
      </c>
      <c r="C213" t="s">
        <v>1415</v>
      </c>
      <c r="D213" t="s">
        <v>1458</v>
      </c>
    </row>
    <row r="214" spans="2:4" x14ac:dyDescent="0.3">
      <c r="B214" t="s">
        <v>1636</v>
      </c>
      <c r="C214" t="s">
        <v>1415</v>
      </c>
      <c r="D214" t="s">
        <v>1458</v>
      </c>
    </row>
    <row r="215" spans="2:4" x14ac:dyDescent="0.3">
      <c r="B215" t="s">
        <v>1636</v>
      </c>
      <c r="C215" t="s">
        <v>1415</v>
      </c>
      <c r="D215" t="s">
        <v>1458</v>
      </c>
    </row>
    <row r="216" spans="2:4" x14ac:dyDescent="0.3">
      <c r="B216" t="s">
        <v>1636</v>
      </c>
      <c r="C216" t="s">
        <v>1415</v>
      </c>
      <c r="D216" t="s">
        <v>1458</v>
      </c>
    </row>
    <row r="217" spans="2:4" x14ac:dyDescent="0.3">
      <c r="B217" t="s">
        <v>1637</v>
      </c>
      <c r="C217" t="s">
        <v>1384</v>
      </c>
      <c r="D217" t="s">
        <v>839</v>
      </c>
    </row>
    <row r="218" spans="2:4" x14ac:dyDescent="0.3">
      <c r="B218" t="s">
        <v>1637</v>
      </c>
      <c r="C218" t="s">
        <v>1384</v>
      </c>
      <c r="D218" t="s">
        <v>839</v>
      </c>
    </row>
    <row r="219" spans="2:4" x14ac:dyDescent="0.3">
      <c r="B219" t="s">
        <v>1637</v>
      </c>
      <c r="C219" t="s">
        <v>1384</v>
      </c>
      <c r="D219" t="s">
        <v>839</v>
      </c>
    </row>
    <row r="220" spans="2:4" x14ac:dyDescent="0.3">
      <c r="B220" t="s">
        <v>1637</v>
      </c>
      <c r="C220" t="s">
        <v>1384</v>
      </c>
      <c r="D220" t="s">
        <v>839</v>
      </c>
    </row>
    <row r="221" spans="2:4" x14ac:dyDescent="0.3">
      <c r="B221" t="s">
        <v>1638</v>
      </c>
      <c r="C221" t="s">
        <v>1384</v>
      </c>
      <c r="D221" t="s">
        <v>1499</v>
      </c>
    </row>
    <row r="222" spans="2:4" x14ac:dyDescent="0.3">
      <c r="B222" t="s">
        <v>1638</v>
      </c>
      <c r="C222" t="s">
        <v>1384</v>
      </c>
      <c r="D222" t="s">
        <v>1499</v>
      </c>
    </row>
    <row r="223" spans="2:4" x14ac:dyDescent="0.3">
      <c r="B223" t="s">
        <v>1638</v>
      </c>
      <c r="C223" t="s">
        <v>1384</v>
      </c>
      <c r="D223" t="s">
        <v>1499</v>
      </c>
    </row>
    <row r="224" spans="2:4" x14ac:dyDescent="0.3">
      <c r="B224" t="s">
        <v>1640</v>
      </c>
      <c r="C224" t="s">
        <v>1384</v>
      </c>
      <c r="D224" t="s">
        <v>848</v>
      </c>
    </row>
    <row r="225" spans="2:4" x14ac:dyDescent="0.3">
      <c r="B225" t="s">
        <v>1640</v>
      </c>
      <c r="C225" t="s">
        <v>1384</v>
      </c>
      <c r="D225" t="s">
        <v>848</v>
      </c>
    </row>
    <row r="226" spans="2:4" x14ac:dyDescent="0.3">
      <c r="B226" t="s">
        <v>1640</v>
      </c>
      <c r="C226" t="s">
        <v>1384</v>
      </c>
      <c r="D226" t="s">
        <v>848</v>
      </c>
    </row>
    <row r="227" spans="2:4" x14ac:dyDescent="0.3">
      <c r="B227" t="s">
        <v>1640</v>
      </c>
      <c r="C227" t="s">
        <v>1384</v>
      </c>
      <c r="D227" t="s">
        <v>848</v>
      </c>
    </row>
    <row r="228" spans="2:4" x14ac:dyDescent="0.3">
      <c r="B228" t="s">
        <v>1640</v>
      </c>
      <c r="C228" t="s">
        <v>1384</v>
      </c>
      <c r="D228" t="s">
        <v>848</v>
      </c>
    </row>
    <row r="229" spans="2:4" x14ac:dyDescent="0.3">
      <c r="B229" t="s">
        <v>1640</v>
      </c>
      <c r="C229" t="s">
        <v>1384</v>
      </c>
      <c r="D229" t="s">
        <v>848</v>
      </c>
    </row>
    <row r="230" spans="2:4" x14ac:dyDescent="0.3">
      <c r="B230" t="s">
        <v>1640</v>
      </c>
      <c r="C230" t="s">
        <v>1384</v>
      </c>
      <c r="D230" t="s">
        <v>848</v>
      </c>
    </row>
    <row r="231" spans="2:4" x14ac:dyDescent="0.3">
      <c r="B231" t="s">
        <v>1640</v>
      </c>
      <c r="C231" t="s">
        <v>1384</v>
      </c>
      <c r="D231" t="s">
        <v>848</v>
      </c>
    </row>
    <row r="232" spans="2:4" x14ac:dyDescent="0.3">
      <c r="B232" t="s">
        <v>1640</v>
      </c>
      <c r="C232" t="s">
        <v>1384</v>
      </c>
      <c r="D232" t="s">
        <v>848</v>
      </c>
    </row>
    <row r="233" spans="2:4" x14ac:dyDescent="0.3">
      <c r="B233" t="s">
        <v>1641</v>
      </c>
      <c r="C233" t="s">
        <v>1384</v>
      </c>
      <c r="D233" t="s">
        <v>849</v>
      </c>
    </row>
    <row r="234" spans="2:4" x14ac:dyDescent="0.3">
      <c r="B234" t="s">
        <v>1641</v>
      </c>
      <c r="C234" t="s">
        <v>1384</v>
      </c>
      <c r="D234" t="s">
        <v>849</v>
      </c>
    </row>
    <row r="235" spans="2:4" x14ac:dyDescent="0.3">
      <c r="B235" t="s">
        <v>1641</v>
      </c>
      <c r="C235" t="s">
        <v>1384</v>
      </c>
      <c r="D235" t="s">
        <v>849</v>
      </c>
    </row>
    <row r="236" spans="2:4" x14ac:dyDescent="0.3">
      <c r="B236" t="s">
        <v>1641</v>
      </c>
      <c r="C236" t="s">
        <v>1384</v>
      </c>
      <c r="D236" t="s">
        <v>849</v>
      </c>
    </row>
    <row r="237" spans="2:4" x14ac:dyDescent="0.3">
      <c r="B237" t="s">
        <v>1642</v>
      </c>
      <c r="C237" t="s">
        <v>1384</v>
      </c>
      <c r="D237" t="s">
        <v>328</v>
      </c>
    </row>
    <row r="238" spans="2:4" x14ac:dyDescent="0.3">
      <c r="B238" t="s">
        <v>1642</v>
      </c>
      <c r="C238" t="s">
        <v>1384</v>
      </c>
      <c r="D238" t="s">
        <v>328</v>
      </c>
    </row>
    <row r="239" spans="2:4" x14ac:dyDescent="0.3">
      <c r="B239" t="s">
        <v>1642</v>
      </c>
      <c r="C239" t="s">
        <v>1384</v>
      </c>
      <c r="D239" t="s">
        <v>328</v>
      </c>
    </row>
    <row r="240" spans="2:4" x14ac:dyDescent="0.3">
      <c r="B240" t="s">
        <v>1642</v>
      </c>
      <c r="C240" t="s">
        <v>1384</v>
      </c>
      <c r="D240" t="s">
        <v>328</v>
      </c>
    </row>
    <row r="241" spans="2:4" x14ac:dyDescent="0.3">
      <c r="B241" t="s">
        <v>1642</v>
      </c>
      <c r="C241" t="s">
        <v>1384</v>
      </c>
      <c r="D241" t="s">
        <v>328</v>
      </c>
    </row>
    <row r="242" spans="2:4" x14ac:dyDescent="0.3">
      <c r="B242" t="s">
        <v>1650</v>
      </c>
      <c r="C242" t="s">
        <v>1391</v>
      </c>
      <c r="D242" t="s">
        <v>1464</v>
      </c>
    </row>
    <row r="243" spans="2:4" x14ac:dyDescent="0.3">
      <c r="B243" t="s">
        <v>1650</v>
      </c>
      <c r="C243" t="s">
        <v>1391</v>
      </c>
      <c r="D243" t="s">
        <v>1464</v>
      </c>
    </row>
    <row r="244" spans="2:4" x14ac:dyDescent="0.3">
      <c r="B244" t="s">
        <v>1651</v>
      </c>
      <c r="C244" t="s">
        <v>1384</v>
      </c>
      <c r="D244" t="s">
        <v>498</v>
      </c>
    </row>
    <row r="245" spans="2:4" x14ac:dyDescent="0.3">
      <c r="B245" t="s">
        <v>1653</v>
      </c>
      <c r="C245" t="s">
        <v>1384</v>
      </c>
      <c r="D245" t="s">
        <v>650</v>
      </c>
    </row>
    <row r="246" spans="2:4" x14ac:dyDescent="0.3">
      <c r="B246" t="s">
        <v>1653</v>
      </c>
      <c r="C246" t="s">
        <v>1384</v>
      </c>
      <c r="D246" t="s">
        <v>650</v>
      </c>
    </row>
    <row r="247" spans="2:4" x14ac:dyDescent="0.3">
      <c r="B247" t="s">
        <v>1654</v>
      </c>
      <c r="C247" t="s">
        <v>1415</v>
      </c>
      <c r="D247" t="s">
        <v>838</v>
      </c>
    </row>
    <row r="248" spans="2:4" x14ac:dyDescent="0.3">
      <c r="B248" t="s">
        <v>1663</v>
      </c>
      <c r="C248" t="s">
        <v>1405</v>
      </c>
      <c r="D248" t="s">
        <v>1084</v>
      </c>
    </row>
    <row r="249" spans="2:4" x14ac:dyDescent="0.3">
      <c r="B249" t="s">
        <v>1665</v>
      </c>
      <c r="C249" t="s">
        <v>1405</v>
      </c>
      <c r="D249" t="s">
        <v>1474</v>
      </c>
    </row>
    <row r="250" spans="2:4" x14ac:dyDescent="0.3">
      <c r="B250" t="s">
        <v>1665</v>
      </c>
      <c r="C250" t="s">
        <v>1405</v>
      </c>
      <c r="D250" t="s">
        <v>1474</v>
      </c>
    </row>
    <row r="251" spans="2:4" x14ac:dyDescent="0.3">
      <c r="B251" t="s">
        <v>1665</v>
      </c>
      <c r="C251" t="s">
        <v>1405</v>
      </c>
      <c r="D251" t="s">
        <v>1474</v>
      </c>
    </row>
    <row r="252" spans="2:4" x14ac:dyDescent="0.3">
      <c r="B252" t="s">
        <v>1665</v>
      </c>
      <c r="C252" t="s">
        <v>1405</v>
      </c>
      <c r="D252" t="s">
        <v>1474</v>
      </c>
    </row>
    <row r="253" spans="2:4" x14ac:dyDescent="0.3">
      <c r="B253" t="s">
        <v>1665</v>
      </c>
      <c r="C253" t="s">
        <v>1405</v>
      </c>
      <c r="D253" t="s">
        <v>1474</v>
      </c>
    </row>
    <row r="254" spans="2:4" x14ac:dyDescent="0.3">
      <c r="B254" t="s">
        <v>1665</v>
      </c>
      <c r="C254" t="s">
        <v>1405</v>
      </c>
      <c r="D254" t="s">
        <v>1474</v>
      </c>
    </row>
    <row r="255" spans="2:4" x14ac:dyDescent="0.3">
      <c r="B255" t="s">
        <v>1665</v>
      </c>
      <c r="C255" t="s">
        <v>1405</v>
      </c>
      <c r="D255" t="s">
        <v>1474</v>
      </c>
    </row>
    <row r="256" spans="2:4" x14ac:dyDescent="0.3">
      <c r="B256" t="s">
        <v>1668</v>
      </c>
      <c r="C256" t="s">
        <v>1384</v>
      </c>
      <c r="D256" t="s">
        <v>1214</v>
      </c>
    </row>
    <row r="257" spans="2:4" x14ac:dyDescent="0.3">
      <c r="B257" t="s">
        <v>1670</v>
      </c>
      <c r="C257" t="s">
        <v>1384</v>
      </c>
      <c r="D257" t="s">
        <v>306</v>
      </c>
    </row>
    <row r="258" spans="2:4" x14ac:dyDescent="0.3">
      <c r="B258" t="s">
        <v>1671</v>
      </c>
      <c r="C258" t="s">
        <v>1384</v>
      </c>
      <c r="D258" t="s">
        <v>842</v>
      </c>
    </row>
    <row r="259" spans="2:4" x14ac:dyDescent="0.3">
      <c r="B259" t="s">
        <v>1673</v>
      </c>
      <c r="C259" t="s">
        <v>1403</v>
      </c>
      <c r="D259" t="s">
        <v>1479</v>
      </c>
    </row>
    <row r="260" spans="2:4" x14ac:dyDescent="0.3">
      <c r="B260" t="s">
        <v>1673</v>
      </c>
      <c r="C260" t="s">
        <v>1403</v>
      </c>
      <c r="D260" t="s">
        <v>1479</v>
      </c>
    </row>
    <row r="261" spans="2:4" x14ac:dyDescent="0.3">
      <c r="B261" t="s">
        <v>1676</v>
      </c>
      <c r="C261" t="s">
        <v>1384</v>
      </c>
      <c r="D261" t="s">
        <v>231</v>
      </c>
    </row>
    <row r="262" spans="2:4" x14ac:dyDescent="0.3">
      <c r="B262" t="s">
        <v>1681</v>
      </c>
      <c r="C262" t="s">
        <v>1403</v>
      </c>
      <c r="D262" t="s">
        <v>513</v>
      </c>
    </row>
    <row r="263" spans="2:4" x14ac:dyDescent="0.3">
      <c r="B263" t="s">
        <v>1685</v>
      </c>
      <c r="C263" t="s">
        <v>1403</v>
      </c>
      <c r="D263" t="s">
        <v>516</v>
      </c>
    </row>
    <row r="264" spans="2:4" x14ac:dyDescent="0.3">
      <c r="B264" t="s">
        <v>1686</v>
      </c>
      <c r="C264" t="s">
        <v>1490</v>
      </c>
      <c r="D264" t="s">
        <v>1489</v>
      </c>
    </row>
    <row r="265" spans="2:4" x14ac:dyDescent="0.3">
      <c r="B265" t="s">
        <v>1687</v>
      </c>
      <c r="C265" t="s">
        <v>1490</v>
      </c>
      <c r="D265" t="s">
        <v>1491</v>
      </c>
    </row>
    <row r="266" spans="2:4" x14ac:dyDescent="0.3">
      <c r="B266" t="s">
        <v>1688</v>
      </c>
      <c r="C266" t="s">
        <v>1493</v>
      </c>
      <c r="D266" t="s">
        <v>1492</v>
      </c>
    </row>
    <row r="267" spans="2:4" x14ac:dyDescent="0.3">
      <c r="B267" t="s">
        <v>1689</v>
      </c>
      <c r="C267" t="s">
        <v>1388</v>
      </c>
      <c r="D267" t="s">
        <v>436</v>
      </c>
    </row>
    <row r="268" spans="2:4" x14ac:dyDescent="0.3">
      <c r="B268" t="s">
        <v>1887</v>
      </c>
      <c r="C268" t="s">
        <v>2725</v>
      </c>
      <c r="D268" t="s">
        <v>440</v>
      </c>
    </row>
  </sheetData>
  <autoFilter ref="A1:C1" xr:uid="{D02E67F6-B288-4758-88E1-2290947FEB60}">
    <sortState xmlns:xlrd2="http://schemas.microsoft.com/office/spreadsheetml/2017/richdata2" ref="A2:C484">
      <sortCondition ref="B1"/>
    </sortState>
  </autoFilter>
  <conditionalFormatting sqref="B2:B268">
    <cfRule type="duplicateValues" dxfId="1" priority="103"/>
    <cfRule type="expression" dxfId="0" priority="104">
      <formula>COUNTIF($A$2:A2,A2)=1</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6"/>
  <sheetViews>
    <sheetView topLeftCell="A364" zoomScale="57" zoomScaleNormal="57" workbookViewId="0">
      <selection activeCell="C375" sqref="C375:C379"/>
    </sheetView>
  </sheetViews>
  <sheetFormatPr baseColWidth="10" defaultRowHeight="14.4" x14ac:dyDescent="0.3"/>
  <cols>
    <col min="1" max="1" width="47.6640625" customWidth="1"/>
    <col min="2" max="3" width="32.6640625" customWidth="1"/>
    <col min="4" max="4" width="83.88671875" customWidth="1"/>
    <col min="5" max="5" width="112.44140625" customWidth="1"/>
    <col min="6" max="6" width="67.6640625" style="21" customWidth="1"/>
  </cols>
  <sheetData>
    <row r="1" spans="1:9" ht="62.25" customHeight="1" x14ac:dyDescent="0.3">
      <c r="A1" s="29" t="s">
        <v>24</v>
      </c>
      <c r="B1" s="30" t="s">
        <v>71</v>
      </c>
      <c r="C1" s="30" t="s">
        <v>72</v>
      </c>
      <c r="D1" s="30" t="s">
        <v>851</v>
      </c>
      <c r="E1" s="30" t="s">
        <v>852</v>
      </c>
      <c r="F1" s="31" t="s">
        <v>73</v>
      </c>
    </row>
    <row r="2" spans="1:9" ht="30" x14ac:dyDescent="0.3">
      <c r="A2" s="264" t="s">
        <v>9</v>
      </c>
      <c r="B2" s="312" t="s">
        <v>95</v>
      </c>
      <c r="C2" s="312" t="s">
        <v>96</v>
      </c>
      <c r="D2" s="312" t="s">
        <v>856</v>
      </c>
      <c r="E2" s="312"/>
      <c r="F2" s="20" t="s">
        <v>97</v>
      </c>
      <c r="I2" t="s">
        <v>853</v>
      </c>
    </row>
    <row r="3" spans="1:9" ht="15" x14ac:dyDescent="0.3">
      <c r="A3" s="265"/>
      <c r="B3" s="312"/>
      <c r="C3" s="312"/>
      <c r="D3" s="312"/>
      <c r="E3" s="312"/>
      <c r="F3" s="20" t="s">
        <v>99</v>
      </c>
      <c r="I3" t="s">
        <v>854</v>
      </c>
    </row>
    <row r="4" spans="1:9" ht="30" x14ac:dyDescent="0.3">
      <c r="A4" s="265"/>
      <c r="B4" s="312"/>
      <c r="C4" s="312"/>
      <c r="D4" s="312"/>
      <c r="E4" s="312"/>
      <c r="F4" s="20" t="s">
        <v>101</v>
      </c>
      <c r="I4" t="s">
        <v>855</v>
      </c>
    </row>
    <row r="5" spans="1:9" ht="34.5" customHeight="1" x14ac:dyDescent="0.3">
      <c r="A5" s="265"/>
      <c r="B5" s="312"/>
      <c r="C5" s="312"/>
      <c r="D5" s="312"/>
      <c r="E5" s="312"/>
      <c r="F5" s="20" t="s">
        <v>103</v>
      </c>
    </row>
    <row r="6" spans="1:9" ht="30" x14ac:dyDescent="0.3">
      <c r="A6" s="265"/>
      <c r="B6" s="312" t="s">
        <v>105</v>
      </c>
      <c r="C6" s="312" t="s">
        <v>106</v>
      </c>
      <c r="D6" s="312" t="s">
        <v>858</v>
      </c>
      <c r="E6" s="312"/>
      <c r="F6" s="20" t="s">
        <v>107</v>
      </c>
    </row>
    <row r="7" spans="1:9" ht="30" x14ac:dyDescent="0.3">
      <c r="A7" s="265"/>
      <c r="B7" s="312"/>
      <c r="C7" s="312"/>
      <c r="D7" s="312"/>
      <c r="E7" s="312"/>
      <c r="F7" s="20" t="s">
        <v>109</v>
      </c>
    </row>
    <row r="8" spans="1:9" ht="75.75" customHeight="1" x14ac:dyDescent="0.3">
      <c r="A8" s="265"/>
      <c r="B8" s="312"/>
      <c r="C8" s="312"/>
      <c r="D8" s="312"/>
      <c r="E8" s="312"/>
      <c r="F8" s="20" t="s">
        <v>111</v>
      </c>
    </row>
    <row r="9" spans="1:9" ht="30" x14ac:dyDescent="0.3">
      <c r="A9" s="265"/>
      <c r="B9" s="279" t="s">
        <v>112</v>
      </c>
      <c r="C9" s="258" t="s">
        <v>113</v>
      </c>
      <c r="D9" s="258" t="s">
        <v>857</v>
      </c>
      <c r="E9" s="258"/>
      <c r="F9" s="20" t="s">
        <v>114</v>
      </c>
    </row>
    <row r="10" spans="1:9" ht="45" x14ac:dyDescent="0.3">
      <c r="A10" s="265"/>
      <c r="B10" s="279"/>
      <c r="C10" s="258"/>
      <c r="D10" s="258"/>
      <c r="E10" s="258"/>
      <c r="F10" s="20" t="s">
        <v>116</v>
      </c>
    </row>
    <row r="11" spans="1:9" ht="30" x14ac:dyDescent="0.3">
      <c r="A11" s="265"/>
      <c r="B11" s="279"/>
      <c r="C11" s="258"/>
      <c r="D11" s="258"/>
      <c r="E11" s="258"/>
      <c r="F11" s="20" t="s">
        <v>118</v>
      </c>
    </row>
    <row r="12" spans="1:9" ht="30" x14ac:dyDescent="0.3">
      <c r="A12" s="265"/>
      <c r="B12" s="279"/>
      <c r="C12" s="258"/>
      <c r="D12" s="258"/>
      <c r="E12" s="258"/>
      <c r="F12" s="20" t="s">
        <v>120</v>
      </c>
    </row>
    <row r="13" spans="1:9" ht="30" x14ac:dyDescent="0.3">
      <c r="A13" s="265"/>
      <c r="B13" s="279"/>
      <c r="C13" s="258"/>
      <c r="D13" s="258"/>
      <c r="E13" s="258"/>
      <c r="F13" s="20" t="s">
        <v>121</v>
      </c>
    </row>
    <row r="14" spans="1:9" ht="30" x14ac:dyDescent="0.3">
      <c r="A14" s="265"/>
      <c r="B14" s="279"/>
      <c r="C14" s="258"/>
      <c r="D14" s="258"/>
      <c r="E14" s="258"/>
      <c r="F14" s="20" t="s">
        <v>123</v>
      </c>
    </row>
    <row r="15" spans="1:9" ht="15" x14ac:dyDescent="0.3">
      <c r="A15" s="265"/>
      <c r="B15" s="279"/>
      <c r="C15" s="258"/>
      <c r="D15" s="258"/>
      <c r="E15" s="258"/>
      <c r="F15" s="20" t="s">
        <v>125</v>
      </c>
    </row>
    <row r="16" spans="1:9" ht="30" x14ac:dyDescent="0.3">
      <c r="A16" s="265"/>
      <c r="B16" s="279" t="s">
        <v>675</v>
      </c>
      <c r="C16" s="260" t="s">
        <v>676</v>
      </c>
      <c r="D16" s="260" t="s">
        <v>860</v>
      </c>
      <c r="E16" s="260"/>
      <c r="F16" s="20" t="s">
        <v>677</v>
      </c>
    </row>
    <row r="17" spans="1:6" ht="30" x14ac:dyDescent="0.3">
      <c r="A17" s="265"/>
      <c r="B17" s="279"/>
      <c r="C17" s="260"/>
      <c r="D17" s="260"/>
      <c r="E17" s="260"/>
      <c r="F17" s="20" t="s">
        <v>678</v>
      </c>
    </row>
    <row r="18" spans="1:6" ht="15" x14ac:dyDescent="0.3">
      <c r="A18" s="265"/>
      <c r="B18" s="279"/>
      <c r="C18" s="260"/>
      <c r="D18" s="260"/>
      <c r="E18" s="260"/>
      <c r="F18" s="20" t="s">
        <v>679</v>
      </c>
    </row>
    <row r="19" spans="1:6" ht="30" x14ac:dyDescent="0.3">
      <c r="A19" s="265"/>
      <c r="B19" s="279"/>
      <c r="C19" s="260"/>
      <c r="D19" s="260"/>
      <c r="E19" s="260"/>
      <c r="F19" s="20" t="s">
        <v>680</v>
      </c>
    </row>
    <row r="20" spans="1:6" ht="45" x14ac:dyDescent="0.3">
      <c r="A20" s="265"/>
      <c r="B20" s="279"/>
      <c r="C20" s="260"/>
      <c r="D20" s="260"/>
      <c r="E20" s="260"/>
      <c r="F20" s="20" t="s">
        <v>681</v>
      </c>
    </row>
    <row r="21" spans="1:6" ht="15" x14ac:dyDescent="0.3">
      <c r="A21" s="266"/>
      <c r="B21" s="279"/>
      <c r="C21" s="260"/>
      <c r="D21" s="260"/>
      <c r="E21" s="260"/>
      <c r="F21" s="20" t="s">
        <v>682</v>
      </c>
    </row>
    <row r="22" spans="1:6" ht="15" x14ac:dyDescent="0.3">
      <c r="A22" s="325" t="s">
        <v>26</v>
      </c>
      <c r="B22" s="254" t="s">
        <v>92</v>
      </c>
      <c r="C22" s="254" t="s">
        <v>78</v>
      </c>
      <c r="D22" s="254" t="s">
        <v>859</v>
      </c>
      <c r="E22" s="254"/>
      <c r="F22" s="20" t="s">
        <v>93</v>
      </c>
    </row>
    <row r="23" spans="1:6" ht="30" x14ac:dyDescent="0.3">
      <c r="A23" s="325"/>
      <c r="B23" s="254"/>
      <c r="C23" s="254"/>
      <c r="D23" s="254"/>
      <c r="E23" s="254"/>
      <c r="F23" s="20" t="s">
        <v>94</v>
      </c>
    </row>
    <row r="24" spans="1:6" ht="15" x14ac:dyDescent="0.3">
      <c r="A24" s="325" t="s">
        <v>27</v>
      </c>
      <c r="B24" s="254" t="s">
        <v>92</v>
      </c>
      <c r="C24" s="254" t="s">
        <v>78</v>
      </c>
      <c r="D24" s="254" t="s">
        <v>859</v>
      </c>
      <c r="E24" s="254"/>
      <c r="F24" s="20" t="s">
        <v>93</v>
      </c>
    </row>
    <row r="25" spans="1:6" ht="30" x14ac:dyDescent="0.3">
      <c r="A25" s="325"/>
      <c r="B25" s="254"/>
      <c r="C25" s="254"/>
      <c r="D25" s="254"/>
      <c r="E25" s="254"/>
      <c r="F25" s="20" t="s">
        <v>94</v>
      </c>
    </row>
    <row r="26" spans="1:6" ht="15" x14ac:dyDescent="0.3">
      <c r="A26" s="324" t="s">
        <v>21</v>
      </c>
      <c r="B26" s="260" t="s">
        <v>92</v>
      </c>
      <c r="C26" s="260" t="s">
        <v>78</v>
      </c>
      <c r="D26" s="260" t="s">
        <v>859</v>
      </c>
      <c r="E26" s="260"/>
      <c r="F26" s="20" t="s">
        <v>93</v>
      </c>
    </row>
    <row r="27" spans="1:6" ht="30" x14ac:dyDescent="0.3">
      <c r="A27" s="324"/>
      <c r="B27" s="260"/>
      <c r="C27" s="260"/>
      <c r="D27" s="260"/>
      <c r="E27" s="260"/>
      <c r="F27" s="20" t="s">
        <v>94</v>
      </c>
    </row>
    <row r="28" spans="1:6" ht="15" x14ac:dyDescent="0.3">
      <c r="A28" s="324" t="s">
        <v>20</v>
      </c>
      <c r="B28" s="260" t="s">
        <v>92</v>
      </c>
      <c r="C28" s="260" t="s">
        <v>78</v>
      </c>
      <c r="D28" s="260" t="s">
        <v>859</v>
      </c>
      <c r="E28" s="260"/>
      <c r="F28" s="20" t="s">
        <v>93</v>
      </c>
    </row>
    <row r="29" spans="1:6" ht="30" x14ac:dyDescent="0.3">
      <c r="A29" s="324"/>
      <c r="B29" s="260"/>
      <c r="C29" s="260"/>
      <c r="D29" s="260"/>
      <c r="E29" s="260"/>
      <c r="F29" s="20" t="s">
        <v>94</v>
      </c>
    </row>
    <row r="30" spans="1:6" ht="15" x14ac:dyDescent="0.3">
      <c r="A30" s="324" t="s">
        <v>19</v>
      </c>
      <c r="B30" s="260" t="s">
        <v>92</v>
      </c>
      <c r="C30" s="260" t="s">
        <v>78</v>
      </c>
      <c r="D30" s="260" t="s">
        <v>859</v>
      </c>
      <c r="E30" s="260"/>
      <c r="F30" s="20" t="s">
        <v>93</v>
      </c>
    </row>
    <row r="31" spans="1:6" ht="30" x14ac:dyDescent="0.3">
      <c r="A31" s="324"/>
      <c r="B31" s="260"/>
      <c r="C31" s="260"/>
      <c r="D31" s="260"/>
      <c r="E31" s="260"/>
      <c r="F31" s="20" t="s">
        <v>94</v>
      </c>
    </row>
    <row r="32" spans="1:6" ht="15" x14ac:dyDescent="0.3">
      <c r="A32" s="324" t="s">
        <v>18</v>
      </c>
      <c r="B32" s="260" t="s">
        <v>92</v>
      </c>
      <c r="C32" s="260" t="s">
        <v>78</v>
      </c>
      <c r="D32" s="260" t="s">
        <v>859</v>
      </c>
      <c r="E32" s="260"/>
      <c r="F32" s="20" t="s">
        <v>93</v>
      </c>
    </row>
    <row r="33" spans="1:6" ht="30" x14ac:dyDescent="0.3">
      <c r="A33" s="324"/>
      <c r="B33" s="260"/>
      <c r="C33" s="260"/>
      <c r="D33" s="260"/>
      <c r="E33" s="260"/>
      <c r="F33" s="20" t="s">
        <v>94</v>
      </c>
    </row>
    <row r="34" spans="1:6" ht="15" x14ac:dyDescent="0.3">
      <c r="A34" s="324" t="s">
        <v>17</v>
      </c>
      <c r="B34" s="260" t="s">
        <v>92</v>
      </c>
      <c r="C34" s="260" t="s">
        <v>78</v>
      </c>
      <c r="D34" s="260" t="s">
        <v>859</v>
      </c>
      <c r="E34" s="260"/>
      <c r="F34" s="20" t="s">
        <v>93</v>
      </c>
    </row>
    <row r="35" spans="1:6" ht="30" x14ac:dyDescent="0.3">
      <c r="A35" s="324"/>
      <c r="B35" s="260"/>
      <c r="C35" s="260"/>
      <c r="D35" s="260"/>
      <c r="E35" s="260"/>
      <c r="F35" s="20" t="s">
        <v>94</v>
      </c>
    </row>
    <row r="36" spans="1:6" ht="15" x14ac:dyDescent="0.3">
      <c r="A36" s="324" t="s">
        <v>16</v>
      </c>
      <c r="B36" s="260" t="s">
        <v>92</v>
      </c>
      <c r="C36" s="260" t="s">
        <v>78</v>
      </c>
      <c r="D36" s="260" t="s">
        <v>859</v>
      </c>
      <c r="E36" s="260"/>
      <c r="F36" s="20" t="s">
        <v>93</v>
      </c>
    </row>
    <row r="37" spans="1:6" ht="30" x14ac:dyDescent="0.3">
      <c r="A37" s="324"/>
      <c r="B37" s="260"/>
      <c r="C37" s="260"/>
      <c r="D37" s="260"/>
      <c r="E37" s="260"/>
      <c r="F37" s="20" t="s">
        <v>94</v>
      </c>
    </row>
    <row r="38" spans="1:6" ht="15" x14ac:dyDescent="0.3">
      <c r="A38" s="324" t="s">
        <v>15</v>
      </c>
      <c r="B38" s="260" t="s">
        <v>92</v>
      </c>
      <c r="C38" s="260" t="s">
        <v>78</v>
      </c>
      <c r="D38" s="260" t="s">
        <v>859</v>
      </c>
      <c r="E38" s="260"/>
      <c r="F38" s="20" t="s">
        <v>93</v>
      </c>
    </row>
    <row r="39" spans="1:6" ht="30" x14ac:dyDescent="0.3">
      <c r="A39" s="324"/>
      <c r="B39" s="260"/>
      <c r="C39" s="260"/>
      <c r="D39" s="260"/>
      <c r="E39" s="260"/>
      <c r="F39" s="20" t="s">
        <v>94</v>
      </c>
    </row>
    <row r="40" spans="1:6" ht="15" x14ac:dyDescent="0.3">
      <c r="A40" s="324" t="s">
        <v>14</v>
      </c>
      <c r="B40" s="260" t="s">
        <v>92</v>
      </c>
      <c r="C40" s="260" t="s">
        <v>78</v>
      </c>
      <c r="D40" s="260" t="s">
        <v>859</v>
      </c>
      <c r="E40" s="260"/>
      <c r="F40" s="20" t="s">
        <v>93</v>
      </c>
    </row>
    <row r="41" spans="1:6" ht="30" x14ac:dyDescent="0.3">
      <c r="A41" s="324"/>
      <c r="B41" s="260"/>
      <c r="C41" s="260"/>
      <c r="D41" s="260"/>
      <c r="E41" s="260"/>
      <c r="F41" s="20" t="s">
        <v>94</v>
      </c>
    </row>
    <row r="42" spans="1:6" ht="15" x14ac:dyDescent="0.3">
      <c r="A42" s="324" t="s">
        <v>13</v>
      </c>
      <c r="B42" s="260" t="s">
        <v>92</v>
      </c>
      <c r="C42" s="260" t="s">
        <v>78</v>
      </c>
      <c r="D42" s="260" t="s">
        <v>859</v>
      </c>
      <c r="E42" s="260"/>
      <c r="F42" s="20" t="s">
        <v>93</v>
      </c>
    </row>
    <row r="43" spans="1:6" ht="30" x14ac:dyDescent="0.3">
      <c r="A43" s="324"/>
      <c r="B43" s="260"/>
      <c r="C43" s="260"/>
      <c r="D43" s="260"/>
      <c r="E43" s="260"/>
      <c r="F43" s="20" t="s">
        <v>94</v>
      </c>
    </row>
    <row r="44" spans="1:6" ht="15" x14ac:dyDescent="0.3">
      <c r="A44" s="324" t="s">
        <v>12</v>
      </c>
      <c r="B44" s="260" t="s">
        <v>92</v>
      </c>
      <c r="C44" s="260" t="s">
        <v>78</v>
      </c>
      <c r="D44" s="260" t="s">
        <v>859</v>
      </c>
      <c r="E44" s="260"/>
      <c r="F44" s="20" t="s">
        <v>93</v>
      </c>
    </row>
    <row r="45" spans="1:6" ht="30" x14ac:dyDescent="0.3">
      <c r="A45" s="324"/>
      <c r="B45" s="260"/>
      <c r="C45" s="260"/>
      <c r="D45" s="260"/>
      <c r="E45" s="260"/>
      <c r="F45" s="20" t="s">
        <v>94</v>
      </c>
    </row>
    <row r="46" spans="1:6" ht="15" x14ac:dyDescent="0.3">
      <c r="A46" s="324" t="s">
        <v>11</v>
      </c>
      <c r="B46" s="260" t="s">
        <v>92</v>
      </c>
      <c r="C46" s="260" t="s">
        <v>78</v>
      </c>
      <c r="D46" s="260" t="s">
        <v>859</v>
      </c>
      <c r="E46" s="260"/>
      <c r="F46" s="20" t="s">
        <v>93</v>
      </c>
    </row>
    <row r="47" spans="1:6" ht="30" x14ac:dyDescent="0.3">
      <c r="A47" s="324"/>
      <c r="B47" s="260"/>
      <c r="C47" s="260"/>
      <c r="D47" s="260"/>
      <c r="E47" s="260"/>
      <c r="F47" s="20" t="s">
        <v>94</v>
      </c>
    </row>
    <row r="48" spans="1:6" ht="15" x14ac:dyDescent="0.3">
      <c r="A48" s="324" t="s">
        <v>10</v>
      </c>
      <c r="B48" s="260" t="s">
        <v>92</v>
      </c>
      <c r="C48" s="260" t="s">
        <v>78</v>
      </c>
      <c r="D48" s="260" t="s">
        <v>859</v>
      </c>
      <c r="E48" s="260"/>
      <c r="F48" s="20" t="s">
        <v>93</v>
      </c>
    </row>
    <row r="49" spans="1:6" ht="30" x14ac:dyDescent="0.3">
      <c r="A49" s="324"/>
      <c r="B49" s="260"/>
      <c r="C49" s="260"/>
      <c r="D49" s="260"/>
      <c r="E49" s="260"/>
      <c r="F49" s="20" t="s">
        <v>94</v>
      </c>
    </row>
    <row r="50" spans="1:6" ht="30" x14ac:dyDescent="0.3">
      <c r="A50" s="272" t="s">
        <v>8</v>
      </c>
      <c r="B50" s="290" t="s">
        <v>374</v>
      </c>
      <c r="C50" s="254" t="s">
        <v>375</v>
      </c>
      <c r="D50" s="254" t="s">
        <v>940</v>
      </c>
      <c r="E50" s="254"/>
      <c r="F50" s="26" t="s">
        <v>376</v>
      </c>
    </row>
    <row r="51" spans="1:6" ht="15" x14ac:dyDescent="0.3">
      <c r="A51" s="273"/>
      <c r="B51" s="290"/>
      <c r="C51" s="254"/>
      <c r="D51" s="254"/>
      <c r="E51" s="254"/>
      <c r="F51" s="26" t="s">
        <v>377</v>
      </c>
    </row>
    <row r="52" spans="1:6" ht="15" x14ac:dyDescent="0.3">
      <c r="A52" s="273"/>
      <c r="B52" s="290"/>
      <c r="C52" s="254"/>
      <c r="D52" s="254"/>
      <c r="E52" s="254"/>
      <c r="F52" s="26" t="s">
        <v>379</v>
      </c>
    </row>
    <row r="53" spans="1:6" ht="15" x14ac:dyDescent="0.3">
      <c r="A53" s="273"/>
      <c r="B53" s="290"/>
      <c r="C53" s="254"/>
      <c r="D53" s="254"/>
      <c r="E53" s="254"/>
      <c r="F53" s="26" t="s">
        <v>380</v>
      </c>
    </row>
    <row r="54" spans="1:6" ht="45" x14ac:dyDescent="0.3">
      <c r="A54" s="273"/>
      <c r="B54" s="290"/>
      <c r="C54" s="254"/>
      <c r="D54" s="254"/>
      <c r="E54" s="254"/>
      <c r="F54" s="26" t="s">
        <v>381</v>
      </c>
    </row>
    <row r="55" spans="1:6" ht="15" x14ac:dyDescent="0.3">
      <c r="A55" s="273"/>
      <c r="B55" s="290"/>
      <c r="C55" s="254"/>
      <c r="D55" s="254"/>
      <c r="E55" s="254"/>
      <c r="F55" s="26" t="s">
        <v>382</v>
      </c>
    </row>
    <row r="56" spans="1:6" ht="30" x14ac:dyDescent="0.3">
      <c r="A56" s="273"/>
      <c r="B56" s="290"/>
      <c r="C56" s="254"/>
      <c r="D56" s="254"/>
      <c r="E56" s="254"/>
      <c r="F56" s="26" t="s">
        <v>383</v>
      </c>
    </row>
    <row r="57" spans="1:6" ht="30" x14ac:dyDescent="0.3">
      <c r="A57" s="273"/>
      <c r="B57" s="290"/>
      <c r="C57" s="254"/>
      <c r="D57" s="254"/>
      <c r="E57" s="254"/>
      <c r="F57" s="26" t="s">
        <v>384</v>
      </c>
    </row>
    <row r="58" spans="1:6" ht="15" x14ac:dyDescent="0.3">
      <c r="A58" s="273"/>
      <c r="B58" s="290"/>
      <c r="C58" s="254"/>
      <c r="D58" s="254"/>
      <c r="E58" s="254"/>
      <c r="F58" s="26" t="s">
        <v>385</v>
      </c>
    </row>
    <row r="59" spans="1:6" ht="30" x14ac:dyDescent="0.3">
      <c r="A59" s="273"/>
      <c r="B59" s="290"/>
      <c r="C59" s="254"/>
      <c r="D59" s="254"/>
      <c r="E59" s="254"/>
      <c r="F59" s="26" t="s">
        <v>386</v>
      </c>
    </row>
    <row r="60" spans="1:6" ht="30" x14ac:dyDescent="0.3">
      <c r="A60" s="273"/>
      <c r="B60" s="290"/>
      <c r="C60" s="254"/>
      <c r="D60" s="254"/>
      <c r="E60" s="254"/>
      <c r="F60" s="26" t="s">
        <v>388</v>
      </c>
    </row>
    <row r="61" spans="1:6" ht="15" x14ac:dyDescent="0.3">
      <c r="A61" s="273"/>
      <c r="B61" s="290"/>
      <c r="C61" s="254"/>
      <c r="D61" s="254"/>
      <c r="E61" s="254"/>
      <c r="F61" s="27" t="s">
        <v>389</v>
      </c>
    </row>
    <row r="62" spans="1:6" ht="15" x14ac:dyDescent="0.3">
      <c r="A62" s="273"/>
      <c r="B62" s="290"/>
      <c r="C62" s="254"/>
      <c r="D62" s="254"/>
      <c r="E62" s="254"/>
      <c r="F62" s="27" t="s">
        <v>391</v>
      </c>
    </row>
    <row r="63" spans="1:6" ht="30" x14ac:dyDescent="0.3">
      <c r="A63" s="273"/>
      <c r="B63" s="290"/>
      <c r="C63" s="254"/>
      <c r="D63" s="254"/>
      <c r="E63" s="254"/>
      <c r="F63" s="27" t="s">
        <v>393</v>
      </c>
    </row>
    <row r="64" spans="1:6" ht="90" x14ac:dyDescent="0.3">
      <c r="A64" s="273"/>
      <c r="B64" s="290"/>
      <c r="C64" s="2" t="s">
        <v>394</v>
      </c>
      <c r="D64" s="2" t="s">
        <v>940</v>
      </c>
      <c r="E64" s="2"/>
      <c r="F64" s="26" t="s">
        <v>395</v>
      </c>
    </row>
    <row r="65" spans="1:6" ht="30" x14ac:dyDescent="0.3">
      <c r="A65" s="273"/>
      <c r="B65" s="290" t="s">
        <v>397</v>
      </c>
      <c r="C65" s="290" t="s">
        <v>398</v>
      </c>
      <c r="D65" s="290" t="s">
        <v>939</v>
      </c>
      <c r="E65" s="290"/>
      <c r="F65" s="26" t="s">
        <v>399</v>
      </c>
    </row>
    <row r="66" spans="1:6" ht="30" x14ac:dyDescent="0.3">
      <c r="A66" s="273"/>
      <c r="B66" s="290"/>
      <c r="C66" s="290"/>
      <c r="D66" s="290"/>
      <c r="E66" s="290"/>
      <c r="F66" s="26" t="s">
        <v>401</v>
      </c>
    </row>
    <row r="67" spans="1:6" ht="30" x14ac:dyDescent="0.3">
      <c r="A67" s="273"/>
      <c r="B67" s="290"/>
      <c r="C67" s="290"/>
      <c r="D67" s="290"/>
      <c r="E67" s="290"/>
      <c r="F67" s="26" t="s">
        <v>403</v>
      </c>
    </row>
    <row r="68" spans="1:6" ht="15" x14ac:dyDescent="0.3">
      <c r="A68" s="273"/>
      <c r="B68" s="290"/>
      <c r="C68" s="290"/>
      <c r="D68" s="290"/>
      <c r="E68" s="290"/>
      <c r="F68" s="26" t="s">
        <v>405</v>
      </c>
    </row>
    <row r="69" spans="1:6" ht="105" x14ac:dyDescent="0.3">
      <c r="A69" s="273"/>
      <c r="B69" s="290" t="s">
        <v>407</v>
      </c>
      <c r="C69" s="2" t="s">
        <v>408</v>
      </c>
      <c r="D69" s="2" t="s">
        <v>937</v>
      </c>
      <c r="E69" s="2"/>
      <c r="F69" s="26" t="s">
        <v>409</v>
      </c>
    </row>
    <row r="70" spans="1:6" ht="30" x14ac:dyDescent="0.3">
      <c r="A70" s="273"/>
      <c r="B70" s="290"/>
      <c r="C70" s="254" t="s">
        <v>411</v>
      </c>
      <c r="D70" s="254" t="s">
        <v>937</v>
      </c>
      <c r="E70" s="254"/>
      <c r="F70" s="26" t="s">
        <v>412</v>
      </c>
    </row>
    <row r="71" spans="1:6" ht="15" x14ac:dyDescent="0.3">
      <c r="A71" s="273"/>
      <c r="B71" s="290"/>
      <c r="C71" s="254"/>
      <c r="D71" s="254"/>
      <c r="E71" s="254"/>
      <c r="F71" s="26" t="s">
        <v>413</v>
      </c>
    </row>
    <row r="72" spans="1:6" ht="30" x14ac:dyDescent="0.3">
      <c r="A72" s="273"/>
      <c r="B72" s="290"/>
      <c r="C72" s="254"/>
      <c r="D72" s="254"/>
      <c r="E72" s="254"/>
      <c r="F72" s="27" t="s">
        <v>415</v>
      </c>
    </row>
    <row r="73" spans="1:6" ht="30" x14ac:dyDescent="0.3">
      <c r="A73" s="273"/>
      <c r="B73" s="290"/>
      <c r="C73" s="254"/>
      <c r="D73" s="254"/>
      <c r="E73" s="254"/>
      <c r="F73" s="27" t="s">
        <v>417</v>
      </c>
    </row>
    <row r="74" spans="1:6" ht="15" x14ac:dyDescent="0.3">
      <c r="A74" s="273"/>
      <c r="B74" s="290"/>
      <c r="C74" s="254" t="s">
        <v>418</v>
      </c>
      <c r="D74" s="254" t="s">
        <v>937</v>
      </c>
      <c r="E74" s="254"/>
      <c r="F74" s="26" t="s">
        <v>419</v>
      </c>
    </row>
    <row r="75" spans="1:6" ht="15" x14ac:dyDescent="0.3">
      <c r="A75" s="273"/>
      <c r="B75" s="290"/>
      <c r="C75" s="254"/>
      <c r="D75" s="254"/>
      <c r="E75" s="254"/>
      <c r="F75" s="26" t="s">
        <v>420</v>
      </c>
    </row>
    <row r="76" spans="1:6" ht="15" x14ac:dyDescent="0.3">
      <c r="A76" s="273"/>
      <c r="B76" s="290"/>
      <c r="C76" s="254"/>
      <c r="D76" s="254"/>
      <c r="E76" s="254"/>
      <c r="F76" s="26" t="s">
        <v>422</v>
      </c>
    </row>
    <row r="77" spans="1:6" ht="15" x14ac:dyDescent="0.3">
      <c r="A77" s="273"/>
      <c r="B77" s="290"/>
      <c r="C77" s="254"/>
      <c r="D77" s="254"/>
      <c r="E77" s="254"/>
      <c r="F77" s="26" t="s">
        <v>423</v>
      </c>
    </row>
    <row r="78" spans="1:6" ht="46.5" customHeight="1" x14ac:dyDescent="0.3">
      <c r="A78" s="273"/>
      <c r="B78" s="290"/>
      <c r="C78" s="254"/>
      <c r="D78" s="254"/>
      <c r="E78" s="254"/>
      <c r="F78" s="26" t="s">
        <v>424</v>
      </c>
    </row>
    <row r="79" spans="1:6" ht="90" x14ac:dyDescent="0.3">
      <c r="A79" s="273"/>
      <c r="B79" s="290" t="s">
        <v>426</v>
      </c>
      <c r="C79" s="2" t="s">
        <v>427</v>
      </c>
      <c r="D79" s="2" t="s">
        <v>938</v>
      </c>
      <c r="E79" s="2"/>
      <c r="F79" s="26" t="s">
        <v>428</v>
      </c>
    </row>
    <row r="80" spans="1:6" ht="90" x14ac:dyDescent="0.3">
      <c r="A80" s="273"/>
      <c r="B80" s="290"/>
      <c r="C80" s="2" t="s">
        <v>430</v>
      </c>
      <c r="D80" s="2" t="s">
        <v>938</v>
      </c>
      <c r="E80" s="2"/>
      <c r="F80" s="26" t="s">
        <v>431</v>
      </c>
    </row>
    <row r="81" spans="1:6" ht="60" x14ac:dyDescent="0.3">
      <c r="A81" s="273"/>
      <c r="B81" s="290" t="s">
        <v>432</v>
      </c>
      <c r="C81" s="11" t="s">
        <v>433</v>
      </c>
      <c r="D81" s="11" t="s">
        <v>936</v>
      </c>
      <c r="E81" s="11"/>
      <c r="F81" s="26" t="s">
        <v>434</v>
      </c>
    </row>
    <row r="82" spans="1:6" ht="60" x14ac:dyDescent="0.3">
      <c r="A82" s="273"/>
      <c r="B82" s="290"/>
      <c r="C82" s="11" t="s">
        <v>436</v>
      </c>
      <c r="D82" s="11" t="s">
        <v>936</v>
      </c>
      <c r="E82" s="11"/>
      <c r="F82" s="26" t="s">
        <v>437</v>
      </c>
    </row>
    <row r="83" spans="1:6" ht="60" x14ac:dyDescent="0.3">
      <c r="A83" s="273"/>
      <c r="B83" s="2" t="s">
        <v>439</v>
      </c>
      <c r="C83" s="11" t="s">
        <v>440</v>
      </c>
      <c r="D83" s="11" t="s">
        <v>861</v>
      </c>
      <c r="E83" s="11"/>
      <c r="F83" s="26" t="s">
        <v>441</v>
      </c>
    </row>
    <row r="84" spans="1:6" ht="30" x14ac:dyDescent="0.3">
      <c r="A84" s="273"/>
      <c r="B84" s="290" t="s">
        <v>442</v>
      </c>
      <c r="C84" s="290" t="s">
        <v>443</v>
      </c>
      <c r="D84" s="290" t="s">
        <v>935</v>
      </c>
      <c r="E84" s="290"/>
      <c r="F84" s="26" t="s">
        <v>444</v>
      </c>
    </row>
    <row r="85" spans="1:6" ht="15" x14ac:dyDescent="0.3">
      <c r="A85" s="273"/>
      <c r="B85" s="290"/>
      <c r="C85" s="290"/>
      <c r="D85" s="290"/>
      <c r="E85" s="290"/>
      <c r="F85" s="26" t="s">
        <v>445</v>
      </c>
    </row>
    <row r="86" spans="1:6" ht="15" x14ac:dyDescent="0.3">
      <c r="A86" s="273"/>
      <c r="B86" s="290"/>
      <c r="C86" s="290"/>
      <c r="D86" s="290"/>
      <c r="E86" s="290"/>
      <c r="F86" s="26" t="s">
        <v>447</v>
      </c>
    </row>
    <row r="87" spans="1:6" ht="15" x14ac:dyDescent="0.3">
      <c r="A87" s="273"/>
      <c r="B87" s="290"/>
      <c r="C87" s="290"/>
      <c r="D87" s="290"/>
      <c r="E87" s="290"/>
      <c r="F87" s="26" t="s">
        <v>449</v>
      </c>
    </row>
    <row r="88" spans="1:6" ht="15" x14ac:dyDescent="0.3">
      <c r="A88" s="273"/>
      <c r="B88" s="290"/>
      <c r="C88" s="290"/>
      <c r="D88" s="290"/>
      <c r="E88" s="290"/>
      <c r="F88" s="26" t="s">
        <v>450</v>
      </c>
    </row>
    <row r="89" spans="1:6" ht="15" x14ac:dyDescent="0.3">
      <c r="A89" s="273"/>
      <c r="B89" s="290"/>
      <c r="C89" s="290"/>
      <c r="D89" s="290"/>
      <c r="E89" s="290"/>
      <c r="F89" s="26" t="s">
        <v>452</v>
      </c>
    </row>
    <row r="90" spans="1:6" ht="15" x14ac:dyDescent="0.3">
      <c r="A90" s="273"/>
      <c r="B90" s="290"/>
      <c r="C90" s="290"/>
      <c r="D90" s="290"/>
      <c r="E90" s="290"/>
      <c r="F90" s="26" t="s">
        <v>454</v>
      </c>
    </row>
    <row r="91" spans="1:6" ht="30" x14ac:dyDescent="0.3">
      <c r="A91" s="273"/>
      <c r="B91" s="290" t="s">
        <v>462</v>
      </c>
      <c r="C91" s="254" t="s">
        <v>463</v>
      </c>
      <c r="D91" s="254" t="s">
        <v>941</v>
      </c>
      <c r="E91" s="254"/>
      <c r="F91" s="26" t="s">
        <v>464</v>
      </c>
    </row>
    <row r="92" spans="1:6" ht="30" x14ac:dyDescent="0.3">
      <c r="A92" s="273"/>
      <c r="B92" s="290"/>
      <c r="C92" s="254"/>
      <c r="D92" s="254"/>
      <c r="E92" s="254"/>
      <c r="F92" s="26" t="s">
        <v>466</v>
      </c>
    </row>
    <row r="93" spans="1:6" ht="30" x14ac:dyDescent="0.3">
      <c r="A93" s="273"/>
      <c r="B93" s="290"/>
      <c r="C93" s="254"/>
      <c r="D93" s="254"/>
      <c r="E93" s="254"/>
      <c r="F93" s="26" t="s">
        <v>467</v>
      </c>
    </row>
    <row r="94" spans="1:6" ht="30" x14ac:dyDescent="0.3">
      <c r="A94" s="273"/>
      <c r="B94" s="290"/>
      <c r="C94" s="254"/>
      <c r="D94" s="254"/>
      <c r="E94" s="254"/>
      <c r="F94" s="26" t="s">
        <v>468</v>
      </c>
    </row>
    <row r="95" spans="1:6" ht="30" x14ac:dyDescent="0.3">
      <c r="A95" s="273"/>
      <c r="B95" s="290"/>
      <c r="C95" s="254"/>
      <c r="D95" s="254"/>
      <c r="E95" s="254"/>
      <c r="F95" s="26" t="s">
        <v>470</v>
      </c>
    </row>
    <row r="96" spans="1:6" ht="45" x14ac:dyDescent="0.3">
      <c r="A96" s="273"/>
      <c r="B96" s="290"/>
      <c r="C96" s="254"/>
      <c r="D96" s="254"/>
      <c r="E96" s="254"/>
      <c r="F96" s="27" t="s">
        <v>777</v>
      </c>
    </row>
    <row r="97" spans="1:6" ht="17.25" customHeight="1" x14ac:dyDescent="0.3">
      <c r="A97" s="273"/>
      <c r="B97" s="239" t="s">
        <v>178</v>
      </c>
      <c r="C97" s="239" t="s">
        <v>179</v>
      </c>
      <c r="D97" s="239" t="s">
        <v>942</v>
      </c>
      <c r="E97" s="239"/>
      <c r="F97" s="23" t="s">
        <v>778</v>
      </c>
    </row>
    <row r="98" spans="1:6" ht="17.25" customHeight="1" x14ac:dyDescent="0.3">
      <c r="A98" s="273"/>
      <c r="B98" s="243"/>
      <c r="C98" s="243"/>
      <c r="D98" s="243"/>
      <c r="E98" s="243"/>
      <c r="F98" s="23" t="s">
        <v>779</v>
      </c>
    </row>
    <row r="99" spans="1:6" ht="17.25" customHeight="1" x14ac:dyDescent="0.3">
      <c r="A99" s="273"/>
      <c r="B99" s="243"/>
      <c r="C99" s="243"/>
      <c r="D99" s="243"/>
      <c r="E99" s="243"/>
      <c r="F99" s="23" t="s">
        <v>780</v>
      </c>
    </row>
    <row r="100" spans="1:6" ht="17.25" customHeight="1" x14ac:dyDescent="0.3">
      <c r="A100" s="273"/>
      <c r="B100" s="243"/>
      <c r="C100" s="243"/>
      <c r="D100" s="243"/>
      <c r="E100" s="243"/>
      <c r="F100" s="23" t="s">
        <v>781</v>
      </c>
    </row>
    <row r="101" spans="1:6" ht="17.25" customHeight="1" x14ac:dyDescent="0.3">
      <c r="A101" s="273"/>
      <c r="B101" s="243"/>
      <c r="C101" s="243"/>
      <c r="D101" s="243"/>
      <c r="E101" s="243"/>
      <c r="F101" s="23" t="s">
        <v>782</v>
      </c>
    </row>
    <row r="102" spans="1:6" ht="17.25" customHeight="1" x14ac:dyDescent="0.3">
      <c r="A102" s="273"/>
      <c r="B102" s="243"/>
      <c r="C102" s="243"/>
      <c r="D102" s="243"/>
      <c r="E102" s="243"/>
      <c r="F102" s="23" t="s">
        <v>783</v>
      </c>
    </row>
    <row r="103" spans="1:6" ht="17.25" customHeight="1" x14ac:dyDescent="0.3">
      <c r="A103" s="273"/>
      <c r="B103" s="243"/>
      <c r="C103" s="243"/>
      <c r="D103" s="243"/>
      <c r="E103" s="243"/>
      <c r="F103" s="23" t="s">
        <v>784</v>
      </c>
    </row>
    <row r="104" spans="1:6" ht="17.25" customHeight="1" x14ac:dyDescent="0.3">
      <c r="A104" s="273"/>
      <c r="B104" s="243"/>
      <c r="C104" s="243"/>
      <c r="D104" s="243"/>
      <c r="E104" s="243"/>
      <c r="F104" s="23" t="s">
        <v>785</v>
      </c>
    </row>
    <row r="105" spans="1:6" ht="17.25" customHeight="1" x14ac:dyDescent="0.3">
      <c r="A105" s="273"/>
      <c r="B105" s="243"/>
      <c r="C105" s="243"/>
      <c r="D105" s="243"/>
      <c r="E105" s="243"/>
      <c r="F105" s="23" t="s">
        <v>786</v>
      </c>
    </row>
    <row r="106" spans="1:6" ht="17.25" customHeight="1" x14ac:dyDescent="0.3">
      <c r="A106" s="273"/>
      <c r="B106" s="243"/>
      <c r="C106" s="243"/>
      <c r="D106" s="243"/>
      <c r="E106" s="243"/>
      <c r="F106" s="23" t="s">
        <v>787</v>
      </c>
    </row>
    <row r="107" spans="1:6" ht="17.25" customHeight="1" x14ac:dyDescent="0.3">
      <c r="A107" s="273"/>
      <c r="B107" s="243"/>
      <c r="C107" s="243"/>
      <c r="D107" s="243"/>
      <c r="E107" s="243"/>
      <c r="F107" s="23" t="s">
        <v>143</v>
      </c>
    </row>
    <row r="108" spans="1:6" ht="17.25" customHeight="1" x14ac:dyDescent="0.3">
      <c r="A108" s="273"/>
      <c r="B108" s="243"/>
      <c r="C108" s="243"/>
      <c r="D108" s="243"/>
      <c r="E108" s="243"/>
      <c r="F108" s="23" t="s">
        <v>788</v>
      </c>
    </row>
    <row r="109" spans="1:6" ht="17.25" customHeight="1" x14ac:dyDescent="0.3">
      <c r="A109" s="273"/>
      <c r="B109" s="243"/>
      <c r="C109" s="243"/>
      <c r="D109" s="243"/>
      <c r="E109" s="243"/>
      <c r="F109" s="23" t="s">
        <v>789</v>
      </c>
    </row>
    <row r="110" spans="1:6" ht="17.25" customHeight="1" x14ac:dyDescent="0.3">
      <c r="A110" s="274"/>
      <c r="B110" s="240"/>
      <c r="C110" s="240"/>
      <c r="D110" s="240"/>
      <c r="E110" s="240"/>
      <c r="F110" s="23" t="s">
        <v>790</v>
      </c>
    </row>
    <row r="111" spans="1:6" ht="30" x14ac:dyDescent="0.3">
      <c r="A111" s="272" t="s">
        <v>7</v>
      </c>
      <c r="B111" s="247" t="s">
        <v>361</v>
      </c>
      <c r="C111" s="244" t="s">
        <v>362</v>
      </c>
      <c r="D111" s="244" t="s">
        <v>932</v>
      </c>
      <c r="E111" s="244"/>
      <c r="F111" s="22" t="s">
        <v>805</v>
      </c>
    </row>
    <row r="112" spans="1:6" ht="15" x14ac:dyDescent="0.3">
      <c r="A112" s="273"/>
      <c r="B112" s="248"/>
      <c r="C112" s="245"/>
      <c r="D112" s="245"/>
      <c r="E112" s="245"/>
      <c r="F112" s="22" t="s">
        <v>801</v>
      </c>
    </row>
    <row r="113" spans="1:6" ht="15" x14ac:dyDescent="0.3">
      <c r="A113" s="273"/>
      <c r="B113" s="248"/>
      <c r="C113" s="245"/>
      <c r="D113" s="245"/>
      <c r="E113" s="245"/>
      <c r="F113" s="22" t="s">
        <v>806</v>
      </c>
    </row>
    <row r="114" spans="1:6" ht="30" x14ac:dyDescent="0.3">
      <c r="A114" s="273"/>
      <c r="B114" s="248"/>
      <c r="C114" s="245"/>
      <c r="D114" s="245"/>
      <c r="E114" s="245"/>
      <c r="F114" s="22" t="s">
        <v>807</v>
      </c>
    </row>
    <row r="115" spans="1:6" ht="30" x14ac:dyDescent="0.3">
      <c r="A115" s="273"/>
      <c r="B115" s="248"/>
      <c r="C115" s="245"/>
      <c r="D115" s="245"/>
      <c r="E115" s="245"/>
      <c r="F115" s="22" t="s">
        <v>808</v>
      </c>
    </row>
    <row r="116" spans="1:6" ht="30" x14ac:dyDescent="0.3">
      <c r="A116" s="273"/>
      <c r="B116" s="248"/>
      <c r="C116" s="245"/>
      <c r="D116" s="245"/>
      <c r="E116" s="245"/>
      <c r="F116" s="22" t="s">
        <v>809</v>
      </c>
    </row>
    <row r="117" spans="1:6" ht="15" x14ac:dyDescent="0.3">
      <c r="A117" s="273"/>
      <c r="B117" s="248"/>
      <c r="C117" s="245"/>
      <c r="D117" s="245"/>
      <c r="E117" s="245"/>
      <c r="F117" s="22" t="s">
        <v>810</v>
      </c>
    </row>
    <row r="118" spans="1:6" ht="30" x14ac:dyDescent="0.3">
      <c r="A118" s="273"/>
      <c r="B118" s="248"/>
      <c r="C118" s="245"/>
      <c r="D118" s="245"/>
      <c r="E118" s="245"/>
      <c r="F118" s="22" t="s">
        <v>811</v>
      </c>
    </row>
    <row r="119" spans="1:6" ht="34.5" customHeight="1" x14ac:dyDescent="0.3">
      <c r="A119" s="273"/>
      <c r="B119" s="248"/>
      <c r="C119" s="245"/>
      <c r="D119" s="245"/>
      <c r="E119" s="245"/>
      <c r="F119" s="18" t="s">
        <v>803</v>
      </c>
    </row>
    <row r="120" spans="1:6" ht="30" x14ac:dyDescent="0.3">
      <c r="A120" s="273"/>
      <c r="B120" s="248"/>
      <c r="C120" s="245"/>
      <c r="D120" s="245"/>
      <c r="E120" s="245"/>
      <c r="F120" s="18" t="s">
        <v>756</v>
      </c>
    </row>
    <row r="121" spans="1:6" ht="30" x14ac:dyDescent="0.3">
      <c r="A121" s="273"/>
      <c r="B121" s="248"/>
      <c r="C121" s="245"/>
      <c r="D121" s="245"/>
      <c r="E121" s="245"/>
      <c r="F121" s="18" t="s">
        <v>804</v>
      </c>
    </row>
    <row r="122" spans="1:6" ht="15" x14ac:dyDescent="0.3">
      <c r="A122" s="273"/>
      <c r="B122" s="248"/>
      <c r="C122" s="245"/>
      <c r="D122" s="245"/>
      <c r="E122" s="245"/>
      <c r="F122" s="18" t="s">
        <v>802</v>
      </c>
    </row>
    <row r="123" spans="1:6" ht="30" x14ac:dyDescent="0.3">
      <c r="A123" s="273"/>
      <c r="B123" s="248"/>
      <c r="C123" s="246"/>
      <c r="D123" s="246"/>
      <c r="E123" s="246"/>
      <c r="F123" s="18" t="s">
        <v>757</v>
      </c>
    </row>
    <row r="124" spans="1:6" ht="30" x14ac:dyDescent="0.3">
      <c r="A124" s="273"/>
      <c r="B124" s="248"/>
      <c r="C124" s="279" t="s">
        <v>363</v>
      </c>
      <c r="D124" s="279" t="s">
        <v>933</v>
      </c>
      <c r="E124" s="279"/>
      <c r="F124" s="18" t="s">
        <v>364</v>
      </c>
    </row>
    <row r="125" spans="1:6" ht="30" customHeight="1" x14ac:dyDescent="0.3">
      <c r="A125" s="273"/>
      <c r="B125" s="248"/>
      <c r="C125" s="279"/>
      <c r="D125" s="279"/>
      <c r="E125" s="279"/>
      <c r="F125" s="18" t="s">
        <v>758</v>
      </c>
    </row>
    <row r="126" spans="1:6" ht="70.5" customHeight="1" x14ac:dyDescent="0.3">
      <c r="A126" s="273"/>
      <c r="B126" s="249"/>
      <c r="C126" s="279"/>
      <c r="D126" s="279"/>
      <c r="E126" s="279"/>
      <c r="F126" s="18" t="s">
        <v>759</v>
      </c>
    </row>
    <row r="127" spans="1:6" ht="30" x14ac:dyDescent="0.3">
      <c r="A127" s="273"/>
      <c r="B127" s="312" t="s">
        <v>365</v>
      </c>
      <c r="C127" s="247" t="s">
        <v>366</v>
      </c>
      <c r="D127" s="247" t="s">
        <v>934</v>
      </c>
      <c r="E127" s="247"/>
      <c r="F127" s="18" t="s">
        <v>746</v>
      </c>
    </row>
    <row r="128" spans="1:6" ht="15" x14ac:dyDescent="0.3">
      <c r="A128" s="273"/>
      <c r="B128" s="312"/>
      <c r="C128" s="248"/>
      <c r="D128" s="248"/>
      <c r="E128" s="248"/>
      <c r="F128" s="18" t="s">
        <v>747</v>
      </c>
    </row>
    <row r="129" spans="1:6" ht="30" x14ac:dyDescent="0.3">
      <c r="A129" s="273"/>
      <c r="B129" s="312"/>
      <c r="C129" s="248"/>
      <c r="D129" s="248"/>
      <c r="E129" s="248"/>
      <c r="F129" s="18" t="s">
        <v>367</v>
      </c>
    </row>
    <row r="130" spans="1:6" ht="79.5" customHeight="1" x14ac:dyDescent="0.3">
      <c r="A130" s="273"/>
      <c r="B130" s="312"/>
      <c r="C130" s="249"/>
      <c r="D130" s="249"/>
      <c r="E130" s="249"/>
      <c r="F130" s="18" t="s">
        <v>368</v>
      </c>
    </row>
    <row r="131" spans="1:6" ht="30" x14ac:dyDescent="0.3">
      <c r="A131" s="273"/>
      <c r="B131" s="312"/>
      <c r="C131" s="279" t="s">
        <v>369</v>
      </c>
      <c r="D131" s="279" t="s">
        <v>934</v>
      </c>
      <c r="E131" s="279"/>
      <c r="F131" s="18" t="s">
        <v>370</v>
      </c>
    </row>
    <row r="132" spans="1:6" ht="138" customHeight="1" x14ac:dyDescent="0.3">
      <c r="A132" s="273"/>
      <c r="B132" s="312"/>
      <c r="C132" s="279"/>
      <c r="D132" s="279"/>
      <c r="E132" s="279"/>
      <c r="F132" s="18" t="s">
        <v>371</v>
      </c>
    </row>
    <row r="133" spans="1:6" ht="15" x14ac:dyDescent="0.3">
      <c r="A133" s="273"/>
      <c r="B133" s="312"/>
      <c r="C133" s="279" t="s">
        <v>372</v>
      </c>
      <c r="D133" s="279" t="s">
        <v>934</v>
      </c>
      <c r="E133" s="279"/>
      <c r="F133" s="18" t="s">
        <v>749</v>
      </c>
    </row>
    <row r="134" spans="1:6" ht="30" x14ac:dyDescent="0.3">
      <c r="A134" s="273"/>
      <c r="B134" s="312"/>
      <c r="C134" s="279"/>
      <c r="D134" s="279"/>
      <c r="E134" s="279"/>
      <c r="F134" s="18" t="s">
        <v>750</v>
      </c>
    </row>
    <row r="135" spans="1:6" ht="30" x14ac:dyDescent="0.3">
      <c r="A135" s="273"/>
      <c r="B135" s="312"/>
      <c r="C135" s="279"/>
      <c r="D135" s="279"/>
      <c r="E135" s="279"/>
      <c r="F135" s="18" t="s">
        <v>753</v>
      </c>
    </row>
    <row r="136" spans="1:6" ht="66.75" customHeight="1" x14ac:dyDescent="0.3">
      <c r="A136" s="273"/>
      <c r="B136" s="312"/>
      <c r="C136" s="279"/>
      <c r="D136" s="279"/>
      <c r="E136" s="279"/>
      <c r="F136" s="18" t="s">
        <v>752</v>
      </c>
    </row>
    <row r="137" spans="1:6" ht="30" x14ac:dyDescent="0.3">
      <c r="A137" s="273"/>
      <c r="B137" s="312"/>
      <c r="C137" s="279" t="s">
        <v>373</v>
      </c>
      <c r="D137" s="279" t="s">
        <v>934</v>
      </c>
      <c r="E137" s="279"/>
      <c r="F137" s="18" t="s">
        <v>751</v>
      </c>
    </row>
    <row r="138" spans="1:6" ht="30" x14ac:dyDescent="0.3">
      <c r="A138" s="273"/>
      <c r="B138" s="312"/>
      <c r="C138" s="279"/>
      <c r="D138" s="279"/>
      <c r="E138" s="279"/>
      <c r="F138" s="18" t="s">
        <v>754</v>
      </c>
    </row>
    <row r="139" spans="1:6" ht="96.75" customHeight="1" x14ac:dyDescent="0.3">
      <c r="A139" s="274"/>
      <c r="B139" s="312"/>
      <c r="C139" s="279"/>
      <c r="D139" s="279"/>
      <c r="E139" s="279"/>
      <c r="F139" s="18" t="s">
        <v>755</v>
      </c>
    </row>
    <row r="140" spans="1:6" ht="30" x14ac:dyDescent="0.3">
      <c r="A140" s="272" t="s">
        <v>702</v>
      </c>
      <c r="B140" s="254" t="s">
        <v>160</v>
      </c>
      <c r="C140" s="254" t="s">
        <v>161</v>
      </c>
      <c r="D140" s="254" t="s">
        <v>930</v>
      </c>
      <c r="E140" s="254"/>
      <c r="F140" s="20" t="s">
        <v>162</v>
      </c>
    </row>
    <row r="141" spans="1:6" ht="98.25" customHeight="1" x14ac:dyDescent="0.3">
      <c r="A141" s="273"/>
      <c r="B141" s="254"/>
      <c r="C141" s="254"/>
      <c r="D141" s="254"/>
      <c r="E141" s="254"/>
      <c r="F141" s="20" t="s">
        <v>163</v>
      </c>
    </row>
    <row r="142" spans="1:6" ht="45" x14ac:dyDescent="0.3">
      <c r="A142" s="273"/>
      <c r="B142" s="254" t="s">
        <v>164</v>
      </c>
      <c r="C142" s="254" t="s">
        <v>165</v>
      </c>
      <c r="D142" s="254" t="s">
        <v>858</v>
      </c>
      <c r="E142" s="254"/>
      <c r="F142" s="20" t="s">
        <v>166</v>
      </c>
    </row>
    <row r="143" spans="1:6" ht="80.25" customHeight="1" x14ac:dyDescent="0.3">
      <c r="A143" s="273"/>
      <c r="B143" s="254"/>
      <c r="C143" s="254"/>
      <c r="D143" s="254"/>
      <c r="E143" s="254"/>
      <c r="F143" s="20" t="s">
        <v>168</v>
      </c>
    </row>
    <row r="144" spans="1:6" ht="45" x14ac:dyDescent="0.3">
      <c r="A144" s="273"/>
      <c r="B144" s="254"/>
      <c r="C144" s="254" t="s">
        <v>170</v>
      </c>
      <c r="D144" s="254" t="s">
        <v>858</v>
      </c>
      <c r="E144" s="254"/>
      <c r="F144" s="20" t="s">
        <v>171</v>
      </c>
    </row>
    <row r="145" spans="1:6" ht="101.25" customHeight="1" x14ac:dyDescent="0.3">
      <c r="A145" s="273"/>
      <c r="B145" s="254"/>
      <c r="C145" s="254"/>
      <c r="D145" s="254"/>
      <c r="E145" s="254"/>
      <c r="F145" s="20" t="s">
        <v>172</v>
      </c>
    </row>
    <row r="146" spans="1:6" ht="30" x14ac:dyDescent="0.3">
      <c r="A146" s="273"/>
      <c r="B146" s="254"/>
      <c r="C146" s="254" t="s">
        <v>174</v>
      </c>
      <c r="D146" s="254" t="s">
        <v>858</v>
      </c>
      <c r="E146" s="254"/>
      <c r="F146" s="20" t="s">
        <v>175</v>
      </c>
    </row>
    <row r="147" spans="1:6" ht="115.5" customHeight="1" x14ac:dyDescent="0.3">
      <c r="A147" s="273"/>
      <c r="B147" s="254"/>
      <c r="C147" s="254"/>
      <c r="D147" s="254"/>
      <c r="E147" s="254"/>
      <c r="F147" s="20" t="s">
        <v>177</v>
      </c>
    </row>
    <row r="148" spans="1:6" ht="30" x14ac:dyDescent="0.3">
      <c r="A148" s="273"/>
      <c r="B148" s="290" t="s">
        <v>456</v>
      </c>
      <c r="C148" s="290" t="s">
        <v>457</v>
      </c>
      <c r="D148" s="290" t="s">
        <v>931</v>
      </c>
      <c r="E148" s="290"/>
      <c r="F148" s="18" t="s">
        <v>458</v>
      </c>
    </row>
    <row r="149" spans="1:6" ht="15" x14ac:dyDescent="0.3">
      <c r="A149" s="273"/>
      <c r="B149" s="290"/>
      <c r="C149" s="290"/>
      <c r="D149" s="290"/>
      <c r="E149" s="290"/>
      <c r="F149" s="18" t="s">
        <v>460</v>
      </c>
    </row>
    <row r="150" spans="1:6" ht="109.5" customHeight="1" x14ac:dyDescent="0.3">
      <c r="A150" s="274"/>
      <c r="B150" s="290"/>
      <c r="C150" s="290"/>
      <c r="D150" s="290"/>
      <c r="E150" s="290"/>
      <c r="F150" s="18" t="s">
        <v>461</v>
      </c>
    </row>
    <row r="151" spans="1:6" ht="30" x14ac:dyDescent="0.3">
      <c r="A151" s="264" t="s">
        <v>5</v>
      </c>
      <c r="B151" s="247" t="s">
        <v>335</v>
      </c>
      <c r="C151" s="258" t="s">
        <v>336</v>
      </c>
      <c r="D151" s="258" t="s">
        <v>929</v>
      </c>
      <c r="E151" s="258"/>
      <c r="F151" s="18" t="s">
        <v>730</v>
      </c>
    </row>
    <row r="152" spans="1:6" ht="30" x14ac:dyDescent="0.3">
      <c r="A152" s="265"/>
      <c r="B152" s="248"/>
      <c r="C152" s="258"/>
      <c r="D152" s="258"/>
      <c r="E152" s="258"/>
      <c r="F152" s="18" t="s">
        <v>731</v>
      </c>
    </row>
    <row r="153" spans="1:6" ht="15" x14ac:dyDescent="0.3">
      <c r="A153" s="265"/>
      <c r="B153" s="248"/>
      <c r="C153" s="258"/>
      <c r="D153" s="258"/>
      <c r="E153" s="258"/>
      <c r="F153" s="18" t="s">
        <v>732</v>
      </c>
    </row>
    <row r="154" spans="1:6" ht="15" x14ac:dyDescent="0.3">
      <c r="A154" s="265"/>
      <c r="B154" s="248"/>
      <c r="C154" s="258"/>
      <c r="D154" s="258"/>
      <c r="E154" s="258"/>
      <c r="F154" s="18" t="s">
        <v>733</v>
      </c>
    </row>
    <row r="155" spans="1:6" ht="30" x14ac:dyDescent="0.3">
      <c r="A155" s="265"/>
      <c r="B155" s="248"/>
      <c r="C155" s="258"/>
      <c r="D155" s="258"/>
      <c r="E155" s="258"/>
      <c r="F155" s="18" t="s">
        <v>734</v>
      </c>
    </row>
    <row r="156" spans="1:6" ht="15" x14ac:dyDescent="0.3">
      <c r="A156" s="265"/>
      <c r="B156" s="248"/>
      <c r="C156" s="258"/>
      <c r="D156" s="258"/>
      <c r="E156" s="258"/>
      <c r="F156" s="18" t="s">
        <v>735</v>
      </c>
    </row>
    <row r="157" spans="1:6" ht="15" x14ac:dyDescent="0.3">
      <c r="A157" s="265"/>
      <c r="B157" s="248"/>
      <c r="C157" s="247" t="s">
        <v>338</v>
      </c>
      <c r="D157" s="247" t="s">
        <v>929</v>
      </c>
      <c r="E157" s="247"/>
      <c r="F157" s="18" t="s">
        <v>721</v>
      </c>
    </row>
    <row r="158" spans="1:6" ht="30" x14ac:dyDescent="0.3">
      <c r="A158" s="265"/>
      <c r="B158" s="248"/>
      <c r="C158" s="248"/>
      <c r="D158" s="248"/>
      <c r="E158" s="248"/>
      <c r="F158" s="18" t="s">
        <v>722</v>
      </c>
    </row>
    <row r="159" spans="1:6" ht="30" x14ac:dyDescent="0.3">
      <c r="A159" s="265"/>
      <c r="B159" s="248"/>
      <c r="C159" s="248"/>
      <c r="D159" s="248"/>
      <c r="E159" s="248"/>
      <c r="F159" s="18" t="s">
        <v>723</v>
      </c>
    </row>
    <row r="160" spans="1:6" ht="15" x14ac:dyDescent="0.3">
      <c r="A160" s="265"/>
      <c r="B160" s="248"/>
      <c r="C160" s="248"/>
      <c r="D160" s="248"/>
      <c r="E160" s="248"/>
      <c r="F160" s="18" t="s">
        <v>724</v>
      </c>
    </row>
    <row r="161" spans="1:6" ht="15" x14ac:dyDescent="0.3">
      <c r="A161" s="265"/>
      <c r="B161" s="248"/>
      <c r="C161" s="248"/>
      <c r="D161" s="248"/>
      <c r="E161" s="248"/>
      <c r="F161" s="18" t="s">
        <v>725</v>
      </c>
    </row>
    <row r="162" spans="1:6" ht="15" x14ac:dyDescent="0.3">
      <c r="A162" s="265"/>
      <c r="B162" s="248"/>
      <c r="C162" s="248"/>
      <c r="D162" s="248"/>
      <c r="E162" s="248"/>
      <c r="F162" s="18" t="s">
        <v>726</v>
      </c>
    </row>
    <row r="163" spans="1:6" ht="15" x14ac:dyDescent="0.3">
      <c r="A163" s="266"/>
      <c r="B163" s="249"/>
      <c r="C163" s="249"/>
      <c r="D163" s="249"/>
      <c r="E163" s="249"/>
      <c r="F163" s="18" t="s">
        <v>727</v>
      </c>
    </row>
    <row r="164" spans="1:6" ht="15" x14ac:dyDescent="0.3">
      <c r="A164" s="289" t="s">
        <v>703</v>
      </c>
      <c r="B164" s="254" t="s">
        <v>127</v>
      </c>
      <c r="C164" s="254" t="s">
        <v>128</v>
      </c>
      <c r="D164" s="254" t="s">
        <v>928</v>
      </c>
      <c r="E164" s="254"/>
      <c r="F164" s="20" t="s">
        <v>129</v>
      </c>
    </row>
    <row r="165" spans="1:6" ht="15" x14ac:dyDescent="0.3">
      <c r="A165" s="289"/>
      <c r="B165" s="254"/>
      <c r="C165" s="254"/>
      <c r="D165" s="254"/>
      <c r="E165" s="254"/>
      <c r="F165" s="20" t="s">
        <v>131</v>
      </c>
    </row>
    <row r="166" spans="1:6" ht="15" x14ac:dyDescent="0.3">
      <c r="A166" s="289"/>
      <c r="B166" s="254"/>
      <c r="C166" s="254"/>
      <c r="D166" s="254"/>
      <c r="E166" s="254"/>
      <c r="F166" s="20" t="s">
        <v>133</v>
      </c>
    </row>
    <row r="167" spans="1:6" ht="15" x14ac:dyDescent="0.3">
      <c r="A167" s="289"/>
      <c r="B167" s="254"/>
      <c r="C167" s="254"/>
      <c r="D167" s="254"/>
      <c r="E167" s="254"/>
      <c r="F167" s="20" t="s">
        <v>134</v>
      </c>
    </row>
    <row r="168" spans="1:6" ht="15" x14ac:dyDescent="0.3">
      <c r="A168" s="289"/>
      <c r="B168" s="254"/>
      <c r="C168" s="254"/>
      <c r="D168" s="254"/>
      <c r="E168" s="254"/>
      <c r="F168" s="20" t="s">
        <v>135</v>
      </c>
    </row>
    <row r="169" spans="1:6" ht="15" x14ac:dyDescent="0.3">
      <c r="A169" s="289"/>
      <c r="B169" s="254"/>
      <c r="C169" s="254"/>
      <c r="D169" s="254"/>
      <c r="E169" s="254"/>
      <c r="F169" s="20" t="s">
        <v>136</v>
      </c>
    </row>
    <row r="170" spans="1:6" ht="15" x14ac:dyDescent="0.3">
      <c r="A170" s="289"/>
      <c r="B170" s="254"/>
      <c r="C170" s="254"/>
      <c r="D170" s="254"/>
      <c r="E170" s="254"/>
      <c r="F170" s="20" t="s">
        <v>137</v>
      </c>
    </row>
    <row r="171" spans="1:6" ht="15" x14ac:dyDescent="0.3">
      <c r="A171" s="289"/>
      <c r="B171" s="254"/>
      <c r="C171" s="254"/>
      <c r="D171" s="254"/>
      <c r="E171" s="254"/>
      <c r="F171" s="20" t="s">
        <v>138</v>
      </c>
    </row>
    <row r="172" spans="1:6" ht="15" x14ac:dyDescent="0.3">
      <c r="A172" s="289"/>
      <c r="B172" s="254"/>
      <c r="C172" s="254"/>
      <c r="D172" s="254"/>
      <c r="E172" s="254"/>
      <c r="F172" s="20" t="s">
        <v>139</v>
      </c>
    </row>
    <row r="173" spans="1:6" ht="105" x14ac:dyDescent="0.3">
      <c r="A173" s="264" t="s">
        <v>63</v>
      </c>
      <c r="B173" s="258" t="s">
        <v>497</v>
      </c>
      <c r="C173" s="8" t="s">
        <v>498</v>
      </c>
      <c r="D173" s="8" t="s">
        <v>926</v>
      </c>
      <c r="E173" s="8"/>
      <c r="F173" s="18" t="s">
        <v>499</v>
      </c>
    </row>
    <row r="174" spans="1:6" ht="15" x14ac:dyDescent="0.3">
      <c r="A174" s="265"/>
      <c r="B174" s="258"/>
      <c r="C174" s="258" t="s">
        <v>500</v>
      </c>
      <c r="D174" s="258" t="s">
        <v>926</v>
      </c>
      <c r="E174" s="258"/>
      <c r="F174" s="18" t="s">
        <v>501</v>
      </c>
    </row>
    <row r="175" spans="1:6" ht="96" customHeight="1" x14ac:dyDescent="0.3">
      <c r="A175" s="265"/>
      <c r="B175" s="258"/>
      <c r="C175" s="258"/>
      <c r="D175" s="258"/>
      <c r="E175" s="258"/>
      <c r="F175" s="18" t="s">
        <v>503</v>
      </c>
    </row>
    <row r="176" spans="1:6" ht="145.5" customHeight="1" x14ac:dyDescent="0.3">
      <c r="A176" s="265"/>
      <c r="B176" s="8" t="s">
        <v>505</v>
      </c>
      <c r="C176" s="8" t="s">
        <v>506</v>
      </c>
      <c r="D176" s="8" t="s">
        <v>927</v>
      </c>
      <c r="E176" s="8"/>
      <c r="F176" s="18" t="s">
        <v>507</v>
      </c>
    </row>
    <row r="177" spans="1:6" ht="15" x14ac:dyDescent="0.3">
      <c r="A177" s="265"/>
      <c r="B177" s="258" t="s">
        <v>164</v>
      </c>
      <c r="C177" s="258" t="s">
        <v>508</v>
      </c>
      <c r="D177" s="258" t="s">
        <v>924</v>
      </c>
      <c r="E177" s="258"/>
      <c r="F177" s="20" t="s">
        <v>509</v>
      </c>
    </row>
    <row r="178" spans="1:6" ht="15" x14ac:dyDescent="0.3">
      <c r="A178" s="265"/>
      <c r="B178" s="258"/>
      <c r="C178" s="258"/>
      <c r="D178" s="258"/>
      <c r="E178" s="258"/>
      <c r="F178" s="20" t="s">
        <v>510</v>
      </c>
    </row>
    <row r="179" spans="1:6" ht="87.75" customHeight="1" x14ac:dyDescent="0.3">
      <c r="A179" s="265"/>
      <c r="B179" s="258"/>
      <c r="C179" s="258"/>
      <c r="D179" s="258"/>
      <c r="E179" s="258"/>
      <c r="F179" s="20" t="s">
        <v>511</v>
      </c>
    </row>
    <row r="180" spans="1:6" ht="150.75" customHeight="1" x14ac:dyDescent="0.3">
      <c r="A180" s="265"/>
      <c r="B180" s="8" t="s">
        <v>512</v>
      </c>
      <c r="C180" s="8" t="s">
        <v>513</v>
      </c>
      <c r="D180" s="8" t="s">
        <v>925</v>
      </c>
      <c r="E180" s="8"/>
      <c r="F180" s="20" t="s">
        <v>514</v>
      </c>
    </row>
    <row r="181" spans="1:6" ht="60" x14ac:dyDescent="0.3">
      <c r="A181" s="266"/>
      <c r="B181" s="8" t="s">
        <v>515</v>
      </c>
      <c r="C181" s="8" t="s">
        <v>516</v>
      </c>
      <c r="D181" s="8" t="s">
        <v>923</v>
      </c>
      <c r="E181" s="8"/>
      <c r="F181" s="20" t="s">
        <v>517</v>
      </c>
    </row>
    <row r="182" spans="1:6" ht="15" x14ac:dyDescent="0.3">
      <c r="A182" s="272" t="s">
        <v>711</v>
      </c>
      <c r="B182" s="254" t="s">
        <v>182</v>
      </c>
      <c r="C182" s="290" t="s">
        <v>183</v>
      </c>
      <c r="D182" s="290" t="s">
        <v>921</v>
      </c>
      <c r="E182" s="290"/>
      <c r="F182" s="19" t="s">
        <v>184</v>
      </c>
    </row>
    <row r="183" spans="1:6" ht="60" customHeight="1" x14ac:dyDescent="0.3">
      <c r="A183" s="273"/>
      <c r="B183" s="254"/>
      <c r="C183" s="290"/>
      <c r="D183" s="290"/>
      <c r="E183" s="290"/>
      <c r="F183" s="22" t="s">
        <v>713</v>
      </c>
    </row>
    <row r="184" spans="1:6" ht="30" x14ac:dyDescent="0.3">
      <c r="A184" s="273"/>
      <c r="B184" s="254"/>
      <c r="C184" s="290" t="s">
        <v>186</v>
      </c>
      <c r="D184" s="290" t="s">
        <v>922</v>
      </c>
      <c r="E184" s="290"/>
      <c r="F184" s="22" t="s">
        <v>187</v>
      </c>
    </row>
    <row r="185" spans="1:6" ht="15" x14ac:dyDescent="0.3">
      <c r="A185" s="273"/>
      <c r="B185" s="254"/>
      <c r="C185" s="290"/>
      <c r="D185" s="290"/>
      <c r="E185" s="290"/>
      <c r="F185" s="22" t="s">
        <v>189</v>
      </c>
    </row>
    <row r="186" spans="1:6" ht="75" x14ac:dyDescent="0.3">
      <c r="A186" s="273"/>
      <c r="B186" s="5" t="s">
        <v>195</v>
      </c>
      <c r="C186" s="5" t="s">
        <v>206</v>
      </c>
      <c r="D186" s="5" t="s">
        <v>921</v>
      </c>
      <c r="E186" s="5"/>
      <c r="F186" s="22" t="s">
        <v>207</v>
      </c>
    </row>
    <row r="187" spans="1:6" ht="75" x14ac:dyDescent="0.3">
      <c r="A187" s="273"/>
      <c r="B187" s="5" t="s">
        <v>477</v>
      </c>
      <c r="C187" s="5" t="s">
        <v>478</v>
      </c>
      <c r="D187" s="5" t="s">
        <v>921</v>
      </c>
      <c r="E187" s="5"/>
      <c r="F187" s="18" t="s">
        <v>479</v>
      </c>
    </row>
    <row r="188" spans="1:6" ht="15" x14ac:dyDescent="0.3">
      <c r="A188" s="273"/>
      <c r="B188" s="275" t="s">
        <v>480</v>
      </c>
      <c r="C188" s="254" t="s">
        <v>481</v>
      </c>
      <c r="D188" s="239" t="s">
        <v>921</v>
      </c>
      <c r="E188" s="239"/>
      <c r="F188" s="18" t="s">
        <v>482</v>
      </c>
    </row>
    <row r="189" spans="1:6" ht="108.75" customHeight="1" x14ac:dyDescent="0.3">
      <c r="A189" s="274"/>
      <c r="B189" s="275"/>
      <c r="C189" s="254"/>
      <c r="D189" s="240"/>
      <c r="E189" s="240"/>
      <c r="F189" s="18" t="s">
        <v>484</v>
      </c>
    </row>
    <row r="190" spans="1:6" ht="108" customHeight="1" x14ac:dyDescent="0.3">
      <c r="A190" s="264" t="s">
        <v>720</v>
      </c>
      <c r="B190" s="8" t="s">
        <v>237</v>
      </c>
      <c r="C190" s="8" t="s">
        <v>238</v>
      </c>
      <c r="D190" s="8" t="s">
        <v>920</v>
      </c>
      <c r="E190" s="8"/>
      <c r="F190" s="19" t="s">
        <v>239</v>
      </c>
    </row>
    <row r="191" spans="1:6" ht="105" x14ac:dyDescent="0.3">
      <c r="A191" s="265"/>
      <c r="B191" s="258" t="s">
        <v>240</v>
      </c>
      <c r="C191" s="8" t="s">
        <v>241</v>
      </c>
      <c r="D191" s="8" t="s">
        <v>919</v>
      </c>
      <c r="E191" s="8"/>
      <c r="F191" s="18" t="s">
        <v>242</v>
      </c>
    </row>
    <row r="192" spans="1:6" ht="30" x14ac:dyDescent="0.3">
      <c r="A192" s="265"/>
      <c r="B192" s="258"/>
      <c r="C192" s="258" t="s">
        <v>244</v>
      </c>
      <c r="D192" s="258" t="s">
        <v>919</v>
      </c>
      <c r="E192" s="258"/>
      <c r="F192" s="18" t="s">
        <v>245</v>
      </c>
    </row>
    <row r="193" spans="1:6" ht="89.25" customHeight="1" x14ac:dyDescent="0.3">
      <c r="A193" s="265"/>
      <c r="B193" s="258"/>
      <c r="C193" s="258"/>
      <c r="D193" s="258"/>
      <c r="E193" s="258"/>
      <c r="F193" s="18" t="s">
        <v>247</v>
      </c>
    </row>
    <row r="194" spans="1:6" ht="105" x14ac:dyDescent="0.3">
      <c r="A194" s="265"/>
      <c r="B194" s="258"/>
      <c r="C194" s="8" t="s">
        <v>248</v>
      </c>
      <c r="D194" s="8" t="s">
        <v>919</v>
      </c>
      <c r="E194" s="8"/>
      <c r="F194" s="18" t="s">
        <v>249</v>
      </c>
    </row>
    <row r="195" spans="1:6" ht="105" x14ac:dyDescent="0.3">
      <c r="A195" s="265"/>
      <c r="B195" s="258"/>
      <c r="C195" s="8" t="s">
        <v>251</v>
      </c>
      <c r="D195" s="8" t="s">
        <v>919</v>
      </c>
      <c r="E195" s="8"/>
      <c r="F195" s="18" t="s">
        <v>252</v>
      </c>
    </row>
    <row r="196" spans="1:6" ht="105" x14ac:dyDescent="0.3">
      <c r="A196" s="265"/>
      <c r="B196" s="258"/>
      <c r="C196" s="8" t="s">
        <v>254</v>
      </c>
      <c r="D196" s="8" t="s">
        <v>919</v>
      </c>
      <c r="E196" s="8"/>
      <c r="F196" s="18" t="s">
        <v>255</v>
      </c>
    </row>
    <row r="197" spans="1:6" ht="105" customHeight="1" x14ac:dyDescent="0.3">
      <c r="A197" s="265"/>
      <c r="B197" s="258" t="s">
        <v>256</v>
      </c>
      <c r="C197" s="8" t="s">
        <v>257</v>
      </c>
      <c r="D197" s="8" t="s">
        <v>917</v>
      </c>
      <c r="E197" s="8"/>
      <c r="F197" s="18" t="s">
        <v>258</v>
      </c>
    </row>
    <row r="198" spans="1:6" ht="34.5" customHeight="1" x14ac:dyDescent="0.3">
      <c r="A198" s="265"/>
      <c r="B198" s="258"/>
      <c r="C198" s="258" t="s">
        <v>259</v>
      </c>
      <c r="D198" s="258" t="s">
        <v>918</v>
      </c>
      <c r="E198" s="258"/>
      <c r="F198" s="18" t="s">
        <v>260</v>
      </c>
    </row>
    <row r="199" spans="1:6" ht="30" x14ac:dyDescent="0.3">
      <c r="A199" s="265"/>
      <c r="B199" s="258"/>
      <c r="C199" s="258"/>
      <c r="D199" s="258"/>
      <c r="E199" s="258"/>
      <c r="F199" s="18" t="s">
        <v>262</v>
      </c>
    </row>
    <row r="200" spans="1:6" ht="30" x14ac:dyDescent="0.3">
      <c r="A200" s="265"/>
      <c r="B200" s="258"/>
      <c r="C200" s="258"/>
      <c r="D200" s="258"/>
      <c r="E200" s="258"/>
      <c r="F200" s="18" t="s">
        <v>263</v>
      </c>
    </row>
    <row r="201" spans="1:6" ht="15" x14ac:dyDescent="0.3">
      <c r="A201" s="265"/>
      <c r="B201" s="258"/>
      <c r="C201" s="258"/>
      <c r="D201" s="258"/>
      <c r="E201" s="258"/>
      <c r="F201" s="18" t="s">
        <v>264</v>
      </c>
    </row>
    <row r="202" spans="1:6" ht="30" x14ac:dyDescent="0.3">
      <c r="A202" s="265"/>
      <c r="B202" s="258"/>
      <c r="C202" s="258"/>
      <c r="D202" s="258"/>
      <c r="E202" s="258"/>
      <c r="F202" s="18" t="s">
        <v>265</v>
      </c>
    </row>
    <row r="203" spans="1:6" ht="30" x14ac:dyDescent="0.3">
      <c r="A203" s="265"/>
      <c r="B203" s="258"/>
      <c r="C203" s="258"/>
      <c r="D203" s="258"/>
      <c r="E203" s="258"/>
      <c r="F203" s="18" t="s">
        <v>267</v>
      </c>
    </row>
    <row r="204" spans="1:6" ht="120" x14ac:dyDescent="0.3">
      <c r="A204" s="265"/>
      <c r="B204" s="8" t="s">
        <v>268</v>
      </c>
      <c r="C204" s="12" t="s">
        <v>269</v>
      </c>
      <c r="D204" s="12" t="s">
        <v>916</v>
      </c>
      <c r="E204" s="12"/>
      <c r="F204" s="18" t="s">
        <v>270</v>
      </c>
    </row>
    <row r="205" spans="1:6" ht="30" x14ac:dyDescent="0.3">
      <c r="A205" s="265"/>
      <c r="B205" s="258" t="s">
        <v>271</v>
      </c>
      <c r="C205" s="258" t="s">
        <v>272</v>
      </c>
      <c r="D205" s="258" t="s">
        <v>915</v>
      </c>
      <c r="E205" s="258"/>
      <c r="F205" s="18" t="s">
        <v>273</v>
      </c>
    </row>
    <row r="206" spans="1:6" ht="34.5" customHeight="1" x14ac:dyDescent="0.3">
      <c r="A206" s="266"/>
      <c r="B206" s="258"/>
      <c r="C206" s="258"/>
      <c r="D206" s="258"/>
      <c r="E206" s="258"/>
      <c r="F206" s="18" t="s">
        <v>274</v>
      </c>
    </row>
    <row r="207" spans="1:6" ht="75" x14ac:dyDescent="0.3">
      <c r="A207" s="289" t="s">
        <v>712</v>
      </c>
      <c r="B207" s="5" t="s">
        <v>191</v>
      </c>
      <c r="C207" s="5" t="s">
        <v>192</v>
      </c>
      <c r="D207" s="5" t="s">
        <v>913</v>
      </c>
      <c r="E207" s="5"/>
      <c r="F207" s="22" t="s">
        <v>193</v>
      </c>
    </row>
    <row r="208" spans="1:6" ht="30" x14ac:dyDescent="0.3">
      <c r="A208" s="289"/>
      <c r="B208" s="254" t="s">
        <v>195</v>
      </c>
      <c r="C208" s="254" t="s">
        <v>196</v>
      </c>
      <c r="D208" s="254" t="s">
        <v>912</v>
      </c>
      <c r="E208" s="254"/>
      <c r="F208" s="19" t="s">
        <v>823</v>
      </c>
    </row>
    <row r="209" spans="1:6" ht="86.25" customHeight="1" x14ac:dyDescent="0.3">
      <c r="A209" s="289"/>
      <c r="B209" s="254"/>
      <c r="C209" s="254"/>
      <c r="D209" s="254"/>
      <c r="E209" s="254"/>
      <c r="F209" s="19" t="s">
        <v>824</v>
      </c>
    </row>
    <row r="210" spans="1:6" ht="30" x14ac:dyDescent="0.3">
      <c r="A210" s="289"/>
      <c r="B210" s="254"/>
      <c r="C210" s="254" t="s">
        <v>198</v>
      </c>
      <c r="D210" s="254" t="s">
        <v>912</v>
      </c>
      <c r="E210" s="254"/>
      <c r="F210" s="19" t="s">
        <v>812</v>
      </c>
    </row>
    <row r="211" spans="1:6" ht="30" x14ac:dyDescent="0.3">
      <c r="A211" s="289"/>
      <c r="B211" s="254"/>
      <c r="C211" s="254"/>
      <c r="D211" s="254"/>
      <c r="E211" s="254"/>
      <c r="F211" s="19" t="s">
        <v>813</v>
      </c>
    </row>
    <row r="212" spans="1:6" ht="105" x14ac:dyDescent="0.3">
      <c r="A212" s="289"/>
      <c r="B212" s="254"/>
      <c r="C212" s="5" t="s">
        <v>201</v>
      </c>
      <c r="D212" s="5" t="s">
        <v>912</v>
      </c>
      <c r="E212" s="5"/>
      <c r="F212" s="19" t="s">
        <v>822</v>
      </c>
    </row>
    <row r="213" spans="1:6" ht="30" x14ac:dyDescent="0.3">
      <c r="A213" s="289"/>
      <c r="B213" s="254"/>
      <c r="C213" s="239" t="s">
        <v>202</v>
      </c>
      <c r="D213" s="239" t="s">
        <v>912</v>
      </c>
      <c r="E213" s="239"/>
      <c r="F213" s="19" t="s">
        <v>814</v>
      </c>
    </row>
    <row r="214" spans="1:6" ht="48.75" customHeight="1" x14ac:dyDescent="0.3">
      <c r="A214" s="289"/>
      <c r="B214" s="254"/>
      <c r="C214" s="240"/>
      <c r="D214" s="240"/>
      <c r="E214" s="240"/>
      <c r="F214" s="19" t="s">
        <v>815</v>
      </c>
    </row>
    <row r="215" spans="1:6" ht="105" x14ac:dyDescent="0.3">
      <c r="A215" s="289"/>
      <c r="B215" s="254"/>
      <c r="C215" s="5" t="s">
        <v>203</v>
      </c>
      <c r="D215" s="5" t="s">
        <v>912</v>
      </c>
      <c r="E215" s="5"/>
      <c r="F215" s="19" t="s">
        <v>825</v>
      </c>
    </row>
    <row r="216" spans="1:6" ht="105" x14ac:dyDescent="0.3">
      <c r="A216" s="289"/>
      <c r="B216" s="254"/>
      <c r="C216" s="5" t="s">
        <v>204</v>
      </c>
      <c r="D216" s="5" t="s">
        <v>912</v>
      </c>
      <c r="E216" s="5"/>
      <c r="F216" s="19" t="s">
        <v>826</v>
      </c>
    </row>
    <row r="217" spans="1:6" ht="105" x14ac:dyDescent="0.3">
      <c r="A217" s="289"/>
      <c r="B217" s="254"/>
      <c r="C217" s="5" t="s">
        <v>205</v>
      </c>
      <c r="D217" s="5" t="s">
        <v>912</v>
      </c>
      <c r="E217" s="5"/>
      <c r="F217" s="19" t="s">
        <v>827</v>
      </c>
    </row>
    <row r="218" spans="1:6" ht="30" x14ac:dyDescent="0.3">
      <c r="A218" s="289"/>
      <c r="B218" s="254" t="s">
        <v>209</v>
      </c>
      <c r="C218" s="254" t="s">
        <v>210</v>
      </c>
      <c r="D218" s="254" t="s">
        <v>914</v>
      </c>
      <c r="E218" s="254"/>
      <c r="F218" s="22" t="s">
        <v>211</v>
      </c>
    </row>
    <row r="219" spans="1:6" ht="45" x14ac:dyDescent="0.3">
      <c r="A219" s="289"/>
      <c r="B219" s="254"/>
      <c r="C219" s="254"/>
      <c r="D219" s="254"/>
      <c r="E219" s="254"/>
      <c r="F219" s="22" t="s">
        <v>212</v>
      </c>
    </row>
    <row r="220" spans="1:6" ht="120" x14ac:dyDescent="0.3">
      <c r="A220" s="289"/>
      <c r="B220" s="5" t="s">
        <v>213</v>
      </c>
      <c r="C220" s="9" t="s">
        <v>214</v>
      </c>
      <c r="D220" s="9" t="s">
        <v>911</v>
      </c>
      <c r="E220" s="9"/>
      <c r="F220" s="22" t="s">
        <v>215</v>
      </c>
    </row>
    <row r="221" spans="1:6" ht="105" x14ac:dyDescent="0.3">
      <c r="A221" s="289"/>
      <c r="B221" s="5" t="s">
        <v>216</v>
      </c>
      <c r="C221" s="9" t="s">
        <v>217</v>
      </c>
      <c r="D221" s="9" t="s">
        <v>910</v>
      </c>
      <c r="E221" s="9"/>
      <c r="F221" s="22" t="s">
        <v>215</v>
      </c>
    </row>
    <row r="222" spans="1:6" ht="75" x14ac:dyDescent="0.3">
      <c r="A222" s="289"/>
      <c r="B222" s="5" t="s">
        <v>218</v>
      </c>
      <c r="C222" s="9" t="s">
        <v>219</v>
      </c>
      <c r="D222" s="9" t="s">
        <v>909</v>
      </c>
      <c r="E222" s="9"/>
      <c r="F222" s="22" t="s">
        <v>828</v>
      </c>
    </row>
    <row r="223" spans="1:6" ht="34.5" customHeight="1" x14ac:dyDescent="0.3">
      <c r="A223" s="261" t="s">
        <v>714</v>
      </c>
      <c r="B223" s="258" t="s">
        <v>641</v>
      </c>
      <c r="C223" s="258" t="s">
        <v>644</v>
      </c>
      <c r="D223" s="258" t="s">
        <v>907</v>
      </c>
      <c r="E223" s="258"/>
      <c r="F223" s="20" t="s">
        <v>687</v>
      </c>
    </row>
    <row r="224" spans="1:6" ht="30" x14ac:dyDescent="0.3">
      <c r="A224" s="261"/>
      <c r="B224" s="258"/>
      <c r="C224" s="258"/>
      <c r="D224" s="258"/>
      <c r="E224" s="258"/>
      <c r="F224" s="20" t="s">
        <v>688</v>
      </c>
    </row>
    <row r="225" spans="1:6" ht="15" x14ac:dyDescent="0.3">
      <c r="A225" s="261"/>
      <c r="B225" s="258"/>
      <c r="C225" s="258"/>
      <c r="D225" s="258"/>
      <c r="E225" s="258"/>
      <c r="F225" s="20" t="s">
        <v>689</v>
      </c>
    </row>
    <row r="226" spans="1:6" ht="30" x14ac:dyDescent="0.3">
      <c r="A226" s="261"/>
      <c r="B226" s="258"/>
      <c r="C226" s="258"/>
      <c r="D226" s="258"/>
      <c r="E226" s="258"/>
      <c r="F226" s="20" t="s">
        <v>690</v>
      </c>
    </row>
    <row r="227" spans="1:6" ht="45" x14ac:dyDescent="0.3">
      <c r="A227" s="261"/>
      <c r="B227" s="258" t="s">
        <v>649</v>
      </c>
      <c r="C227" s="12" t="s">
        <v>650</v>
      </c>
      <c r="D227" s="12" t="s">
        <v>906</v>
      </c>
      <c r="E227" s="12"/>
      <c r="F227" s="20" t="s">
        <v>691</v>
      </c>
    </row>
    <row r="228" spans="1:6" ht="45" x14ac:dyDescent="0.3">
      <c r="A228" s="261"/>
      <c r="B228" s="258"/>
      <c r="C228" s="12" t="s">
        <v>838</v>
      </c>
      <c r="D228" s="12" t="s">
        <v>908</v>
      </c>
      <c r="E228" s="12"/>
      <c r="F228" s="20" t="s">
        <v>692</v>
      </c>
    </row>
    <row r="229" spans="1:6" ht="45" x14ac:dyDescent="0.3">
      <c r="A229" s="261"/>
      <c r="B229" s="258"/>
      <c r="C229" s="12" t="s">
        <v>700</v>
      </c>
      <c r="D229" s="12" t="s">
        <v>908</v>
      </c>
      <c r="E229" s="12"/>
      <c r="F229" s="20" t="s">
        <v>701</v>
      </c>
    </row>
    <row r="230" spans="1:6" ht="30" x14ac:dyDescent="0.3">
      <c r="A230" s="261"/>
      <c r="B230" s="258" t="s">
        <v>694</v>
      </c>
      <c r="C230" s="258" t="s">
        <v>695</v>
      </c>
      <c r="D230" s="258" t="s">
        <v>905</v>
      </c>
      <c r="E230" s="258"/>
      <c r="F230" s="20" t="s">
        <v>696</v>
      </c>
    </row>
    <row r="231" spans="1:6" ht="30" x14ac:dyDescent="0.3">
      <c r="A231" s="261"/>
      <c r="B231" s="258"/>
      <c r="C231" s="258"/>
      <c r="D231" s="258"/>
      <c r="E231" s="258"/>
      <c r="F231" s="20" t="s">
        <v>697</v>
      </c>
    </row>
    <row r="232" spans="1:6" ht="30" x14ac:dyDescent="0.3">
      <c r="A232" s="261"/>
      <c r="B232" s="258"/>
      <c r="C232" s="258"/>
      <c r="D232" s="258"/>
      <c r="E232" s="258"/>
      <c r="F232" s="20" t="s">
        <v>698</v>
      </c>
    </row>
    <row r="233" spans="1:6" ht="30" x14ac:dyDescent="0.3">
      <c r="A233" s="261"/>
      <c r="B233" s="258"/>
      <c r="C233" s="258"/>
      <c r="D233" s="258"/>
      <c r="E233" s="258"/>
      <c r="F233" s="20" t="s">
        <v>699</v>
      </c>
    </row>
    <row r="234" spans="1:6" ht="15" x14ac:dyDescent="0.3">
      <c r="A234" s="289" t="s">
        <v>708</v>
      </c>
      <c r="B234" s="254" t="s">
        <v>213</v>
      </c>
      <c r="C234" s="254" t="s">
        <v>518</v>
      </c>
      <c r="D234" s="254" t="s">
        <v>901</v>
      </c>
      <c r="E234" s="254"/>
      <c r="F234" s="24" t="s">
        <v>519</v>
      </c>
    </row>
    <row r="235" spans="1:6" ht="15" x14ac:dyDescent="0.3">
      <c r="A235" s="289"/>
      <c r="B235" s="254"/>
      <c r="C235" s="254"/>
      <c r="D235" s="254"/>
      <c r="E235" s="254"/>
      <c r="F235" s="24" t="s">
        <v>520</v>
      </c>
    </row>
    <row r="236" spans="1:6" ht="15" x14ac:dyDescent="0.3">
      <c r="A236" s="289"/>
      <c r="B236" s="254"/>
      <c r="C236" s="254"/>
      <c r="D236" s="254"/>
      <c r="E236" s="254"/>
      <c r="F236" s="24" t="s">
        <v>521</v>
      </c>
    </row>
    <row r="237" spans="1:6" ht="15" x14ac:dyDescent="0.3">
      <c r="A237" s="289"/>
      <c r="B237" s="254"/>
      <c r="C237" s="254"/>
      <c r="D237" s="254"/>
      <c r="E237" s="254"/>
      <c r="F237" s="24" t="s">
        <v>522</v>
      </c>
    </row>
    <row r="238" spans="1:6" ht="15" x14ac:dyDescent="0.3">
      <c r="A238" s="289"/>
      <c r="B238" s="254"/>
      <c r="C238" s="254"/>
      <c r="D238" s="254"/>
      <c r="E238" s="254"/>
      <c r="F238" s="24" t="s">
        <v>523</v>
      </c>
    </row>
    <row r="239" spans="1:6" ht="15" x14ac:dyDescent="0.3">
      <c r="A239" s="289"/>
      <c r="B239" s="254"/>
      <c r="C239" s="254"/>
      <c r="D239" s="254"/>
      <c r="E239" s="254"/>
      <c r="F239" s="24" t="s">
        <v>524</v>
      </c>
    </row>
    <row r="240" spans="1:6" ht="15" x14ac:dyDescent="0.3">
      <c r="A240" s="289"/>
      <c r="B240" s="254"/>
      <c r="C240" s="254"/>
      <c r="D240" s="254"/>
      <c r="E240" s="254"/>
      <c r="F240" s="24" t="s">
        <v>525</v>
      </c>
    </row>
    <row r="241" spans="1:6" ht="11.25" customHeight="1" x14ac:dyDescent="0.3">
      <c r="A241" s="289"/>
      <c r="B241" s="254"/>
      <c r="C241" s="254"/>
      <c r="D241" s="254"/>
      <c r="E241" s="254"/>
      <c r="F241" s="24" t="s">
        <v>526</v>
      </c>
    </row>
    <row r="242" spans="1:6" ht="15" x14ac:dyDescent="0.3">
      <c r="A242" s="289"/>
      <c r="B242" s="254" t="s">
        <v>216</v>
      </c>
      <c r="C242" s="254" t="s">
        <v>217</v>
      </c>
      <c r="D242" s="254" t="s">
        <v>902</v>
      </c>
      <c r="E242" s="254"/>
      <c r="F242" s="20" t="s">
        <v>527</v>
      </c>
    </row>
    <row r="243" spans="1:6" ht="103.5" customHeight="1" x14ac:dyDescent="0.3">
      <c r="A243" s="289"/>
      <c r="B243" s="254"/>
      <c r="C243" s="254"/>
      <c r="D243" s="254"/>
      <c r="E243" s="254"/>
      <c r="F243" s="20" t="s">
        <v>528</v>
      </c>
    </row>
    <row r="244" spans="1:6" ht="15" x14ac:dyDescent="0.3">
      <c r="A244" s="289"/>
      <c r="B244" s="254" t="s">
        <v>529</v>
      </c>
      <c r="C244" s="254" t="s">
        <v>530</v>
      </c>
      <c r="D244" s="254" t="s">
        <v>903</v>
      </c>
      <c r="E244" s="254"/>
      <c r="F244" s="24" t="s">
        <v>531</v>
      </c>
    </row>
    <row r="245" spans="1:6" ht="161.25" customHeight="1" x14ac:dyDescent="0.3">
      <c r="A245" s="289"/>
      <c r="B245" s="254"/>
      <c r="C245" s="254"/>
      <c r="D245" s="254"/>
      <c r="E245" s="254"/>
      <c r="F245" s="20" t="s">
        <v>532</v>
      </c>
    </row>
    <row r="246" spans="1:6" ht="15" x14ac:dyDescent="0.3">
      <c r="A246" s="289"/>
      <c r="B246" s="254" t="s">
        <v>533</v>
      </c>
      <c r="C246" s="254" t="s">
        <v>534</v>
      </c>
      <c r="D246" s="254" t="s">
        <v>904</v>
      </c>
      <c r="E246" s="254"/>
      <c r="F246" s="22" t="s">
        <v>535</v>
      </c>
    </row>
    <row r="247" spans="1:6" ht="70.5" customHeight="1" x14ac:dyDescent="0.3">
      <c r="A247" s="289"/>
      <c r="B247" s="254"/>
      <c r="C247" s="254"/>
      <c r="D247" s="254"/>
      <c r="E247" s="254"/>
      <c r="F247" s="22" t="s">
        <v>536</v>
      </c>
    </row>
    <row r="248" spans="1:6" ht="15" x14ac:dyDescent="0.3">
      <c r="A248" s="289"/>
      <c r="B248" s="254"/>
      <c r="C248" s="254" t="s">
        <v>537</v>
      </c>
      <c r="D248" s="254" t="s">
        <v>904</v>
      </c>
      <c r="E248" s="254"/>
      <c r="F248" s="20" t="s">
        <v>538</v>
      </c>
    </row>
    <row r="249" spans="1:6" ht="69" customHeight="1" x14ac:dyDescent="0.3">
      <c r="A249" s="289"/>
      <c r="B249" s="254"/>
      <c r="C249" s="254"/>
      <c r="D249" s="254"/>
      <c r="E249" s="254"/>
      <c r="F249" s="20" t="s">
        <v>539</v>
      </c>
    </row>
    <row r="250" spans="1:6" ht="30" x14ac:dyDescent="0.3">
      <c r="A250" s="264" t="s">
        <v>4</v>
      </c>
      <c r="B250" s="279" t="s">
        <v>43</v>
      </c>
      <c r="C250" s="279" t="s">
        <v>151</v>
      </c>
      <c r="D250" s="279" t="s">
        <v>863</v>
      </c>
      <c r="E250" s="279"/>
      <c r="F250" s="18" t="s">
        <v>339</v>
      </c>
    </row>
    <row r="251" spans="1:6" ht="30" x14ac:dyDescent="0.3">
      <c r="A251" s="265"/>
      <c r="B251" s="279"/>
      <c r="C251" s="279"/>
      <c r="D251" s="279"/>
      <c r="E251" s="279"/>
      <c r="F251" s="18" t="s">
        <v>341</v>
      </c>
    </row>
    <row r="252" spans="1:6" ht="45" x14ac:dyDescent="0.3">
      <c r="A252" s="265"/>
      <c r="B252" s="279"/>
      <c r="C252" s="279"/>
      <c r="D252" s="279"/>
      <c r="E252" s="279"/>
      <c r="F252" s="18" t="s">
        <v>342</v>
      </c>
    </row>
    <row r="253" spans="1:6" ht="75" x14ac:dyDescent="0.3">
      <c r="A253" s="265"/>
      <c r="B253" s="279" t="s">
        <v>343</v>
      </c>
      <c r="C253" s="279" t="s">
        <v>344</v>
      </c>
      <c r="D253" s="279" t="s">
        <v>900</v>
      </c>
      <c r="E253" s="279"/>
      <c r="F253" s="18" t="s">
        <v>345</v>
      </c>
    </row>
    <row r="254" spans="1:6" ht="45" x14ac:dyDescent="0.3">
      <c r="A254" s="265"/>
      <c r="B254" s="279"/>
      <c r="C254" s="279"/>
      <c r="D254" s="279"/>
      <c r="E254" s="279"/>
      <c r="F254" s="18" t="s">
        <v>347</v>
      </c>
    </row>
    <row r="255" spans="1:6" ht="60" x14ac:dyDescent="0.3">
      <c r="A255" s="265"/>
      <c r="B255" s="279"/>
      <c r="C255" s="279"/>
      <c r="D255" s="279"/>
      <c r="E255" s="279"/>
      <c r="F255" s="18" t="s">
        <v>348</v>
      </c>
    </row>
    <row r="256" spans="1:6" ht="45" x14ac:dyDescent="0.3">
      <c r="A256" s="265"/>
      <c r="B256" s="279"/>
      <c r="C256" s="279"/>
      <c r="D256" s="279"/>
      <c r="E256" s="279"/>
      <c r="F256" s="18" t="s">
        <v>349</v>
      </c>
    </row>
    <row r="257" spans="1:6" ht="45" x14ac:dyDescent="0.3">
      <c r="A257" s="265"/>
      <c r="B257" s="279" t="s">
        <v>350</v>
      </c>
      <c r="C257" s="322" t="s">
        <v>351</v>
      </c>
      <c r="D257" s="323" t="s">
        <v>899</v>
      </c>
      <c r="E257" s="322"/>
      <c r="F257" s="18" t="s">
        <v>352</v>
      </c>
    </row>
    <row r="258" spans="1:6" ht="45" x14ac:dyDescent="0.3">
      <c r="A258" s="265"/>
      <c r="B258" s="279"/>
      <c r="C258" s="322"/>
      <c r="D258" s="323"/>
      <c r="E258" s="322"/>
      <c r="F258" s="18" t="s">
        <v>353</v>
      </c>
    </row>
    <row r="259" spans="1:6" ht="60" x14ac:dyDescent="0.3">
      <c r="A259" s="265"/>
      <c r="B259" s="279"/>
      <c r="C259" s="322"/>
      <c r="D259" s="323"/>
      <c r="E259" s="322"/>
      <c r="F259" s="18" t="s">
        <v>354</v>
      </c>
    </row>
    <row r="260" spans="1:6" ht="75.75" customHeight="1" x14ac:dyDescent="0.3">
      <c r="A260" s="265"/>
      <c r="B260" s="279"/>
      <c r="C260" s="322"/>
      <c r="D260" s="323"/>
      <c r="E260" s="322"/>
      <c r="F260" s="18" t="s">
        <v>355</v>
      </c>
    </row>
    <row r="261" spans="1:6" ht="45" x14ac:dyDescent="0.3">
      <c r="A261" s="265"/>
      <c r="B261" s="279" t="s">
        <v>356</v>
      </c>
      <c r="C261" s="258" t="s">
        <v>357</v>
      </c>
      <c r="D261" s="258" t="s">
        <v>898</v>
      </c>
      <c r="E261" s="258"/>
      <c r="F261" s="18" t="s">
        <v>358</v>
      </c>
    </row>
    <row r="262" spans="1:6" ht="60" x14ac:dyDescent="0.3">
      <c r="A262" s="265"/>
      <c r="B262" s="279"/>
      <c r="C262" s="258"/>
      <c r="D262" s="258"/>
      <c r="E262" s="258"/>
      <c r="F262" s="18" t="s">
        <v>359</v>
      </c>
    </row>
    <row r="263" spans="1:6" ht="45" x14ac:dyDescent="0.3">
      <c r="A263" s="265"/>
      <c r="B263" s="279"/>
      <c r="C263" s="258"/>
      <c r="D263" s="258"/>
      <c r="E263" s="258"/>
      <c r="F263" s="18" t="s">
        <v>360</v>
      </c>
    </row>
    <row r="264" spans="1:6" ht="30" x14ac:dyDescent="0.3">
      <c r="A264" s="265"/>
      <c r="B264" s="247" t="s">
        <v>485</v>
      </c>
      <c r="C264" s="241" t="s">
        <v>486</v>
      </c>
      <c r="D264" s="241" t="s">
        <v>897</v>
      </c>
      <c r="E264" s="241"/>
      <c r="F264" s="18" t="s">
        <v>487</v>
      </c>
    </row>
    <row r="265" spans="1:6" ht="30" x14ac:dyDescent="0.3">
      <c r="A265" s="265"/>
      <c r="B265" s="248"/>
      <c r="C265" s="296"/>
      <c r="D265" s="296"/>
      <c r="E265" s="296"/>
      <c r="F265" s="18" t="s">
        <v>489</v>
      </c>
    </row>
    <row r="266" spans="1:6" ht="15" x14ac:dyDescent="0.3">
      <c r="A266" s="265"/>
      <c r="B266" s="248"/>
      <c r="C266" s="296"/>
      <c r="D266" s="296"/>
      <c r="E266" s="296"/>
      <c r="F266" s="18" t="s">
        <v>491</v>
      </c>
    </row>
    <row r="267" spans="1:6" ht="15" x14ac:dyDescent="0.3">
      <c r="A267" s="265"/>
      <c r="B267" s="248"/>
      <c r="C267" s="296"/>
      <c r="D267" s="296"/>
      <c r="E267" s="296"/>
      <c r="F267" s="18" t="s">
        <v>492</v>
      </c>
    </row>
    <row r="268" spans="1:6" ht="15" x14ac:dyDescent="0.3">
      <c r="A268" s="265"/>
      <c r="B268" s="248"/>
      <c r="C268" s="296"/>
      <c r="D268" s="296"/>
      <c r="E268" s="296"/>
      <c r="F268" s="18" t="s">
        <v>494</v>
      </c>
    </row>
    <row r="269" spans="1:6" ht="30" x14ac:dyDescent="0.3">
      <c r="A269" s="266"/>
      <c r="B269" s="249"/>
      <c r="C269" s="242"/>
      <c r="D269" s="242"/>
      <c r="E269" s="242"/>
      <c r="F269" s="18" t="s">
        <v>495</v>
      </c>
    </row>
    <row r="270" spans="1:6" ht="34.5" customHeight="1" x14ac:dyDescent="0.3">
      <c r="A270" s="272" t="s">
        <v>715</v>
      </c>
      <c r="B270" s="239" t="s">
        <v>641</v>
      </c>
      <c r="C270" s="239" t="s">
        <v>642</v>
      </c>
      <c r="D270" s="239" t="s">
        <v>895</v>
      </c>
      <c r="E270" s="239"/>
      <c r="F270" s="20" t="s">
        <v>791</v>
      </c>
    </row>
    <row r="271" spans="1:6" ht="30" x14ac:dyDescent="0.3">
      <c r="A271" s="273"/>
      <c r="B271" s="243"/>
      <c r="C271" s="243"/>
      <c r="D271" s="243"/>
      <c r="E271" s="243"/>
      <c r="F271" s="20" t="s">
        <v>792</v>
      </c>
    </row>
    <row r="272" spans="1:6" ht="15" x14ac:dyDescent="0.3">
      <c r="A272" s="273"/>
      <c r="B272" s="243"/>
      <c r="C272" s="243"/>
      <c r="D272" s="243"/>
      <c r="E272" s="243"/>
      <c r="F272" s="20" t="s">
        <v>793</v>
      </c>
    </row>
    <row r="273" spans="1:6" ht="15" x14ac:dyDescent="0.3">
      <c r="A273" s="273"/>
      <c r="B273" s="243"/>
      <c r="C273" s="243"/>
      <c r="D273" s="243"/>
      <c r="E273" s="243"/>
      <c r="F273" s="20" t="s">
        <v>643</v>
      </c>
    </row>
    <row r="274" spans="1:6" ht="15" x14ac:dyDescent="0.3">
      <c r="A274" s="273"/>
      <c r="B274" s="243"/>
      <c r="C274" s="240"/>
      <c r="D274" s="240"/>
      <c r="E274" s="240"/>
      <c r="F274" s="20" t="s">
        <v>794</v>
      </c>
    </row>
    <row r="275" spans="1:6" ht="34.5" customHeight="1" x14ac:dyDescent="0.3">
      <c r="A275" s="273"/>
      <c r="B275" s="243"/>
      <c r="C275" s="239" t="s">
        <v>644</v>
      </c>
      <c r="D275" s="239" t="s">
        <v>895</v>
      </c>
      <c r="E275" s="239"/>
      <c r="F275" s="20" t="s">
        <v>645</v>
      </c>
    </row>
    <row r="276" spans="1:6" ht="30" x14ac:dyDescent="0.3">
      <c r="A276" s="273"/>
      <c r="B276" s="243"/>
      <c r="C276" s="243"/>
      <c r="D276" s="243"/>
      <c r="E276" s="243"/>
      <c r="F276" s="20" t="s">
        <v>795</v>
      </c>
    </row>
    <row r="277" spans="1:6" ht="30" x14ac:dyDescent="0.3">
      <c r="A277" s="273"/>
      <c r="B277" s="243"/>
      <c r="C277" s="243"/>
      <c r="D277" s="243"/>
      <c r="E277" s="243"/>
      <c r="F277" s="20" t="s">
        <v>796</v>
      </c>
    </row>
    <row r="278" spans="1:6" ht="30" x14ac:dyDescent="0.3">
      <c r="A278" s="273"/>
      <c r="B278" s="243"/>
      <c r="C278" s="243"/>
      <c r="D278" s="243"/>
      <c r="E278" s="243"/>
      <c r="F278" s="20" t="s">
        <v>646</v>
      </c>
    </row>
    <row r="279" spans="1:6" ht="15" x14ac:dyDescent="0.3">
      <c r="A279" s="273"/>
      <c r="B279" s="243"/>
      <c r="C279" s="243"/>
      <c r="D279" s="243"/>
      <c r="E279" s="243"/>
      <c r="F279" s="20" t="s">
        <v>647</v>
      </c>
    </row>
    <row r="280" spans="1:6" ht="15" x14ac:dyDescent="0.3">
      <c r="A280" s="273"/>
      <c r="B280" s="243"/>
      <c r="C280" s="240"/>
      <c r="D280" s="240"/>
      <c r="E280" s="240"/>
      <c r="F280" s="20" t="s">
        <v>797</v>
      </c>
    </row>
    <row r="281" spans="1:6" ht="60" x14ac:dyDescent="0.3">
      <c r="A281" s="273"/>
      <c r="B281" s="240"/>
      <c r="C281" s="5" t="s">
        <v>839</v>
      </c>
      <c r="D281" s="5" t="s">
        <v>895</v>
      </c>
      <c r="E281" s="5"/>
      <c r="F281" s="20" t="s">
        <v>648</v>
      </c>
    </row>
    <row r="282" spans="1:6" ht="17.25" customHeight="1" x14ac:dyDescent="0.3">
      <c r="A282" s="273"/>
      <c r="B282" s="239" t="s">
        <v>649</v>
      </c>
      <c r="C282" s="239" t="s">
        <v>650</v>
      </c>
      <c r="D282" s="239" t="s">
        <v>896</v>
      </c>
      <c r="E282" s="239"/>
      <c r="F282" s="22" t="s">
        <v>651</v>
      </c>
    </row>
    <row r="283" spans="1:6" ht="77.25" customHeight="1" x14ac:dyDescent="0.3">
      <c r="A283" s="274"/>
      <c r="B283" s="240"/>
      <c r="C283" s="240"/>
      <c r="D283" s="240"/>
      <c r="E283" s="240"/>
      <c r="F283" s="22" t="s">
        <v>798</v>
      </c>
    </row>
    <row r="284" spans="1:6" ht="30" x14ac:dyDescent="0.3">
      <c r="A284" s="264" t="s">
        <v>760</v>
      </c>
      <c r="B284" s="247" t="s">
        <v>473</v>
      </c>
      <c r="C284" s="247" t="s">
        <v>474</v>
      </c>
      <c r="D284" s="247" t="s">
        <v>894</v>
      </c>
      <c r="E284" s="247"/>
      <c r="F284" s="18" t="s">
        <v>475</v>
      </c>
    </row>
    <row r="285" spans="1:6" ht="45" x14ac:dyDescent="0.3">
      <c r="A285" s="265"/>
      <c r="B285" s="248"/>
      <c r="C285" s="248"/>
      <c r="D285" s="248"/>
      <c r="E285" s="248"/>
      <c r="F285" s="18" t="s">
        <v>476</v>
      </c>
    </row>
    <row r="286" spans="1:6" ht="15" x14ac:dyDescent="0.3">
      <c r="A286" s="265"/>
      <c r="B286" s="248"/>
      <c r="C286" s="248"/>
      <c r="D286" s="248"/>
      <c r="E286" s="248"/>
      <c r="F286" s="18" t="s">
        <v>737</v>
      </c>
    </row>
    <row r="287" spans="1:6" ht="15" x14ac:dyDescent="0.3">
      <c r="A287" s="265"/>
      <c r="B287" s="249"/>
      <c r="C287" s="249"/>
      <c r="D287" s="249"/>
      <c r="E287" s="249"/>
      <c r="F287" s="18" t="s">
        <v>738</v>
      </c>
    </row>
    <row r="288" spans="1:6" ht="30" x14ac:dyDescent="0.3">
      <c r="A288" s="265"/>
      <c r="B288" s="247" t="s">
        <v>485</v>
      </c>
      <c r="C288" s="247" t="s">
        <v>486</v>
      </c>
      <c r="D288" s="247" t="s">
        <v>893</v>
      </c>
      <c r="E288" s="247"/>
      <c r="F288" s="18" t="s">
        <v>739</v>
      </c>
    </row>
    <row r="289" spans="1:6" ht="30" x14ac:dyDescent="0.3">
      <c r="A289" s="266"/>
      <c r="B289" s="249"/>
      <c r="C289" s="249"/>
      <c r="D289" s="249"/>
      <c r="E289" s="249"/>
      <c r="F289" s="18" t="s">
        <v>740</v>
      </c>
    </row>
    <row r="290" spans="1:6" ht="30" x14ac:dyDescent="0.3">
      <c r="A290" s="289" t="s">
        <v>0</v>
      </c>
      <c r="B290" s="254" t="s">
        <v>293</v>
      </c>
      <c r="C290" s="254" t="s">
        <v>310</v>
      </c>
      <c r="D290" s="239" t="s">
        <v>892</v>
      </c>
      <c r="E290" s="239"/>
      <c r="F290" s="18" t="s">
        <v>311</v>
      </c>
    </row>
    <row r="291" spans="1:6" ht="30" x14ac:dyDescent="0.3">
      <c r="A291" s="289"/>
      <c r="B291" s="254"/>
      <c r="C291" s="254"/>
      <c r="D291" s="243"/>
      <c r="E291" s="243"/>
      <c r="F291" s="18" t="s">
        <v>312</v>
      </c>
    </row>
    <row r="292" spans="1:6" ht="15" x14ac:dyDescent="0.3">
      <c r="A292" s="289"/>
      <c r="B292" s="254"/>
      <c r="C292" s="254"/>
      <c r="D292" s="243"/>
      <c r="E292" s="243"/>
      <c r="F292" s="18" t="s">
        <v>313</v>
      </c>
    </row>
    <row r="293" spans="1:6" ht="30" x14ac:dyDescent="0.3">
      <c r="A293" s="289"/>
      <c r="B293" s="254"/>
      <c r="C293" s="254"/>
      <c r="D293" s="243"/>
      <c r="E293" s="243"/>
      <c r="F293" s="18" t="s">
        <v>314</v>
      </c>
    </row>
    <row r="294" spans="1:6" ht="30" x14ac:dyDescent="0.3">
      <c r="A294" s="289"/>
      <c r="B294" s="254"/>
      <c r="C294" s="254"/>
      <c r="D294" s="243"/>
      <c r="E294" s="243"/>
      <c r="F294" s="18" t="s">
        <v>315</v>
      </c>
    </row>
    <row r="295" spans="1:6" ht="30" x14ac:dyDescent="0.3">
      <c r="A295" s="289"/>
      <c r="B295" s="254"/>
      <c r="C295" s="254"/>
      <c r="D295" s="240"/>
      <c r="E295" s="240"/>
      <c r="F295" s="18" t="s">
        <v>316</v>
      </c>
    </row>
    <row r="296" spans="1:6" ht="45" x14ac:dyDescent="0.3">
      <c r="A296" s="291" t="s">
        <v>704</v>
      </c>
      <c r="B296" s="258" t="s">
        <v>195</v>
      </c>
      <c r="C296" s="260" t="s">
        <v>220</v>
      </c>
      <c r="D296" s="260" t="s">
        <v>891</v>
      </c>
      <c r="E296" s="260"/>
      <c r="F296" s="20" t="s">
        <v>816</v>
      </c>
    </row>
    <row r="297" spans="1:6" ht="15" x14ac:dyDescent="0.3">
      <c r="A297" s="291"/>
      <c r="B297" s="258"/>
      <c r="C297" s="260"/>
      <c r="D297" s="260"/>
      <c r="E297" s="260"/>
      <c r="F297" s="20" t="s">
        <v>221</v>
      </c>
    </row>
    <row r="298" spans="1:6" ht="30" x14ac:dyDescent="0.3">
      <c r="A298" s="291"/>
      <c r="B298" s="258"/>
      <c r="C298" s="260"/>
      <c r="D298" s="260"/>
      <c r="E298" s="260"/>
      <c r="F298" s="20" t="s">
        <v>222</v>
      </c>
    </row>
    <row r="299" spans="1:6" ht="15" x14ac:dyDescent="0.3">
      <c r="A299" s="291"/>
      <c r="B299" s="258"/>
      <c r="C299" s="260" t="s">
        <v>206</v>
      </c>
      <c r="D299" s="260" t="s">
        <v>891</v>
      </c>
      <c r="E299" s="260"/>
      <c r="F299" s="20" t="s">
        <v>223</v>
      </c>
    </row>
    <row r="300" spans="1:6" ht="30" x14ac:dyDescent="0.3">
      <c r="A300" s="291"/>
      <c r="B300" s="258"/>
      <c r="C300" s="260"/>
      <c r="D300" s="260"/>
      <c r="E300" s="260"/>
      <c r="F300" s="20" t="s">
        <v>224</v>
      </c>
    </row>
    <row r="301" spans="1:6" ht="15" x14ac:dyDescent="0.3">
      <c r="A301" s="291"/>
      <c r="B301" s="258"/>
      <c r="C301" s="260"/>
      <c r="D301" s="260"/>
      <c r="E301" s="260"/>
      <c r="F301" s="20" t="s">
        <v>225</v>
      </c>
    </row>
    <row r="302" spans="1:6" ht="30" x14ac:dyDescent="0.3">
      <c r="A302" s="291"/>
      <c r="B302" s="258" t="s">
        <v>226</v>
      </c>
      <c r="C302" s="260" t="s">
        <v>227</v>
      </c>
      <c r="D302" s="260" t="s">
        <v>875</v>
      </c>
      <c r="E302" s="260"/>
      <c r="F302" s="20" t="s">
        <v>817</v>
      </c>
    </row>
    <row r="303" spans="1:6" ht="30" x14ac:dyDescent="0.3">
      <c r="A303" s="291"/>
      <c r="B303" s="258"/>
      <c r="C303" s="260"/>
      <c r="D303" s="260"/>
      <c r="E303" s="260"/>
      <c r="F303" s="20" t="s">
        <v>818</v>
      </c>
    </row>
    <row r="304" spans="1:6" ht="30" x14ac:dyDescent="0.3">
      <c r="A304" s="291"/>
      <c r="B304" s="258"/>
      <c r="C304" s="260"/>
      <c r="D304" s="260"/>
      <c r="E304" s="260"/>
      <c r="F304" s="20" t="s">
        <v>229</v>
      </c>
    </row>
    <row r="305" spans="1:6" ht="30" x14ac:dyDescent="0.3">
      <c r="A305" s="291"/>
      <c r="B305" s="258"/>
      <c r="C305" s="260"/>
      <c r="D305" s="260"/>
      <c r="E305" s="260"/>
      <c r="F305" s="20" t="s">
        <v>800</v>
      </c>
    </row>
    <row r="306" spans="1:6" ht="30" x14ac:dyDescent="0.3">
      <c r="A306" s="291"/>
      <c r="B306" s="258"/>
      <c r="C306" s="260"/>
      <c r="D306" s="260"/>
      <c r="E306" s="260"/>
      <c r="F306" s="20" t="s">
        <v>819</v>
      </c>
    </row>
    <row r="307" spans="1:6" ht="15" x14ac:dyDescent="0.3">
      <c r="A307" s="291"/>
      <c r="B307" s="258"/>
      <c r="C307" s="260"/>
      <c r="D307" s="260"/>
      <c r="E307" s="260"/>
      <c r="F307" s="20" t="s">
        <v>820</v>
      </c>
    </row>
    <row r="308" spans="1:6" ht="30" x14ac:dyDescent="0.3">
      <c r="A308" s="291"/>
      <c r="B308" s="258" t="s">
        <v>230</v>
      </c>
      <c r="C308" s="260" t="s">
        <v>231</v>
      </c>
      <c r="D308" s="260" t="s">
        <v>890</v>
      </c>
      <c r="E308" s="260"/>
      <c r="F308" s="20" t="s">
        <v>232</v>
      </c>
    </row>
    <row r="309" spans="1:6" ht="15" x14ac:dyDescent="0.3">
      <c r="A309" s="291"/>
      <c r="B309" s="258"/>
      <c r="C309" s="260"/>
      <c r="D309" s="260"/>
      <c r="E309" s="260"/>
      <c r="F309" s="20" t="s">
        <v>233</v>
      </c>
    </row>
    <row r="310" spans="1:6" ht="15" x14ac:dyDescent="0.3">
      <c r="A310" s="291"/>
      <c r="B310" s="258"/>
      <c r="C310" s="260"/>
      <c r="D310" s="260"/>
      <c r="E310" s="260"/>
      <c r="F310" s="20" t="s">
        <v>235</v>
      </c>
    </row>
    <row r="311" spans="1:6" ht="30" x14ac:dyDescent="0.3">
      <c r="A311" s="291"/>
      <c r="B311" s="258"/>
      <c r="C311" s="260"/>
      <c r="D311" s="260"/>
      <c r="E311" s="260"/>
      <c r="F311" s="20" t="s">
        <v>236</v>
      </c>
    </row>
    <row r="312" spans="1:6" ht="120" x14ac:dyDescent="0.3">
      <c r="A312" s="291"/>
      <c r="B312" s="6" t="s">
        <v>105</v>
      </c>
      <c r="C312" s="6" t="s">
        <v>170</v>
      </c>
      <c r="D312" s="6" t="s">
        <v>858</v>
      </c>
      <c r="E312" s="6"/>
      <c r="F312" s="20" t="s">
        <v>799</v>
      </c>
    </row>
    <row r="313" spans="1:6" ht="15" x14ac:dyDescent="0.3">
      <c r="A313" s="289" t="s">
        <v>3</v>
      </c>
      <c r="B313" s="254" t="s">
        <v>593</v>
      </c>
      <c r="C313" s="254" t="s">
        <v>594</v>
      </c>
      <c r="D313" s="254" t="s">
        <v>885</v>
      </c>
      <c r="E313" s="254"/>
      <c r="F313" s="20" t="s">
        <v>595</v>
      </c>
    </row>
    <row r="314" spans="1:6" ht="15" x14ac:dyDescent="0.3">
      <c r="A314" s="289"/>
      <c r="B314" s="254"/>
      <c r="C314" s="254"/>
      <c r="D314" s="254"/>
      <c r="E314" s="254"/>
      <c r="F314" s="20" t="s">
        <v>596</v>
      </c>
    </row>
    <row r="315" spans="1:6" ht="15" x14ac:dyDescent="0.3">
      <c r="A315" s="289"/>
      <c r="B315" s="254"/>
      <c r="C315" s="254"/>
      <c r="D315" s="254"/>
      <c r="E315" s="254"/>
      <c r="F315" s="20" t="s">
        <v>597</v>
      </c>
    </row>
    <row r="316" spans="1:6" ht="30" x14ac:dyDescent="0.3">
      <c r="A316" s="289"/>
      <c r="B316" s="254"/>
      <c r="C316" s="254"/>
      <c r="D316" s="254"/>
      <c r="E316" s="254"/>
      <c r="F316" s="20" t="s">
        <v>598</v>
      </c>
    </row>
    <row r="317" spans="1:6" ht="30" x14ac:dyDescent="0.3">
      <c r="A317" s="289"/>
      <c r="B317" s="254"/>
      <c r="C317" s="254"/>
      <c r="D317" s="254"/>
      <c r="E317" s="254"/>
      <c r="F317" s="20" t="s">
        <v>600</v>
      </c>
    </row>
    <row r="318" spans="1:6" ht="15" x14ac:dyDescent="0.3">
      <c r="A318" s="289"/>
      <c r="B318" s="254"/>
      <c r="C318" s="254" t="s">
        <v>601</v>
      </c>
      <c r="D318" s="254" t="s">
        <v>884</v>
      </c>
      <c r="E318" s="254"/>
      <c r="F318" s="20" t="s">
        <v>602</v>
      </c>
    </row>
    <row r="319" spans="1:6" ht="15" x14ac:dyDescent="0.3">
      <c r="A319" s="289"/>
      <c r="B319" s="254"/>
      <c r="C319" s="254"/>
      <c r="D319" s="254"/>
      <c r="E319" s="254"/>
      <c r="F319" s="20" t="s">
        <v>603</v>
      </c>
    </row>
    <row r="320" spans="1:6" ht="15" x14ac:dyDescent="0.3">
      <c r="A320" s="289"/>
      <c r="B320" s="254"/>
      <c r="C320" s="254"/>
      <c r="D320" s="254"/>
      <c r="E320" s="254"/>
      <c r="F320" s="20" t="s">
        <v>604</v>
      </c>
    </row>
    <row r="321" spans="1:6" ht="15" x14ac:dyDescent="0.3">
      <c r="A321" s="289"/>
      <c r="B321" s="254"/>
      <c r="C321" s="254"/>
      <c r="D321" s="254"/>
      <c r="E321" s="254"/>
      <c r="F321" s="20" t="s">
        <v>605</v>
      </c>
    </row>
    <row r="322" spans="1:6" ht="30" x14ac:dyDescent="0.3">
      <c r="A322" s="289"/>
      <c r="B322" s="254"/>
      <c r="C322" s="254"/>
      <c r="D322" s="254"/>
      <c r="E322" s="254"/>
      <c r="F322" s="20" t="s">
        <v>606</v>
      </c>
    </row>
    <row r="323" spans="1:6" ht="30" x14ac:dyDescent="0.3">
      <c r="A323" s="289"/>
      <c r="B323" s="254"/>
      <c r="C323" s="254"/>
      <c r="D323" s="254"/>
      <c r="E323" s="254"/>
      <c r="F323" s="20" t="s">
        <v>607</v>
      </c>
    </row>
    <row r="324" spans="1:6" ht="30" x14ac:dyDescent="0.3">
      <c r="A324" s="289"/>
      <c r="B324" s="254"/>
      <c r="C324" s="254" t="s">
        <v>608</v>
      </c>
      <c r="D324" s="254" t="s">
        <v>886</v>
      </c>
      <c r="E324" s="254"/>
      <c r="F324" s="20" t="s">
        <v>609</v>
      </c>
    </row>
    <row r="325" spans="1:6" ht="45" x14ac:dyDescent="0.3">
      <c r="A325" s="289"/>
      <c r="B325" s="254"/>
      <c r="C325" s="254"/>
      <c r="D325" s="254"/>
      <c r="E325" s="254"/>
      <c r="F325" s="20" t="s">
        <v>611</v>
      </c>
    </row>
    <row r="326" spans="1:6" ht="30" x14ac:dyDescent="0.3">
      <c r="A326" s="289"/>
      <c r="B326" s="254"/>
      <c r="C326" s="254" t="s">
        <v>840</v>
      </c>
      <c r="D326" s="254" t="s">
        <v>887</v>
      </c>
      <c r="E326" s="254"/>
      <c r="F326" s="20" t="s">
        <v>613</v>
      </c>
    </row>
    <row r="327" spans="1:6" ht="30" x14ac:dyDescent="0.3">
      <c r="A327" s="289"/>
      <c r="B327" s="254"/>
      <c r="C327" s="254"/>
      <c r="D327" s="254"/>
      <c r="E327" s="254"/>
      <c r="F327" s="20" t="s">
        <v>614</v>
      </c>
    </row>
    <row r="328" spans="1:6" ht="15" x14ac:dyDescent="0.3">
      <c r="A328" s="289"/>
      <c r="B328" s="254"/>
      <c r="C328" s="254"/>
      <c r="D328" s="254"/>
      <c r="E328" s="254"/>
      <c r="F328" s="20" t="s">
        <v>615</v>
      </c>
    </row>
    <row r="329" spans="1:6" ht="15" x14ac:dyDescent="0.3">
      <c r="A329" s="289"/>
      <c r="B329" s="254"/>
      <c r="C329" s="254"/>
      <c r="D329" s="254"/>
      <c r="E329" s="254"/>
      <c r="F329" s="20" t="s">
        <v>617</v>
      </c>
    </row>
    <row r="330" spans="1:6" ht="15" x14ac:dyDescent="0.3">
      <c r="A330" s="289"/>
      <c r="B330" s="254"/>
      <c r="C330" s="254"/>
      <c r="D330" s="254"/>
      <c r="E330" s="254"/>
      <c r="F330" s="20" t="s">
        <v>619</v>
      </c>
    </row>
    <row r="331" spans="1:6" ht="31.5" customHeight="1" x14ac:dyDescent="0.3">
      <c r="A331" s="289"/>
      <c r="B331" s="254"/>
      <c r="C331" s="239" t="s">
        <v>620</v>
      </c>
      <c r="D331" s="239" t="s">
        <v>888</v>
      </c>
      <c r="E331" s="239"/>
      <c r="F331" s="20" t="s">
        <v>621</v>
      </c>
    </row>
    <row r="332" spans="1:6" ht="31.5" customHeight="1" x14ac:dyDescent="0.3">
      <c r="A332" s="289"/>
      <c r="B332" s="254"/>
      <c r="C332" s="240"/>
      <c r="D332" s="240"/>
      <c r="E332" s="240"/>
      <c r="F332" s="20" t="s">
        <v>623</v>
      </c>
    </row>
    <row r="333" spans="1:6" ht="30" x14ac:dyDescent="0.3">
      <c r="A333" s="289"/>
      <c r="B333" s="254"/>
      <c r="C333" s="254" t="s">
        <v>624</v>
      </c>
      <c r="D333" s="254" t="s">
        <v>889</v>
      </c>
      <c r="E333" s="254"/>
      <c r="F333" s="20" t="s">
        <v>625</v>
      </c>
    </row>
    <row r="334" spans="1:6" ht="30" x14ac:dyDescent="0.3">
      <c r="A334" s="289"/>
      <c r="B334" s="254"/>
      <c r="C334" s="254"/>
      <c r="D334" s="254"/>
      <c r="E334" s="254"/>
      <c r="F334" s="20" t="s">
        <v>627</v>
      </c>
    </row>
    <row r="335" spans="1:6" ht="45" x14ac:dyDescent="0.3">
      <c r="A335" s="289"/>
      <c r="B335" s="254"/>
      <c r="C335" s="254"/>
      <c r="D335" s="254"/>
      <c r="E335" s="254"/>
      <c r="F335" s="20" t="s">
        <v>628</v>
      </c>
    </row>
    <row r="336" spans="1:6" ht="15" x14ac:dyDescent="0.3">
      <c r="A336" s="289"/>
      <c r="B336" s="254"/>
      <c r="C336" s="254"/>
      <c r="D336" s="254"/>
      <c r="E336" s="254"/>
      <c r="F336" s="20" t="s">
        <v>629</v>
      </c>
    </row>
    <row r="337" spans="1:6" ht="30" x14ac:dyDescent="0.3">
      <c r="A337" s="289"/>
      <c r="B337" s="254"/>
      <c r="C337" s="254"/>
      <c r="D337" s="254"/>
      <c r="E337" s="254"/>
      <c r="F337" s="20" t="s">
        <v>630</v>
      </c>
    </row>
    <row r="338" spans="1:6" ht="30" x14ac:dyDescent="0.3">
      <c r="A338" s="289"/>
      <c r="B338" s="254"/>
      <c r="C338" s="254"/>
      <c r="D338" s="254"/>
      <c r="E338" s="254"/>
      <c r="F338" s="20" t="s">
        <v>631</v>
      </c>
    </row>
    <row r="339" spans="1:6" ht="30" x14ac:dyDescent="0.3">
      <c r="A339" s="289"/>
      <c r="B339" s="254" t="s">
        <v>268</v>
      </c>
      <c r="C339" s="254" t="s">
        <v>632</v>
      </c>
      <c r="D339" s="254" t="s">
        <v>883</v>
      </c>
      <c r="E339" s="254"/>
      <c r="F339" s="20" t="s">
        <v>633</v>
      </c>
    </row>
    <row r="340" spans="1:6" ht="30" x14ac:dyDescent="0.3">
      <c r="A340" s="289"/>
      <c r="B340" s="254"/>
      <c r="C340" s="254"/>
      <c r="D340" s="254"/>
      <c r="E340" s="254"/>
      <c r="F340" s="20" t="s">
        <v>635</v>
      </c>
    </row>
    <row r="341" spans="1:6" ht="30" x14ac:dyDescent="0.3">
      <c r="A341" s="289"/>
      <c r="B341" s="254"/>
      <c r="C341" s="254"/>
      <c r="D341" s="254"/>
      <c r="E341" s="254"/>
      <c r="F341" s="20" t="s">
        <v>636</v>
      </c>
    </row>
    <row r="342" spans="1:6" ht="30" x14ac:dyDescent="0.3">
      <c r="A342" s="289"/>
      <c r="B342" s="254"/>
      <c r="C342" s="254"/>
      <c r="D342" s="254"/>
      <c r="E342" s="254"/>
      <c r="F342" s="20" t="s">
        <v>637</v>
      </c>
    </row>
    <row r="343" spans="1:6" ht="15" x14ac:dyDescent="0.3">
      <c r="A343" s="289"/>
      <c r="B343" s="254"/>
      <c r="C343" s="254"/>
      <c r="D343" s="254"/>
      <c r="E343" s="254"/>
      <c r="F343" s="20" t="s">
        <v>639</v>
      </c>
    </row>
    <row r="344" spans="1:6" ht="15" x14ac:dyDescent="0.3">
      <c r="A344" s="289"/>
      <c r="B344" s="254"/>
      <c r="C344" s="254"/>
      <c r="D344" s="254"/>
      <c r="E344" s="254"/>
      <c r="F344" s="20" t="s">
        <v>640</v>
      </c>
    </row>
    <row r="345" spans="1:6" ht="30" x14ac:dyDescent="0.3">
      <c r="A345" s="291" t="s">
        <v>6</v>
      </c>
      <c r="B345" s="258" t="s">
        <v>841</v>
      </c>
      <c r="C345" s="279" t="s">
        <v>275</v>
      </c>
      <c r="D345" s="279" t="s">
        <v>882</v>
      </c>
      <c r="E345" s="279"/>
      <c r="F345" s="18" t="s">
        <v>276</v>
      </c>
    </row>
    <row r="346" spans="1:6" ht="15" x14ac:dyDescent="0.3">
      <c r="A346" s="291"/>
      <c r="B346" s="258"/>
      <c r="C346" s="279"/>
      <c r="D346" s="279"/>
      <c r="E346" s="279"/>
      <c r="F346" s="18" t="s">
        <v>277</v>
      </c>
    </row>
    <row r="347" spans="1:6" ht="15" x14ac:dyDescent="0.3">
      <c r="A347" s="291"/>
      <c r="B347" s="258"/>
      <c r="C347" s="279"/>
      <c r="D347" s="279"/>
      <c r="E347" s="279"/>
      <c r="F347" s="18" t="s">
        <v>278</v>
      </c>
    </row>
    <row r="348" spans="1:6" ht="30" x14ac:dyDescent="0.3">
      <c r="A348" s="291"/>
      <c r="B348" s="258"/>
      <c r="C348" s="279"/>
      <c r="D348" s="279"/>
      <c r="E348" s="279"/>
      <c r="F348" s="18" t="s">
        <v>279</v>
      </c>
    </row>
    <row r="349" spans="1:6" ht="30" x14ac:dyDescent="0.3">
      <c r="A349" s="291"/>
      <c r="B349" s="279" t="s">
        <v>280</v>
      </c>
      <c r="C349" s="279" t="s">
        <v>281</v>
      </c>
      <c r="D349" s="279" t="s">
        <v>876</v>
      </c>
      <c r="E349" s="279"/>
      <c r="F349" s="18" t="s">
        <v>282</v>
      </c>
    </row>
    <row r="350" spans="1:6" ht="15" x14ac:dyDescent="0.3">
      <c r="A350" s="291"/>
      <c r="B350" s="279"/>
      <c r="C350" s="279"/>
      <c r="D350" s="279"/>
      <c r="E350" s="279"/>
      <c r="F350" s="18" t="s">
        <v>284</v>
      </c>
    </row>
    <row r="351" spans="1:6" ht="30" x14ac:dyDescent="0.3">
      <c r="A351" s="291"/>
      <c r="B351" s="279"/>
      <c r="C351" s="279"/>
      <c r="D351" s="279"/>
      <c r="E351" s="279"/>
      <c r="F351" s="18" t="s">
        <v>286</v>
      </c>
    </row>
    <row r="352" spans="1:6" ht="30" x14ac:dyDescent="0.3">
      <c r="A352" s="291"/>
      <c r="B352" s="279"/>
      <c r="C352" s="279" t="s">
        <v>287</v>
      </c>
      <c r="D352" s="279" t="s">
        <v>876</v>
      </c>
      <c r="E352" s="279"/>
      <c r="F352" s="18" t="s">
        <v>288</v>
      </c>
    </row>
    <row r="353" spans="1:6" ht="47.25" customHeight="1" x14ac:dyDescent="0.3">
      <c r="A353" s="291"/>
      <c r="B353" s="279"/>
      <c r="C353" s="279"/>
      <c r="D353" s="279"/>
      <c r="E353" s="279"/>
      <c r="F353" s="18" t="s">
        <v>289</v>
      </c>
    </row>
    <row r="354" spans="1:6" ht="44.25" customHeight="1" x14ac:dyDescent="0.3">
      <c r="A354" s="291"/>
      <c r="B354" s="279" t="s">
        <v>218</v>
      </c>
      <c r="C354" s="279" t="s">
        <v>219</v>
      </c>
      <c r="D354" s="279" t="s">
        <v>877</v>
      </c>
      <c r="E354" s="279"/>
      <c r="F354" s="18" t="s">
        <v>290</v>
      </c>
    </row>
    <row r="355" spans="1:6" ht="44.25" customHeight="1" x14ac:dyDescent="0.3">
      <c r="A355" s="291"/>
      <c r="B355" s="279"/>
      <c r="C355" s="279"/>
      <c r="D355" s="279"/>
      <c r="E355" s="279"/>
      <c r="F355" s="18" t="s">
        <v>292</v>
      </c>
    </row>
    <row r="356" spans="1:6" ht="42.75" customHeight="1" x14ac:dyDescent="0.3">
      <c r="A356" s="291"/>
      <c r="B356" s="279" t="s">
        <v>293</v>
      </c>
      <c r="C356" s="279" t="s">
        <v>294</v>
      </c>
      <c r="D356" s="279" t="s">
        <v>878</v>
      </c>
      <c r="E356" s="279"/>
      <c r="F356" s="18" t="s">
        <v>295</v>
      </c>
    </row>
    <row r="357" spans="1:6" ht="23.25" customHeight="1" x14ac:dyDescent="0.3">
      <c r="A357" s="291"/>
      <c r="B357" s="279"/>
      <c r="C357" s="279"/>
      <c r="D357" s="279"/>
      <c r="E357" s="279"/>
      <c r="F357" s="18" t="s">
        <v>296</v>
      </c>
    </row>
    <row r="358" spans="1:6" ht="15" x14ac:dyDescent="0.3">
      <c r="A358" s="291"/>
      <c r="B358" s="279"/>
      <c r="C358" s="279" t="s">
        <v>298</v>
      </c>
      <c r="D358" s="279" t="s">
        <v>879</v>
      </c>
      <c r="E358" s="279"/>
      <c r="F358" s="18" t="s">
        <v>299</v>
      </c>
    </row>
    <row r="359" spans="1:6" ht="30" x14ac:dyDescent="0.3">
      <c r="A359" s="291"/>
      <c r="B359" s="279"/>
      <c r="C359" s="279"/>
      <c r="D359" s="279"/>
      <c r="E359" s="279"/>
      <c r="F359" s="18" t="s">
        <v>301</v>
      </c>
    </row>
    <row r="360" spans="1:6" ht="30" x14ac:dyDescent="0.3">
      <c r="A360" s="291"/>
      <c r="B360" s="279"/>
      <c r="C360" s="279"/>
      <c r="D360" s="279"/>
      <c r="E360" s="279"/>
      <c r="F360" s="18" t="s">
        <v>303</v>
      </c>
    </row>
    <row r="361" spans="1:6" ht="75" x14ac:dyDescent="0.3">
      <c r="A361" s="291"/>
      <c r="B361" s="279" t="s">
        <v>305</v>
      </c>
      <c r="C361" s="7" t="s">
        <v>306</v>
      </c>
      <c r="D361" s="7" t="s">
        <v>880</v>
      </c>
      <c r="E361" s="7"/>
      <c r="F361" s="18" t="s">
        <v>307</v>
      </c>
    </row>
    <row r="362" spans="1:6" ht="90" x14ac:dyDescent="0.3">
      <c r="A362" s="291"/>
      <c r="B362" s="279"/>
      <c r="C362" s="7" t="s">
        <v>842</v>
      </c>
      <c r="D362" s="7" t="s">
        <v>881</v>
      </c>
      <c r="E362" s="7"/>
      <c r="F362" s="18" t="s">
        <v>308</v>
      </c>
    </row>
    <row r="363" spans="1:6" ht="105" x14ac:dyDescent="0.3">
      <c r="A363" s="289" t="s">
        <v>705</v>
      </c>
      <c r="B363" s="290" t="s">
        <v>226</v>
      </c>
      <c r="C363" s="2" t="s">
        <v>592</v>
      </c>
      <c r="D363" s="2" t="s">
        <v>875</v>
      </c>
      <c r="E363" s="2"/>
      <c r="F363" s="32" t="s">
        <v>591</v>
      </c>
    </row>
    <row r="364" spans="1:6" ht="51.75" customHeight="1" x14ac:dyDescent="0.3">
      <c r="A364" s="289"/>
      <c r="B364" s="290"/>
      <c r="C364" s="239" t="s">
        <v>589</v>
      </c>
      <c r="D364" s="239" t="s">
        <v>875</v>
      </c>
      <c r="E364" s="239"/>
      <c r="F364" s="32" t="s">
        <v>588</v>
      </c>
    </row>
    <row r="365" spans="1:6" ht="30" x14ac:dyDescent="0.3">
      <c r="A365" s="289"/>
      <c r="B365" s="290"/>
      <c r="C365" s="243"/>
      <c r="D365" s="243"/>
      <c r="E365" s="243"/>
      <c r="F365" s="32" t="s">
        <v>586</v>
      </c>
    </row>
    <row r="366" spans="1:6" ht="45" x14ac:dyDescent="0.3">
      <c r="A366" s="289"/>
      <c r="B366" s="290"/>
      <c r="C366" s="243"/>
      <c r="D366" s="243"/>
      <c r="E366" s="243"/>
      <c r="F366" s="32" t="s">
        <v>585</v>
      </c>
    </row>
    <row r="367" spans="1:6" ht="45" x14ac:dyDescent="0.3">
      <c r="A367" s="289"/>
      <c r="B367" s="290"/>
      <c r="C367" s="243"/>
      <c r="D367" s="243"/>
      <c r="E367" s="243"/>
      <c r="F367" s="32" t="s">
        <v>584</v>
      </c>
    </row>
    <row r="368" spans="1:6" ht="30" x14ac:dyDescent="0.3">
      <c r="A368" s="289"/>
      <c r="B368" s="290"/>
      <c r="C368" s="243"/>
      <c r="D368" s="243"/>
      <c r="E368" s="243"/>
      <c r="F368" s="32" t="s">
        <v>582</v>
      </c>
    </row>
    <row r="369" spans="1:10" ht="30" x14ac:dyDescent="0.3">
      <c r="A369" s="289"/>
      <c r="B369" s="290"/>
      <c r="C369" s="243"/>
      <c r="D369" s="243"/>
      <c r="E369" s="243"/>
      <c r="F369" s="32" t="s">
        <v>581</v>
      </c>
    </row>
    <row r="370" spans="1:10" ht="30" x14ac:dyDescent="0.3">
      <c r="A370" s="289"/>
      <c r="B370" s="290"/>
      <c r="C370" s="243"/>
      <c r="D370" s="243"/>
      <c r="E370" s="243"/>
      <c r="F370" s="32" t="s">
        <v>580</v>
      </c>
    </row>
    <row r="371" spans="1:10" ht="30" x14ac:dyDescent="0.3">
      <c r="A371" s="289"/>
      <c r="B371" s="290"/>
      <c r="C371" s="243"/>
      <c r="D371" s="243"/>
      <c r="E371" s="243"/>
      <c r="F371" s="32" t="s">
        <v>579</v>
      </c>
    </row>
    <row r="372" spans="1:10" ht="30" x14ac:dyDescent="0.3">
      <c r="A372" s="289"/>
      <c r="B372" s="290"/>
      <c r="C372" s="243"/>
      <c r="D372" s="243"/>
      <c r="E372" s="243"/>
      <c r="F372" s="32" t="s">
        <v>577</v>
      </c>
    </row>
    <row r="373" spans="1:10" ht="30" x14ac:dyDescent="0.3">
      <c r="A373" s="289"/>
      <c r="B373" s="290"/>
      <c r="C373" s="243"/>
      <c r="D373" s="243"/>
      <c r="E373" s="243"/>
      <c r="F373" s="32" t="s">
        <v>575</v>
      </c>
    </row>
    <row r="374" spans="1:10" ht="30" x14ac:dyDescent="0.3">
      <c r="A374" s="289"/>
      <c r="B374" s="290"/>
      <c r="C374" s="243"/>
      <c r="D374" s="243"/>
      <c r="E374" s="243"/>
      <c r="F374" s="32" t="s">
        <v>574</v>
      </c>
    </row>
    <row r="375" spans="1:10" ht="34.5" customHeight="1" x14ac:dyDescent="0.3">
      <c r="A375" s="289"/>
      <c r="B375" s="290"/>
      <c r="C375" s="307" t="s">
        <v>844</v>
      </c>
      <c r="D375" s="307" t="s">
        <v>875</v>
      </c>
      <c r="E375" s="307"/>
      <c r="F375" s="32" t="s">
        <v>573</v>
      </c>
    </row>
    <row r="376" spans="1:10" ht="45" x14ac:dyDescent="0.3">
      <c r="A376" s="289"/>
      <c r="B376" s="290"/>
      <c r="C376" s="308"/>
      <c r="D376" s="308"/>
      <c r="E376" s="308"/>
      <c r="F376" s="32" t="s">
        <v>572</v>
      </c>
    </row>
    <row r="377" spans="1:10" ht="30" x14ac:dyDescent="0.3">
      <c r="A377" s="289"/>
      <c r="B377" s="290"/>
      <c r="C377" s="308"/>
      <c r="D377" s="308"/>
      <c r="E377" s="308"/>
      <c r="F377" s="32" t="s">
        <v>571</v>
      </c>
    </row>
    <row r="378" spans="1:10" ht="60" x14ac:dyDescent="0.3">
      <c r="A378" s="289"/>
      <c r="B378" s="290"/>
      <c r="C378" s="308"/>
      <c r="D378" s="308"/>
      <c r="E378" s="308"/>
      <c r="F378" s="32" t="s">
        <v>570</v>
      </c>
    </row>
    <row r="379" spans="1:10" ht="60" x14ac:dyDescent="0.3">
      <c r="A379" s="289"/>
      <c r="B379" s="290"/>
      <c r="C379" s="309"/>
      <c r="D379" s="309"/>
      <c r="E379" s="309"/>
      <c r="F379" s="32" t="s">
        <v>569</v>
      </c>
    </row>
    <row r="380" spans="1:10" ht="30" x14ac:dyDescent="0.3">
      <c r="A380" s="289"/>
      <c r="B380" s="290"/>
      <c r="C380" s="290" t="s">
        <v>843</v>
      </c>
      <c r="D380" s="290" t="s">
        <v>875</v>
      </c>
      <c r="E380" s="290"/>
      <c r="F380" s="32" t="s">
        <v>567</v>
      </c>
    </row>
    <row r="381" spans="1:10" ht="30" x14ac:dyDescent="0.3">
      <c r="A381" s="289"/>
      <c r="B381" s="290"/>
      <c r="C381" s="290"/>
      <c r="D381" s="290"/>
      <c r="E381" s="290"/>
      <c r="F381" s="32" t="s">
        <v>566</v>
      </c>
    </row>
    <row r="382" spans="1:10" ht="34.5" customHeight="1" x14ac:dyDescent="0.3">
      <c r="A382" s="289"/>
      <c r="B382" s="290"/>
      <c r="C382" s="290"/>
      <c r="D382" s="290"/>
      <c r="E382" s="290"/>
      <c r="F382" s="32" t="s">
        <v>565</v>
      </c>
    </row>
    <row r="383" spans="1:10" ht="15" x14ac:dyDescent="0.3">
      <c r="A383" s="289"/>
      <c r="B383" s="290"/>
      <c r="C383" s="290"/>
      <c r="D383" s="290"/>
      <c r="E383" s="290"/>
      <c r="F383" s="32" t="s">
        <v>564</v>
      </c>
    </row>
    <row r="384" spans="1:10" ht="15" customHeight="1" x14ac:dyDescent="0.3">
      <c r="A384" s="289"/>
      <c r="B384" s="290"/>
      <c r="C384" s="254" t="s">
        <v>563</v>
      </c>
      <c r="D384" s="315"/>
      <c r="E384" s="315"/>
      <c r="F384" s="318"/>
      <c r="G384" s="46"/>
      <c r="H384" s="46"/>
      <c r="I384" s="46"/>
      <c r="J384" s="46"/>
    </row>
    <row r="385" spans="1:10" ht="15" customHeight="1" x14ac:dyDescent="0.3">
      <c r="A385" s="289"/>
      <c r="B385" s="290"/>
      <c r="C385" s="254"/>
      <c r="D385" s="316"/>
      <c r="E385" s="316"/>
      <c r="F385" s="319"/>
      <c r="G385" s="46"/>
      <c r="H385" s="46"/>
      <c r="I385" s="46"/>
      <c r="J385" s="46"/>
    </row>
    <row r="386" spans="1:10" ht="15.75" customHeight="1" x14ac:dyDescent="0.3">
      <c r="A386" s="289"/>
      <c r="B386" s="290"/>
      <c r="C386" s="254"/>
      <c r="D386" s="316"/>
      <c r="E386" s="316"/>
      <c r="F386" s="319"/>
      <c r="G386" s="47"/>
      <c r="H386" s="47"/>
      <c r="I386" s="47"/>
      <c r="J386" s="47"/>
    </row>
    <row r="387" spans="1:10" ht="32.25" customHeight="1" x14ac:dyDescent="0.3">
      <c r="A387" s="289"/>
      <c r="B387" s="290"/>
      <c r="C387" s="254"/>
      <c r="D387" s="317"/>
      <c r="E387" s="317"/>
      <c r="F387" s="320"/>
      <c r="G387" s="47"/>
      <c r="H387" s="47"/>
      <c r="I387" s="47"/>
      <c r="J387" s="47"/>
    </row>
    <row r="388" spans="1:10" ht="30" x14ac:dyDescent="0.3">
      <c r="A388" s="289"/>
      <c r="B388" s="290" t="s">
        <v>557</v>
      </c>
      <c r="C388" s="290" t="s">
        <v>845</v>
      </c>
      <c r="D388" s="290" t="s">
        <v>874</v>
      </c>
      <c r="E388" s="290"/>
      <c r="F388" s="20" t="s">
        <v>556</v>
      </c>
    </row>
    <row r="389" spans="1:10" ht="15" x14ac:dyDescent="0.3">
      <c r="A389" s="289"/>
      <c r="B389" s="290"/>
      <c r="C389" s="290"/>
      <c r="D389" s="290"/>
      <c r="E389" s="290"/>
      <c r="F389" s="20" t="s">
        <v>555</v>
      </c>
    </row>
    <row r="390" spans="1:10" ht="52.5" customHeight="1" x14ac:dyDescent="0.3">
      <c r="A390" s="289"/>
      <c r="B390" s="290"/>
      <c r="C390" s="290"/>
      <c r="D390" s="290"/>
      <c r="E390" s="290"/>
      <c r="F390" s="20" t="s">
        <v>553</v>
      </c>
    </row>
    <row r="391" spans="1:10" ht="30" x14ac:dyDescent="0.3">
      <c r="A391" s="264" t="s">
        <v>706</v>
      </c>
      <c r="B391" s="244" t="s">
        <v>745</v>
      </c>
      <c r="C391" s="244" t="s">
        <v>744</v>
      </c>
      <c r="D391" s="244" t="s">
        <v>873</v>
      </c>
      <c r="E391" s="244"/>
      <c r="F391" s="20" t="s">
        <v>741</v>
      </c>
    </row>
    <row r="392" spans="1:10" ht="30" x14ac:dyDescent="0.3">
      <c r="A392" s="265"/>
      <c r="B392" s="245"/>
      <c r="C392" s="245"/>
      <c r="D392" s="245"/>
      <c r="E392" s="245"/>
      <c r="F392" s="20" t="s">
        <v>742</v>
      </c>
    </row>
    <row r="393" spans="1:10" ht="45" x14ac:dyDescent="0.3">
      <c r="A393" s="266"/>
      <c r="B393" s="246"/>
      <c r="C393" s="246"/>
      <c r="D393" s="246"/>
      <c r="E393" s="246"/>
      <c r="F393" s="20" t="s">
        <v>743</v>
      </c>
    </row>
    <row r="394" spans="1:10" ht="30" x14ac:dyDescent="0.3">
      <c r="A394" s="289" t="s">
        <v>1</v>
      </c>
      <c r="B394" s="269" t="s">
        <v>847</v>
      </c>
      <c r="C394" s="269" t="s">
        <v>849</v>
      </c>
      <c r="D394" s="269" t="s">
        <v>872</v>
      </c>
      <c r="E394" s="269"/>
      <c r="F394" s="18" t="s">
        <v>317</v>
      </c>
    </row>
    <row r="395" spans="1:10" ht="15" x14ac:dyDescent="0.3">
      <c r="A395" s="289"/>
      <c r="B395" s="269"/>
      <c r="C395" s="269"/>
      <c r="D395" s="269"/>
      <c r="E395" s="269"/>
      <c r="F395" s="18" t="s">
        <v>318</v>
      </c>
    </row>
    <row r="396" spans="1:10" ht="15" x14ac:dyDescent="0.3">
      <c r="A396" s="289"/>
      <c r="B396" s="269"/>
      <c r="C396" s="269"/>
      <c r="D396" s="269"/>
      <c r="E396" s="269"/>
      <c r="F396" s="18" t="s">
        <v>319</v>
      </c>
    </row>
    <row r="397" spans="1:10" ht="15" x14ac:dyDescent="0.3">
      <c r="A397" s="289"/>
      <c r="B397" s="269"/>
      <c r="C397" s="269" t="s">
        <v>848</v>
      </c>
      <c r="D397" s="269" t="s">
        <v>870</v>
      </c>
      <c r="E397" s="269"/>
      <c r="F397" s="18" t="s">
        <v>321</v>
      </c>
    </row>
    <row r="398" spans="1:10" ht="15" x14ac:dyDescent="0.3">
      <c r="A398" s="289"/>
      <c r="B398" s="269"/>
      <c r="C398" s="269"/>
      <c r="D398" s="269"/>
      <c r="E398" s="269"/>
      <c r="F398" s="18" t="s">
        <v>322</v>
      </c>
    </row>
    <row r="399" spans="1:10" ht="15" x14ac:dyDescent="0.3">
      <c r="A399" s="289"/>
      <c r="B399" s="269"/>
      <c r="C399" s="269"/>
      <c r="D399" s="269"/>
      <c r="E399" s="269"/>
      <c r="F399" s="18" t="s">
        <v>767</v>
      </c>
    </row>
    <row r="400" spans="1:10" ht="15" x14ac:dyDescent="0.3">
      <c r="A400" s="289"/>
      <c r="B400" s="269"/>
      <c r="C400" s="269"/>
      <c r="D400" s="269"/>
      <c r="E400" s="269"/>
      <c r="F400" s="18" t="s">
        <v>323</v>
      </c>
    </row>
    <row r="401" spans="1:6" ht="15" x14ac:dyDescent="0.3">
      <c r="A401" s="289"/>
      <c r="B401" s="269"/>
      <c r="C401" s="269"/>
      <c r="D401" s="269"/>
      <c r="E401" s="269"/>
      <c r="F401" s="18" t="s">
        <v>324</v>
      </c>
    </row>
    <row r="402" spans="1:6" ht="15" x14ac:dyDescent="0.3">
      <c r="A402" s="289"/>
      <c r="B402" s="269"/>
      <c r="C402" s="269"/>
      <c r="D402" s="269"/>
      <c r="E402" s="269"/>
      <c r="F402" s="18" t="s">
        <v>325</v>
      </c>
    </row>
    <row r="403" spans="1:6" ht="15" x14ac:dyDescent="0.3">
      <c r="A403" s="289"/>
      <c r="B403" s="269"/>
      <c r="C403" s="269"/>
      <c r="D403" s="269"/>
      <c r="E403" s="269"/>
      <c r="F403" s="18" t="s">
        <v>327</v>
      </c>
    </row>
    <row r="404" spans="1:6" ht="15" x14ac:dyDescent="0.3">
      <c r="A404" s="289"/>
      <c r="B404" s="269"/>
      <c r="C404" s="269" t="s">
        <v>328</v>
      </c>
      <c r="D404" s="269" t="s">
        <v>871</v>
      </c>
      <c r="E404" s="269"/>
      <c r="F404" s="18" t="s">
        <v>329</v>
      </c>
    </row>
    <row r="405" spans="1:6" ht="15" x14ac:dyDescent="0.3">
      <c r="A405" s="289"/>
      <c r="B405" s="269"/>
      <c r="C405" s="269"/>
      <c r="D405" s="269"/>
      <c r="E405" s="269"/>
      <c r="F405" s="18" t="s">
        <v>330</v>
      </c>
    </row>
    <row r="406" spans="1:6" ht="15" x14ac:dyDescent="0.3">
      <c r="A406" s="289"/>
      <c r="B406" s="269"/>
      <c r="C406" s="269"/>
      <c r="D406" s="269"/>
      <c r="E406" s="269"/>
      <c r="F406" s="18" t="s">
        <v>331</v>
      </c>
    </row>
    <row r="407" spans="1:6" ht="15" x14ac:dyDescent="0.3">
      <c r="A407" s="289"/>
      <c r="B407" s="269"/>
      <c r="C407" s="269"/>
      <c r="D407" s="269"/>
      <c r="E407" s="269"/>
      <c r="F407" s="18" t="s">
        <v>332</v>
      </c>
    </row>
    <row r="408" spans="1:6" ht="15" x14ac:dyDescent="0.3">
      <c r="A408" s="289"/>
      <c r="B408" s="269"/>
      <c r="C408" s="269"/>
      <c r="D408" s="269"/>
      <c r="E408" s="269"/>
      <c r="F408" s="18" t="s">
        <v>334</v>
      </c>
    </row>
    <row r="409" spans="1:6" ht="45" x14ac:dyDescent="0.3">
      <c r="A409" s="291" t="s">
        <v>707</v>
      </c>
      <c r="B409" s="8" t="s">
        <v>540</v>
      </c>
      <c r="C409" s="8" t="s">
        <v>846</v>
      </c>
      <c r="D409" s="8" t="s">
        <v>868</v>
      </c>
      <c r="E409" s="8"/>
      <c r="F409" s="43" t="s">
        <v>541</v>
      </c>
    </row>
    <row r="410" spans="1:6" ht="15" x14ac:dyDescent="0.3">
      <c r="A410" s="291"/>
      <c r="B410" s="258" t="s">
        <v>542</v>
      </c>
      <c r="C410" s="258" t="s">
        <v>543</v>
      </c>
      <c r="D410" s="258" t="s">
        <v>869</v>
      </c>
      <c r="E410" s="258"/>
      <c r="F410" s="18" t="s">
        <v>544</v>
      </c>
    </row>
    <row r="411" spans="1:6" ht="15" x14ac:dyDescent="0.3">
      <c r="A411" s="291"/>
      <c r="B411" s="258"/>
      <c r="C411" s="258"/>
      <c r="D411" s="258"/>
      <c r="E411" s="258"/>
      <c r="F411" s="18" t="s">
        <v>545</v>
      </c>
    </row>
    <row r="412" spans="1:6" ht="15" x14ac:dyDescent="0.3">
      <c r="A412" s="291"/>
      <c r="B412" s="258"/>
      <c r="C412" s="258"/>
      <c r="D412" s="258"/>
      <c r="E412" s="258"/>
      <c r="F412" s="18" t="s">
        <v>546</v>
      </c>
    </row>
    <row r="413" spans="1:6" ht="15" x14ac:dyDescent="0.3">
      <c r="A413" s="291"/>
      <c r="B413" s="258"/>
      <c r="C413" s="258"/>
      <c r="D413" s="258"/>
      <c r="E413" s="258"/>
      <c r="F413" s="18" t="s">
        <v>547</v>
      </c>
    </row>
    <row r="414" spans="1:6" ht="15" x14ac:dyDescent="0.3">
      <c r="A414" s="291"/>
      <c r="B414" s="258"/>
      <c r="C414" s="258"/>
      <c r="D414" s="258"/>
      <c r="E414" s="258"/>
      <c r="F414" s="18" t="s">
        <v>548</v>
      </c>
    </row>
    <row r="415" spans="1:6" ht="15" x14ac:dyDescent="0.3">
      <c r="A415" s="291"/>
      <c r="B415" s="258"/>
      <c r="C415" s="258"/>
      <c r="D415" s="258"/>
      <c r="E415" s="258"/>
      <c r="F415" s="18" t="s">
        <v>549</v>
      </c>
    </row>
    <row r="416" spans="1:6" ht="15" x14ac:dyDescent="0.3">
      <c r="A416" s="291"/>
      <c r="B416" s="258"/>
      <c r="C416" s="258"/>
      <c r="D416" s="258"/>
      <c r="E416" s="258"/>
      <c r="F416" s="18" t="s">
        <v>550</v>
      </c>
    </row>
    <row r="417" spans="1:6" ht="15" x14ac:dyDescent="0.3">
      <c r="A417" s="291"/>
      <c r="B417" s="258"/>
      <c r="C417" s="258"/>
      <c r="D417" s="258"/>
      <c r="E417" s="258"/>
      <c r="F417" s="18" t="s">
        <v>551</v>
      </c>
    </row>
    <row r="418" spans="1:6" ht="15" x14ac:dyDescent="0.3">
      <c r="A418" s="291"/>
      <c r="B418" s="258"/>
      <c r="C418" s="258"/>
      <c r="D418" s="258"/>
      <c r="E418" s="258"/>
      <c r="F418" s="18" t="s">
        <v>552</v>
      </c>
    </row>
    <row r="419" spans="1:6" ht="30" x14ac:dyDescent="0.3">
      <c r="A419" s="289" t="s">
        <v>709</v>
      </c>
      <c r="B419" s="254" t="s">
        <v>164</v>
      </c>
      <c r="C419" s="254" t="s">
        <v>652</v>
      </c>
      <c r="D419" s="254" t="s">
        <v>866</v>
      </c>
      <c r="E419" s="254"/>
      <c r="F419" s="20" t="s">
        <v>653</v>
      </c>
    </row>
    <row r="420" spans="1:6" ht="15" x14ac:dyDescent="0.3">
      <c r="A420" s="289"/>
      <c r="B420" s="254"/>
      <c r="C420" s="254"/>
      <c r="D420" s="254"/>
      <c r="E420" s="254"/>
      <c r="F420" s="20" t="s">
        <v>654</v>
      </c>
    </row>
    <row r="421" spans="1:6" ht="15" x14ac:dyDescent="0.3">
      <c r="A421" s="289"/>
      <c r="B421" s="254"/>
      <c r="C421" s="254"/>
      <c r="D421" s="254"/>
      <c r="E421" s="254"/>
      <c r="F421" s="20" t="s">
        <v>655</v>
      </c>
    </row>
    <row r="422" spans="1:6" ht="45" x14ac:dyDescent="0.3">
      <c r="A422" s="289"/>
      <c r="B422" s="254"/>
      <c r="C422" s="254"/>
      <c r="D422" s="254"/>
      <c r="E422" s="254"/>
      <c r="F422" s="20" t="s">
        <v>656</v>
      </c>
    </row>
    <row r="423" spans="1:6" ht="45" x14ac:dyDescent="0.3">
      <c r="A423" s="289"/>
      <c r="B423" s="254"/>
      <c r="C423" s="254"/>
      <c r="D423" s="254"/>
      <c r="E423" s="254"/>
      <c r="F423" s="20" t="s">
        <v>657</v>
      </c>
    </row>
    <row r="424" spans="1:6" ht="30" x14ac:dyDescent="0.3">
      <c r="A424" s="289"/>
      <c r="B424" s="254"/>
      <c r="C424" s="254"/>
      <c r="D424" s="254"/>
      <c r="E424" s="254"/>
      <c r="F424" s="20" t="s">
        <v>658</v>
      </c>
    </row>
    <row r="425" spans="1:6" ht="45" x14ac:dyDescent="0.3">
      <c r="A425" s="289"/>
      <c r="B425" s="254" t="s">
        <v>407</v>
      </c>
      <c r="C425" s="254" t="s">
        <v>659</v>
      </c>
      <c r="D425" s="254" t="s">
        <v>943</v>
      </c>
      <c r="E425" s="254"/>
      <c r="F425" s="20" t="s">
        <v>660</v>
      </c>
    </row>
    <row r="426" spans="1:6" ht="30" x14ac:dyDescent="0.3">
      <c r="A426" s="289"/>
      <c r="B426" s="254"/>
      <c r="C426" s="254"/>
      <c r="D426" s="254"/>
      <c r="E426" s="254"/>
      <c r="F426" s="20" t="s">
        <v>661</v>
      </c>
    </row>
    <row r="427" spans="1:6" ht="30" x14ac:dyDescent="0.3">
      <c r="A427" s="289"/>
      <c r="B427" s="254"/>
      <c r="C427" s="254"/>
      <c r="D427" s="254"/>
      <c r="E427" s="254"/>
      <c r="F427" s="20" t="s">
        <v>662</v>
      </c>
    </row>
    <row r="428" spans="1:6" ht="15" x14ac:dyDescent="0.3">
      <c r="A428" s="289"/>
      <c r="B428" s="254"/>
      <c r="C428" s="254"/>
      <c r="D428" s="254"/>
      <c r="E428" s="254"/>
      <c r="F428" s="20" t="s">
        <v>663</v>
      </c>
    </row>
    <row r="429" spans="1:6" ht="30" x14ac:dyDescent="0.3">
      <c r="A429" s="289"/>
      <c r="B429" s="254"/>
      <c r="C429" s="254"/>
      <c r="D429" s="254"/>
      <c r="E429" s="254"/>
      <c r="F429" s="20" t="s">
        <v>664</v>
      </c>
    </row>
    <row r="430" spans="1:6" ht="30" x14ac:dyDescent="0.3">
      <c r="A430" s="289"/>
      <c r="B430" s="254"/>
      <c r="C430" s="254"/>
      <c r="D430" s="254"/>
      <c r="E430" s="254"/>
      <c r="F430" s="20" t="s">
        <v>665</v>
      </c>
    </row>
    <row r="431" spans="1:6" ht="30" x14ac:dyDescent="0.3">
      <c r="A431" s="289"/>
      <c r="B431" s="254"/>
      <c r="C431" s="254"/>
      <c r="D431" s="254"/>
      <c r="E431" s="254"/>
      <c r="F431" s="20" t="s">
        <v>666</v>
      </c>
    </row>
    <row r="432" spans="1:6" ht="30" x14ac:dyDescent="0.3">
      <c r="A432" s="289"/>
      <c r="B432" s="254"/>
      <c r="C432" s="254"/>
      <c r="D432" s="254"/>
      <c r="E432" s="254"/>
      <c r="F432" s="20" t="s">
        <v>667</v>
      </c>
    </row>
    <row r="433" spans="1:6" ht="45" x14ac:dyDescent="0.3">
      <c r="A433" s="289"/>
      <c r="B433" s="254"/>
      <c r="C433" s="254"/>
      <c r="D433" s="254"/>
      <c r="E433" s="254"/>
      <c r="F433" s="20" t="s">
        <v>668</v>
      </c>
    </row>
    <row r="434" spans="1:6" ht="45" x14ac:dyDescent="0.3">
      <c r="A434" s="289"/>
      <c r="B434" s="239" t="s">
        <v>669</v>
      </c>
      <c r="C434" s="239" t="s">
        <v>670</v>
      </c>
      <c r="D434" s="239" t="s">
        <v>867</v>
      </c>
      <c r="E434" s="239"/>
      <c r="F434" s="20" t="s">
        <v>671</v>
      </c>
    </row>
    <row r="435" spans="1:6" ht="45" x14ac:dyDescent="0.3">
      <c r="A435" s="289"/>
      <c r="B435" s="243"/>
      <c r="C435" s="243"/>
      <c r="D435" s="243"/>
      <c r="E435" s="243"/>
      <c r="F435" s="20" t="s">
        <v>672</v>
      </c>
    </row>
    <row r="436" spans="1:6" ht="30" x14ac:dyDescent="0.3">
      <c r="A436" s="289"/>
      <c r="B436" s="243"/>
      <c r="C436" s="243"/>
      <c r="D436" s="243"/>
      <c r="E436" s="243"/>
      <c r="F436" s="20" t="s">
        <v>673</v>
      </c>
    </row>
    <row r="437" spans="1:6" ht="51.75" customHeight="1" x14ac:dyDescent="0.3">
      <c r="A437" s="289"/>
      <c r="B437" s="243"/>
      <c r="C437" s="243"/>
      <c r="D437" s="243"/>
      <c r="E437" s="243"/>
      <c r="F437" s="20" t="s">
        <v>674</v>
      </c>
    </row>
    <row r="438" spans="1:6" ht="58.5" customHeight="1" x14ac:dyDescent="0.3">
      <c r="A438" s="289"/>
      <c r="B438" s="240"/>
      <c r="C438" s="240"/>
      <c r="D438" s="240"/>
      <c r="E438" s="240"/>
      <c r="F438" s="20" t="s">
        <v>736</v>
      </c>
    </row>
    <row r="439" spans="1:6" ht="30" x14ac:dyDescent="0.3">
      <c r="A439" s="289"/>
      <c r="B439" s="254" t="s">
        <v>485</v>
      </c>
      <c r="C439" s="254" t="s">
        <v>486</v>
      </c>
      <c r="D439" s="254" t="s">
        <v>860</v>
      </c>
      <c r="E439" s="254"/>
      <c r="F439" s="20" t="s">
        <v>683</v>
      </c>
    </row>
    <row r="440" spans="1:6" ht="15" x14ac:dyDescent="0.3">
      <c r="A440" s="289"/>
      <c r="B440" s="254"/>
      <c r="C440" s="254"/>
      <c r="D440" s="254"/>
      <c r="E440" s="254"/>
      <c r="F440" s="20" t="s">
        <v>684</v>
      </c>
    </row>
    <row r="441" spans="1:6" ht="30" x14ac:dyDescent="0.3">
      <c r="A441" s="289"/>
      <c r="B441" s="254"/>
      <c r="C441" s="254"/>
      <c r="D441" s="254"/>
      <c r="E441" s="254"/>
      <c r="F441" s="20" t="s">
        <v>685</v>
      </c>
    </row>
    <row r="442" spans="1:6" ht="15" x14ac:dyDescent="0.3">
      <c r="A442" s="289"/>
      <c r="B442" s="254"/>
      <c r="C442" s="254"/>
      <c r="D442" s="254"/>
      <c r="E442" s="254"/>
      <c r="F442" s="20" t="s">
        <v>686</v>
      </c>
    </row>
    <row r="443" spans="1:6" ht="30" x14ac:dyDescent="0.3">
      <c r="A443" s="264" t="s">
        <v>716</v>
      </c>
      <c r="B443" s="267" t="s">
        <v>850</v>
      </c>
      <c r="C443" s="244" t="s">
        <v>761</v>
      </c>
      <c r="D443" s="244" t="s">
        <v>865</v>
      </c>
      <c r="E443" s="244"/>
      <c r="F443" s="20" t="s">
        <v>762</v>
      </c>
    </row>
    <row r="444" spans="1:6" ht="30" x14ac:dyDescent="0.3">
      <c r="A444" s="265"/>
      <c r="B444" s="245"/>
      <c r="C444" s="245"/>
      <c r="D444" s="245"/>
      <c r="E444" s="245"/>
      <c r="F444" s="20" t="s">
        <v>763</v>
      </c>
    </row>
    <row r="445" spans="1:6" ht="30" x14ac:dyDescent="0.3">
      <c r="A445" s="265"/>
      <c r="B445" s="245"/>
      <c r="C445" s="245"/>
      <c r="D445" s="245"/>
      <c r="E445" s="245"/>
      <c r="F445" s="20" t="s">
        <v>764</v>
      </c>
    </row>
    <row r="446" spans="1:6" ht="30" x14ac:dyDescent="0.3">
      <c r="A446" s="266"/>
      <c r="B446" s="246"/>
      <c r="C446" s="246"/>
      <c r="D446" s="246"/>
      <c r="E446" s="246"/>
      <c r="F446" s="20" t="s">
        <v>765</v>
      </c>
    </row>
    <row r="447" spans="1:6" ht="34.5" customHeight="1" x14ac:dyDescent="0.3">
      <c r="A447" s="272" t="s">
        <v>710</v>
      </c>
      <c r="B447" s="239" t="s">
        <v>164</v>
      </c>
      <c r="C447" s="239" t="s">
        <v>652</v>
      </c>
      <c r="D447" s="239" t="s">
        <v>864</v>
      </c>
      <c r="E447" s="239"/>
      <c r="F447" s="22" t="s">
        <v>769</v>
      </c>
    </row>
    <row r="448" spans="1:6" ht="17.25" customHeight="1" x14ac:dyDescent="0.3">
      <c r="A448" s="273"/>
      <c r="B448" s="243"/>
      <c r="C448" s="243"/>
      <c r="D448" s="243"/>
      <c r="E448" s="243"/>
      <c r="F448" s="22" t="s">
        <v>770</v>
      </c>
    </row>
    <row r="449" spans="1:6" ht="17.25" customHeight="1" x14ac:dyDescent="0.3">
      <c r="A449" s="273"/>
      <c r="B449" s="243"/>
      <c r="C449" s="243"/>
      <c r="D449" s="243"/>
      <c r="E449" s="243"/>
      <c r="F449" s="22" t="s">
        <v>771</v>
      </c>
    </row>
    <row r="450" spans="1:6" ht="17.25" customHeight="1" x14ac:dyDescent="0.3">
      <c r="A450" s="273"/>
      <c r="B450" s="243"/>
      <c r="C450" s="243"/>
      <c r="D450" s="243"/>
      <c r="E450" s="243"/>
      <c r="F450" s="22" t="s">
        <v>772</v>
      </c>
    </row>
    <row r="451" spans="1:6" ht="17.25" customHeight="1" x14ac:dyDescent="0.3">
      <c r="A451" s="273"/>
      <c r="B451" s="243"/>
      <c r="C451" s="243"/>
      <c r="D451" s="243"/>
      <c r="E451" s="243"/>
      <c r="F451" s="22" t="s">
        <v>773</v>
      </c>
    </row>
    <row r="452" spans="1:6" ht="17.25" customHeight="1" x14ac:dyDescent="0.3">
      <c r="A452" s="273"/>
      <c r="B452" s="243"/>
      <c r="C452" s="243"/>
      <c r="D452" s="243"/>
      <c r="E452" s="243"/>
      <c r="F452" s="20" t="s">
        <v>774</v>
      </c>
    </row>
    <row r="453" spans="1:6" ht="17.25" customHeight="1" x14ac:dyDescent="0.3">
      <c r="A453" s="274"/>
      <c r="B453" s="240"/>
      <c r="C453" s="240"/>
      <c r="D453" s="240"/>
      <c r="E453" s="240"/>
      <c r="F453" s="20" t="s">
        <v>775</v>
      </c>
    </row>
    <row r="454" spans="1:6" ht="30" x14ac:dyDescent="0.3">
      <c r="A454" s="291" t="s">
        <v>22</v>
      </c>
      <c r="B454" s="321" t="s">
        <v>76</v>
      </c>
      <c r="C454" s="321" t="s">
        <v>77</v>
      </c>
      <c r="D454" s="321"/>
      <c r="E454" s="321"/>
      <c r="F454" s="44" t="s">
        <v>79</v>
      </c>
    </row>
    <row r="455" spans="1:6" ht="30" x14ac:dyDescent="0.3">
      <c r="A455" s="291"/>
      <c r="B455" s="321"/>
      <c r="C455" s="321"/>
      <c r="D455" s="321"/>
      <c r="E455" s="321"/>
      <c r="F455" s="44" t="s">
        <v>80</v>
      </c>
    </row>
    <row r="456" spans="1:6" ht="30" x14ac:dyDescent="0.3">
      <c r="A456" s="291"/>
      <c r="B456" s="321"/>
      <c r="C456" s="321"/>
      <c r="D456" s="321"/>
      <c r="E456" s="321"/>
      <c r="F456" s="44" t="s">
        <v>81</v>
      </c>
    </row>
    <row r="457" spans="1:6" ht="30" x14ac:dyDescent="0.3">
      <c r="A457" s="291"/>
      <c r="B457" s="321"/>
      <c r="C457" s="321" t="s">
        <v>78</v>
      </c>
      <c r="D457" s="321"/>
      <c r="E457" s="321"/>
      <c r="F457" s="44" t="s">
        <v>82</v>
      </c>
    </row>
    <row r="458" spans="1:6" ht="30" x14ac:dyDescent="0.3">
      <c r="A458" s="291"/>
      <c r="B458" s="321"/>
      <c r="C458" s="321"/>
      <c r="D458" s="321"/>
      <c r="E458" s="321"/>
      <c r="F458" s="44" t="s">
        <v>83</v>
      </c>
    </row>
    <row r="459" spans="1:6" ht="30" x14ac:dyDescent="0.3">
      <c r="A459" s="291"/>
      <c r="B459" s="321"/>
      <c r="C459" s="321"/>
      <c r="D459" s="321"/>
      <c r="E459" s="321"/>
      <c r="F459" s="44" t="s">
        <v>84</v>
      </c>
    </row>
    <row r="460" spans="1:6" ht="30" x14ac:dyDescent="0.3">
      <c r="A460" s="291"/>
      <c r="B460" s="321"/>
      <c r="C460" s="321"/>
      <c r="D460" s="321"/>
      <c r="E460" s="321"/>
      <c r="F460" s="44" t="s">
        <v>85</v>
      </c>
    </row>
    <row r="461" spans="1:6" ht="62.25" customHeight="1" x14ac:dyDescent="0.3">
      <c r="A461" s="13" t="s">
        <v>717</v>
      </c>
      <c r="B461" s="25"/>
      <c r="C461" s="25"/>
      <c r="D461" s="45"/>
      <c r="E461" s="25"/>
      <c r="F461" s="17"/>
    </row>
    <row r="462" spans="1:6" ht="62.25" customHeight="1" x14ac:dyDescent="0.3">
      <c r="A462" s="14" t="s">
        <v>718</v>
      </c>
      <c r="B462" s="25"/>
      <c r="C462" s="25"/>
      <c r="D462" s="45"/>
      <c r="E462" s="25"/>
      <c r="F462" s="17"/>
    </row>
    <row r="463" spans="1:6" ht="45" x14ac:dyDescent="0.3">
      <c r="A463" s="289" t="s">
        <v>2</v>
      </c>
      <c r="B463" s="254" t="s">
        <v>140</v>
      </c>
      <c r="C463" s="254" t="s">
        <v>141</v>
      </c>
      <c r="D463" s="254" t="s">
        <v>862</v>
      </c>
      <c r="E463" s="254"/>
      <c r="F463" s="20" t="s">
        <v>142</v>
      </c>
    </row>
    <row r="464" spans="1:6" ht="45" x14ac:dyDescent="0.3">
      <c r="A464" s="289"/>
      <c r="B464" s="254"/>
      <c r="C464" s="254"/>
      <c r="D464" s="254"/>
      <c r="E464" s="254"/>
      <c r="F464" s="20" t="s">
        <v>144</v>
      </c>
    </row>
    <row r="465" spans="1:6" ht="45" x14ac:dyDescent="0.3">
      <c r="A465" s="289"/>
      <c r="B465" s="254"/>
      <c r="C465" s="254"/>
      <c r="D465" s="254"/>
      <c r="E465" s="254"/>
      <c r="F465" s="20" t="s">
        <v>145</v>
      </c>
    </row>
    <row r="466" spans="1:6" ht="45" x14ac:dyDescent="0.3">
      <c r="A466" s="289"/>
      <c r="B466" s="254"/>
      <c r="C466" s="254"/>
      <c r="D466" s="254"/>
      <c r="E466" s="254"/>
      <c r="F466" s="20" t="s">
        <v>146</v>
      </c>
    </row>
    <row r="467" spans="1:6" ht="45" x14ac:dyDescent="0.3">
      <c r="A467" s="289"/>
      <c r="B467" s="254"/>
      <c r="C467" s="254"/>
      <c r="D467" s="254"/>
      <c r="E467" s="254"/>
      <c r="F467" s="20" t="s">
        <v>147</v>
      </c>
    </row>
    <row r="468" spans="1:6" ht="30" x14ac:dyDescent="0.3">
      <c r="A468" s="289"/>
      <c r="B468" s="254"/>
      <c r="C468" s="254"/>
      <c r="D468" s="254"/>
      <c r="E468" s="254"/>
      <c r="F468" s="20" t="s">
        <v>148</v>
      </c>
    </row>
    <row r="469" spans="1:6" ht="60" x14ac:dyDescent="0.3">
      <c r="A469" s="289"/>
      <c r="B469" s="254"/>
      <c r="C469" s="254"/>
      <c r="D469" s="254"/>
      <c r="E469" s="254"/>
      <c r="F469" s="20" t="s">
        <v>150</v>
      </c>
    </row>
    <row r="470" spans="1:6" ht="30" x14ac:dyDescent="0.3">
      <c r="A470" s="289"/>
      <c r="B470" s="254"/>
      <c r="C470" s="254" t="s">
        <v>151</v>
      </c>
      <c r="D470" s="254" t="s">
        <v>863</v>
      </c>
      <c r="E470" s="254"/>
      <c r="F470" s="20" t="s">
        <v>152</v>
      </c>
    </row>
    <row r="471" spans="1:6" ht="30" x14ac:dyDescent="0.3">
      <c r="A471" s="289"/>
      <c r="B471" s="254"/>
      <c r="C471" s="254"/>
      <c r="D471" s="254"/>
      <c r="E471" s="254"/>
      <c r="F471" s="20" t="s">
        <v>153</v>
      </c>
    </row>
    <row r="472" spans="1:6" ht="30" x14ac:dyDescent="0.3">
      <c r="A472" s="289"/>
      <c r="B472" s="254"/>
      <c r="C472" s="254"/>
      <c r="D472" s="254"/>
      <c r="E472" s="254"/>
      <c r="F472" s="20" t="s">
        <v>154</v>
      </c>
    </row>
    <row r="473" spans="1:6" ht="30" x14ac:dyDescent="0.3">
      <c r="A473" s="289"/>
      <c r="B473" s="254"/>
      <c r="C473" s="254"/>
      <c r="D473" s="254"/>
      <c r="E473" s="254"/>
      <c r="F473" s="20" t="s">
        <v>155</v>
      </c>
    </row>
    <row r="474" spans="1:6" ht="45" x14ac:dyDescent="0.3">
      <c r="A474" s="289"/>
      <c r="B474" s="254"/>
      <c r="C474" s="254"/>
      <c r="D474" s="254"/>
      <c r="E474" s="254"/>
      <c r="F474" s="20" t="s">
        <v>156</v>
      </c>
    </row>
    <row r="475" spans="1:6" ht="45" x14ac:dyDescent="0.3">
      <c r="A475" s="289"/>
      <c r="B475" s="254"/>
      <c r="C475" s="254"/>
      <c r="D475" s="254"/>
      <c r="E475" s="254"/>
      <c r="F475" s="20" t="s">
        <v>157</v>
      </c>
    </row>
    <row r="476" spans="1:6" ht="45" x14ac:dyDescent="0.3">
      <c r="A476" s="289"/>
      <c r="B476" s="254"/>
      <c r="C476" s="254"/>
      <c r="D476" s="254"/>
      <c r="E476" s="254"/>
      <c r="F476" s="20" t="s">
        <v>158</v>
      </c>
    </row>
    <row r="477" spans="1:6" ht="30" x14ac:dyDescent="0.3">
      <c r="A477" s="289"/>
      <c r="B477" s="254"/>
      <c r="C477" s="254"/>
      <c r="D477" s="254"/>
      <c r="E477" s="254"/>
      <c r="F477" s="20" t="s">
        <v>159</v>
      </c>
    </row>
    <row r="478" spans="1:6" ht="22.5" customHeight="1" x14ac:dyDescent="0.3"/>
    <row r="479" spans="1:6" ht="22.5" customHeight="1" x14ac:dyDescent="0.3"/>
    <row r="480" spans="1:6" ht="22.5" customHeight="1" x14ac:dyDescent="0.3"/>
    <row r="481" ht="22.5" customHeight="1" x14ac:dyDescent="0.3"/>
    <row r="482" ht="22.5" customHeight="1" x14ac:dyDescent="0.3"/>
    <row r="483" ht="22.5" customHeight="1" x14ac:dyDescent="0.3"/>
    <row r="484" ht="49.5" customHeight="1" x14ac:dyDescent="0.3"/>
    <row r="485" ht="22.5" customHeight="1" x14ac:dyDescent="0.3"/>
    <row r="486" ht="22.5" customHeight="1" x14ac:dyDescent="0.3"/>
  </sheetData>
  <mergeCells count="443">
    <mergeCell ref="A22:A23"/>
    <mergeCell ref="B22:B23"/>
    <mergeCell ref="C22:C23"/>
    <mergeCell ref="A24:A25"/>
    <mergeCell ref="B24:B25"/>
    <mergeCell ref="C24:C25"/>
    <mergeCell ref="D24:D25"/>
    <mergeCell ref="A2:A21"/>
    <mergeCell ref="B2:B5"/>
    <mergeCell ref="C2:C5"/>
    <mergeCell ref="B6:B8"/>
    <mergeCell ref="C6:C8"/>
    <mergeCell ref="B9:B15"/>
    <mergeCell ref="C9:C15"/>
    <mergeCell ref="B16:B21"/>
    <mergeCell ref="C16:C21"/>
    <mergeCell ref="D2:D5"/>
    <mergeCell ref="D6:D8"/>
    <mergeCell ref="D9:D15"/>
    <mergeCell ref="D16:D21"/>
    <mergeCell ref="D22:D23"/>
    <mergeCell ref="A30:A31"/>
    <mergeCell ref="B30:B31"/>
    <mergeCell ref="C30:C31"/>
    <mergeCell ref="A32:A33"/>
    <mergeCell ref="B32:B33"/>
    <mergeCell ref="C32:C33"/>
    <mergeCell ref="D30:D31"/>
    <mergeCell ref="D32:D33"/>
    <mergeCell ref="A26:A27"/>
    <mergeCell ref="B26:B27"/>
    <mergeCell ref="C26:C27"/>
    <mergeCell ref="A28:A29"/>
    <mergeCell ref="B28:B29"/>
    <mergeCell ref="C28:C29"/>
    <mergeCell ref="D26:D27"/>
    <mergeCell ref="D28:D29"/>
    <mergeCell ref="A38:A39"/>
    <mergeCell ref="B38:B39"/>
    <mergeCell ref="C38:C39"/>
    <mergeCell ref="A40:A41"/>
    <mergeCell ref="B40:B41"/>
    <mergeCell ref="C40:C41"/>
    <mergeCell ref="D38:D39"/>
    <mergeCell ref="D40:D41"/>
    <mergeCell ref="A34:A35"/>
    <mergeCell ref="B34:B35"/>
    <mergeCell ref="C34:C35"/>
    <mergeCell ref="A36:A37"/>
    <mergeCell ref="B36:B37"/>
    <mergeCell ref="C36:C37"/>
    <mergeCell ref="D34:D35"/>
    <mergeCell ref="D36:D37"/>
    <mergeCell ref="A46:A47"/>
    <mergeCell ref="B46:B47"/>
    <mergeCell ref="C46:C47"/>
    <mergeCell ref="A48:A49"/>
    <mergeCell ref="B48:B49"/>
    <mergeCell ref="C48:C49"/>
    <mergeCell ref="D46:D47"/>
    <mergeCell ref="D48:D49"/>
    <mergeCell ref="A42:A43"/>
    <mergeCell ref="B42:B43"/>
    <mergeCell ref="C42:C43"/>
    <mergeCell ref="A44:A45"/>
    <mergeCell ref="B44:B45"/>
    <mergeCell ref="C44:C45"/>
    <mergeCell ref="D42:D43"/>
    <mergeCell ref="D44:D45"/>
    <mergeCell ref="B81:B82"/>
    <mergeCell ref="B84:B90"/>
    <mergeCell ref="C84:C90"/>
    <mergeCell ref="B91:B96"/>
    <mergeCell ref="C91:C96"/>
    <mergeCell ref="B97:B110"/>
    <mergeCell ref="C97:C110"/>
    <mergeCell ref="A50:A110"/>
    <mergeCell ref="B50:B64"/>
    <mergeCell ref="C50:C63"/>
    <mergeCell ref="B65:B68"/>
    <mergeCell ref="C65:C68"/>
    <mergeCell ref="B69:B78"/>
    <mergeCell ref="C70:C73"/>
    <mergeCell ref="C74:C78"/>
    <mergeCell ref="B79:B80"/>
    <mergeCell ref="A111:A139"/>
    <mergeCell ref="B111:B126"/>
    <mergeCell ref="C111:C123"/>
    <mergeCell ref="C124:C126"/>
    <mergeCell ref="B127:B139"/>
    <mergeCell ref="C127:C130"/>
    <mergeCell ref="C131:C132"/>
    <mergeCell ref="C133:C136"/>
    <mergeCell ref="C137:C139"/>
    <mergeCell ref="A140:A150"/>
    <mergeCell ref="B140:B141"/>
    <mergeCell ref="C140:C141"/>
    <mergeCell ref="B142:B147"/>
    <mergeCell ref="C142:C143"/>
    <mergeCell ref="C144:C145"/>
    <mergeCell ref="C146:C147"/>
    <mergeCell ref="B148:B150"/>
    <mergeCell ref="C148:C150"/>
    <mergeCell ref="A173:A181"/>
    <mergeCell ref="B173:B175"/>
    <mergeCell ref="C174:C175"/>
    <mergeCell ref="B177:B179"/>
    <mergeCell ref="C177:C179"/>
    <mergeCell ref="A151:A163"/>
    <mergeCell ref="B151:B163"/>
    <mergeCell ref="C151:C156"/>
    <mergeCell ref="C157:C163"/>
    <mergeCell ref="A164:A172"/>
    <mergeCell ref="B164:B172"/>
    <mergeCell ref="C164:C172"/>
    <mergeCell ref="A182:A189"/>
    <mergeCell ref="B182:B185"/>
    <mergeCell ref="C182:C183"/>
    <mergeCell ref="C184:C185"/>
    <mergeCell ref="B188:B189"/>
    <mergeCell ref="C188:C189"/>
    <mergeCell ref="D188:D189"/>
    <mergeCell ref="E184:E185"/>
    <mergeCell ref="E188:E189"/>
    <mergeCell ref="A207:A222"/>
    <mergeCell ref="B208:B217"/>
    <mergeCell ref="C208:C209"/>
    <mergeCell ref="C210:C211"/>
    <mergeCell ref="C213:C214"/>
    <mergeCell ref="B218:B219"/>
    <mergeCell ref="C218:C219"/>
    <mergeCell ref="E218:E219"/>
    <mergeCell ref="A190:A206"/>
    <mergeCell ref="B191:B196"/>
    <mergeCell ref="C192:C193"/>
    <mergeCell ref="B197:B203"/>
    <mergeCell ref="C198:C203"/>
    <mergeCell ref="B205:B206"/>
    <mergeCell ref="C205:C206"/>
    <mergeCell ref="D192:D193"/>
    <mergeCell ref="D198:D203"/>
    <mergeCell ref="E192:E193"/>
    <mergeCell ref="E198:E203"/>
    <mergeCell ref="E205:E206"/>
    <mergeCell ref="E208:E209"/>
    <mergeCell ref="E210:E211"/>
    <mergeCell ref="E213:E214"/>
    <mergeCell ref="A223:A233"/>
    <mergeCell ref="B223:B226"/>
    <mergeCell ref="C223:C226"/>
    <mergeCell ref="B227:B229"/>
    <mergeCell ref="B230:B233"/>
    <mergeCell ref="C230:C233"/>
    <mergeCell ref="D230:D233"/>
    <mergeCell ref="E223:E226"/>
    <mergeCell ref="E230:E233"/>
    <mergeCell ref="A250:A269"/>
    <mergeCell ref="B250:B252"/>
    <mergeCell ref="C250:C252"/>
    <mergeCell ref="B253:B256"/>
    <mergeCell ref="C253:C256"/>
    <mergeCell ref="B257:B260"/>
    <mergeCell ref="C257:C260"/>
    <mergeCell ref="B261:B263"/>
    <mergeCell ref="A234:A249"/>
    <mergeCell ref="B234:B241"/>
    <mergeCell ref="C234:C241"/>
    <mergeCell ref="B242:B243"/>
    <mergeCell ref="C242:C243"/>
    <mergeCell ref="B244:B245"/>
    <mergeCell ref="C244:C245"/>
    <mergeCell ref="B246:B249"/>
    <mergeCell ref="C246:C247"/>
    <mergeCell ref="C261:C263"/>
    <mergeCell ref="B264:B269"/>
    <mergeCell ref="C264:C269"/>
    <mergeCell ref="C248:C249"/>
    <mergeCell ref="A270:A283"/>
    <mergeCell ref="B270:B281"/>
    <mergeCell ref="C270:C274"/>
    <mergeCell ref="C275:C280"/>
    <mergeCell ref="B282:B283"/>
    <mergeCell ref="C282:C283"/>
    <mergeCell ref="A290:A295"/>
    <mergeCell ref="B290:B295"/>
    <mergeCell ref="C290:C295"/>
    <mergeCell ref="A296:A312"/>
    <mergeCell ref="B296:B301"/>
    <mergeCell ref="C296:C298"/>
    <mergeCell ref="C299:C301"/>
    <mergeCell ref="B302:B307"/>
    <mergeCell ref="A284:A289"/>
    <mergeCell ref="B284:B287"/>
    <mergeCell ref="C284:C287"/>
    <mergeCell ref="B288:B289"/>
    <mergeCell ref="C288:C289"/>
    <mergeCell ref="C302:C307"/>
    <mergeCell ref="B308:B311"/>
    <mergeCell ref="C308:C311"/>
    <mergeCell ref="A313:A344"/>
    <mergeCell ref="B313:B338"/>
    <mergeCell ref="C313:C317"/>
    <mergeCell ref="C318:C323"/>
    <mergeCell ref="C324:C325"/>
    <mergeCell ref="C326:C330"/>
    <mergeCell ref="C331:C332"/>
    <mergeCell ref="C333:C338"/>
    <mergeCell ref="B339:B344"/>
    <mergeCell ref="C339:C344"/>
    <mergeCell ref="A345:A362"/>
    <mergeCell ref="B345:B348"/>
    <mergeCell ref="C345:C348"/>
    <mergeCell ref="B349:B353"/>
    <mergeCell ref="C349:C351"/>
    <mergeCell ref="B363:B387"/>
    <mergeCell ref="C364:C374"/>
    <mergeCell ref="C375:C379"/>
    <mergeCell ref="C380:C383"/>
    <mergeCell ref="C384:C387"/>
    <mergeCell ref="C356:C357"/>
    <mergeCell ref="C358:C360"/>
    <mergeCell ref="D131:D132"/>
    <mergeCell ref="D133:D136"/>
    <mergeCell ref="D205:D206"/>
    <mergeCell ref="D208:D209"/>
    <mergeCell ref="D210:D211"/>
    <mergeCell ref="D213:D214"/>
    <mergeCell ref="D218:D219"/>
    <mergeCell ref="D223:D226"/>
    <mergeCell ref="D157:D163"/>
    <mergeCell ref="D164:D172"/>
    <mergeCell ref="D174:D175"/>
    <mergeCell ref="D151:D156"/>
    <mergeCell ref="D182:D183"/>
    <mergeCell ref="D184:D185"/>
    <mergeCell ref="C447:C453"/>
    <mergeCell ref="A454:A460"/>
    <mergeCell ref="B454:B460"/>
    <mergeCell ref="C454:C456"/>
    <mergeCell ref="C457:C460"/>
    <mergeCell ref="D447:D453"/>
    <mergeCell ref="B439:B442"/>
    <mergeCell ref="C439:C442"/>
    <mergeCell ref="A443:A446"/>
    <mergeCell ref="B443:B446"/>
    <mergeCell ref="C443:C446"/>
    <mergeCell ref="D454:D456"/>
    <mergeCell ref="D457:D460"/>
    <mergeCell ref="D50:D63"/>
    <mergeCell ref="D65:D68"/>
    <mergeCell ref="D70:D73"/>
    <mergeCell ref="D74:D78"/>
    <mergeCell ref="D84:D90"/>
    <mergeCell ref="D91:D96"/>
    <mergeCell ref="B361:B362"/>
    <mergeCell ref="A363:A390"/>
    <mergeCell ref="D137:D139"/>
    <mergeCell ref="D140:D141"/>
    <mergeCell ref="D142:D143"/>
    <mergeCell ref="D144:D145"/>
    <mergeCell ref="D146:D147"/>
    <mergeCell ref="D148:D150"/>
    <mergeCell ref="D97:D110"/>
    <mergeCell ref="D111:D123"/>
    <mergeCell ref="D124:D126"/>
    <mergeCell ref="D127:D130"/>
    <mergeCell ref="B388:B390"/>
    <mergeCell ref="C388:C390"/>
    <mergeCell ref="C352:C353"/>
    <mergeCell ref="B354:B355"/>
    <mergeCell ref="C354:C355"/>
    <mergeCell ref="B356:B360"/>
    <mergeCell ref="A463:A477"/>
    <mergeCell ref="B463:B477"/>
    <mergeCell ref="C463:C469"/>
    <mergeCell ref="C470:C477"/>
    <mergeCell ref="B419:B424"/>
    <mergeCell ref="C419:C424"/>
    <mergeCell ref="B425:B433"/>
    <mergeCell ref="C425:C433"/>
    <mergeCell ref="A391:A393"/>
    <mergeCell ref="B391:B393"/>
    <mergeCell ref="C391:C393"/>
    <mergeCell ref="A394:A408"/>
    <mergeCell ref="B394:B408"/>
    <mergeCell ref="C394:C396"/>
    <mergeCell ref="C397:C403"/>
    <mergeCell ref="C404:C408"/>
    <mergeCell ref="B434:B438"/>
    <mergeCell ref="C434:C438"/>
    <mergeCell ref="A409:A418"/>
    <mergeCell ref="B410:B418"/>
    <mergeCell ref="C410:C418"/>
    <mergeCell ref="A419:A442"/>
    <mergeCell ref="A447:A453"/>
    <mergeCell ref="B447:B453"/>
    <mergeCell ref="D253:D256"/>
    <mergeCell ref="D257:D260"/>
    <mergeCell ref="D261:D263"/>
    <mergeCell ref="D264:D269"/>
    <mergeCell ref="D270:D274"/>
    <mergeCell ref="D275:D280"/>
    <mergeCell ref="D234:D241"/>
    <mergeCell ref="D242:D243"/>
    <mergeCell ref="D244:D245"/>
    <mergeCell ref="D246:D247"/>
    <mergeCell ref="D248:D249"/>
    <mergeCell ref="D250:D252"/>
    <mergeCell ref="D354:D355"/>
    <mergeCell ref="D356:D357"/>
    <mergeCell ref="E38:E39"/>
    <mergeCell ref="E40:E41"/>
    <mergeCell ref="D358:D360"/>
    <mergeCell ref="D331:D332"/>
    <mergeCell ref="D333:D338"/>
    <mergeCell ref="D339:D344"/>
    <mergeCell ref="D345:D348"/>
    <mergeCell ref="D349:D351"/>
    <mergeCell ref="D352:D353"/>
    <mergeCell ref="D302:D307"/>
    <mergeCell ref="D308:D311"/>
    <mergeCell ref="D313:D317"/>
    <mergeCell ref="D318:D323"/>
    <mergeCell ref="D324:D325"/>
    <mergeCell ref="D326:D330"/>
    <mergeCell ref="D282:D283"/>
    <mergeCell ref="D284:D287"/>
    <mergeCell ref="D288:D289"/>
    <mergeCell ref="D290:D295"/>
    <mergeCell ref="D296:D298"/>
    <mergeCell ref="D299:D301"/>
    <mergeCell ref="D177:D179"/>
    <mergeCell ref="E26:E27"/>
    <mergeCell ref="E28:E29"/>
    <mergeCell ref="E30:E31"/>
    <mergeCell ref="E32:E33"/>
    <mergeCell ref="E34:E35"/>
    <mergeCell ref="E36:E37"/>
    <mergeCell ref="D463:D469"/>
    <mergeCell ref="D470:D477"/>
    <mergeCell ref="E2:E5"/>
    <mergeCell ref="E6:E8"/>
    <mergeCell ref="E9:E15"/>
    <mergeCell ref="E16:E21"/>
    <mergeCell ref="E22:E23"/>
    <mergeCell ref="E24:E25"/>
    <mergeCell ref="D410:D418"/>
    <mergeCell ref="D419:D424"/>
    <mergeCell ref="D425:D433"/>
    <mergeCell ref="D434:D438"/>
    <mergeCell ref="D439:D442"/>
    <mergeCell ref="D443:D446"/>
    <mergeCell ref="D388:D390"/>
    <mergeCell ref="D391:D393"/>
    <mergeCell ref="D394:D396"/>
    <mergeCell ref="D397:D403"/>
    <mergeCell ref="E50:E63"/>
    <mergeCell ref="E65:E68"/>
    <mergeCell ref="E70:E73"/>
    <mergeCell ref="E74:E78"/>
    <mergeCell ref="E84:E90"/>
    <mergeCell ref="E91:E96"/>
    <mergeCell ref="E42:E43"/>
    <mergeCell ref="E44:E45"/>
    <mergeCell ref="E46:E47"/>
    <mergeCell ref="E48:E49"/>
    <mergeCell ref="E137:E139"/>
    <mergeCell ref="E140:E141"/>
    <mergeCell ref="E142:E143"/>
    <mergeCell ref="E144:E145"/>
    <mergeCell ref="E146:E147"/>
    <mergeCell ref="E148:E150"/>
    <mergeCell ref="E97:E110"/>
    <mergeCell ref="E111:E123"/>
    <mergeCell ref="E124:E126"/>
    <mergeCell ref="E127:E130"/>
    <mergeCell ref="E131:E132"/>
    <mergeCell ref="E133:E136"/>
    <mergeCell ref="E151:E156"/>
    <mergeCell ref="E157:E163"/>
    <mergeCell ref="E164:E172"/>
    <mergeCell ref="E174:E175"/>
    <mergeCell ref="E177:E179"/>
    <mergeCell ref="E182:E183"/>
    <mergeCell ref="E253:E256"/>
    <mergeCell ref="E257:E260"/>
    <mergeCell ref="E261:E263"/>
    <mergeCell ref="E264:E269"/>
    <mergeCell ref="E270:E274"/>
    <mergeCell ref="E275:E280"/>
    <mergeCell ref="E234:E241"/>
    <mergeCell ref="E242:E243"/>
    <mergeCell ref="E244:E245"/>
    <mergeCell ref="E246:E247"/>
    <mergeCell ref="E248:E249"/>
    <mergeCell ref="E250:E252"/>
    <mergeCell ref="E302:E307"/>
    <mergeCell ref="E308:E311"/>
    <mergeCell ref="E313:E317"/>
    <mergeCell ref="E318:E323"/>
    <mergeCell ref="E324:E325"/>
    <mergeCell ref="E326:E330"/>
    <mergeCell ref="E282:E283"/>
    <mergeCell ref="E284:E287"/>
    <mergeCell ref="E288:E289"/>
    <mergeCell ref="E290:E295"/>
    <mergeCell ref="E296:E298"/>
    <mergeCell ref="E299:E301"/>
    <mergeCell ref="E354:E355"/>
    <mergeCell ref="E356:E357"/>
    <mergeCell ref="E358:E360"/>
    <mergeCell ref="E364:E374"/>
    <mergeCell ref="E375:E379"/>
    <mergeCell ref="E380:E383"/>
    <mergeCell ref="E331:E332"/>
    <mergeCell ref="E333:E338"/>
    <mergeCell ref="E339:E344"/>
    <mergeCell ref="E345:E348"/>
    <mergeCell ref="E349:E351"/>
    <mergeCell ref="E352:E353"/>
    <mergeCell ref="F384:F387"/>
    <mergeCell ref="E447:E453"/>
    <mergeCell ref="E454:E456"/>
    <mergeCell ref="E457:E460"/>
    <mergeCell ref="E388:E390"/>
    <mergeCell ref="E391:E393"/>
    <mergeCell ref="E394:E396"/>
    <mergeCell ref="E397:E403"/>
    <mergeCell ref="E404:E408"/>
    <mergeCell ref="E463:E469"/>
    <mergeCell ref="E470:E477"/>
    <mergeCell ref="E410:E418"/>
    <mergeCell ref="E419:E424"/>
    <mergeCell ref="E425:E433"/>
    <mergeCell ref="E434:E438"/>
    <mergeCell ref="E439:E442"/>
    <mergeCell ref="E443:E446"/>
    <mergeCell ref="D364:D374"/>
    <mergeCell ref="D375:D379"/>
    <mergeCell ref="D380:D383"/>
    <mergeCell ref="D384:D387"/>
    <mergeCell ref="E384:E387"/>
    <mergeCell ref="D404:D40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6"/>
  <sheetViews>
    <sheetView topLeftCell="E10" workbookViewId="0">
      <selection activeCell="C375" sqref="C375:C379"/>
    </sheetView>
  </sheetViews>
  <sheetFormatPr baseColWidth="10" defaultRowHeight="14.4" x14ac:dyDescent="0.3"/>
  <cols>
    <col min="2" max="2" width="10.109375" customWidth="1"/>
    <col min="3" max="3" width="25.6640625" customWidth="1"/>
    <col min="4" max="4" width="40.5546875" customWidth="1"/>
    <col min="5" max="6" width="49.6640625" customWidth="1"/>
    <col min="7" max="7" width="41.109375" customWidth="1"/>
    <col min="8" max="8" width="49.6640625" customWidth="1"/>
  </cols>
  <sheetData>
    <row r="1" spans="1:8" x14ac:dyDescent="0.3">
      <c r="E1" t="s">
        <v>719</v>
      </c>
      <c r="F1" t="s">
        <v>719</v>
      </c>
      <c r="H1" t="s">
        <v>719</v>
      </c>
    </row>
    <row r="2" spans="1:8" x14ac:dyDescent="0.3">
      <c r="G2" t="s">
        <v>944</v>
      </c>
    </row>
    <row r="7" spans="1:8" x14ac:dyDescent="0.3">
      <c r="F7" t="s">
        <v>951</v>
      </c>
    </row>
    <row r="8" spans="1:8" x14ac:dyDescent="0.3">
      <c r="B8" t="s">
        <v>950</v>
      </c>
      <c r="C8" t="s">
        <v>949</v>
      </c>
    </row>
    <row r="9" spans="1:8" ht="240" x14ac:dyDescent="0.3">
      <c r="A9" s="289" t="s">
        <v>705</v>
      </c>
      <c r="B9" s="290" t="s">
        <v>226</v>
      </c>
      <c r="C9" s="2" t="s">
        <v>592</v>
      </c>
      <c r="D9" s="2" t="s">
        <v>875</v>
      </c>
      <c r="E9" s="48" t="s">
        <v>957</v>
      </c>
      <c r="F9" s="48" t="s">
        <v>954</v>
      </c>
      <c r="G9" s="32" t="s">
        <v>591</v>
      </c>
      <c r="H9" s="48"/>
    </row>
    <row r="10" spans="1:8" ht="51.75" customHeight="1" x14ac:dyDescent="0.3">
      <c r="A10" s="289"/>
      <c r="B10" s="290"/>
      <c r="C10" s="239" t="s">
        <v>589</v>
      </c>
      <c r="D10" s="239" t="s">
        <v>875</v>
      </c>
      <c r="E10" s="331" t="s">
        <v>953</v>
      </c>
      <c r="F10" s="50"/>
      <c r="G10" s="32" t="s">
        <v>588</v>
      </c>
      <c r="H10" s="50"/>
    </row>
    <row r="11" spans="1:8" ht="45" x14ac:dyDescent="0.3">
      <c r="A11" s="289"/>
      <c r="B11" s="290"/>
      <c r="C11" s="243"/>
      <c r="D11" s="243"/>
      <c r="E11" s="332"/>
      <c r="F11" s="51" t="s">
        <v>952</v>
      </c>
      <c r="G11" s="32" t="s">
        <v>586</v>
      </c>
      <c r="H11" s="51"/>
    </row>
    <row r="12" spans="1:8" ht="60" x14ac:dyDescent="0.3">
      <c r="A12" s="289"/>
      <c r="B12" s="290"/>
      <c r="C12" s="243"/>
      <c r="D12" s="243"/>
      <c r="E12" s="332"/>
      <c r="F12" s="51" t="s">
        <v>956</v>
      </c>
      <c r="G12" s="32" t="s">
        <v>585</v>
      </c>
      <c r="H12" s="51"/>
    </row>
    <row r="13" spans="1:8" ht="60" x14ac:dyDescent="0.3">
      <c r="A13" s="289"/>
      <c r="B13" s="290"/>
      <c r="C13" s="243"/>
      <c r="D13" s="243"/>
      <c r="E13" s="332"/>
      <c r="F13" s="51"/>
      <c r="G13" s="32" t="s">
        <v>584</v>
      </c>
      <c r="H13" s="51"/>
    </row>
    <row r="14" spans="1:8" ht="45" x14ac:dyDescent="0.3">
      <c r="A14" s="289"/>
      <c r="B14" s="290"/>
      <c r="C14" s="243"/>
      <c r="D14" s="243"/>
      <c r="E14" s="332"/>
      <c r="F14" s="55"/>
      <c r="G14" s="32" t="s">
        <v>582</v>
      </c>
      <c r="H14" s="51"/>
    </row>
    <row r="15" spans="1:8" ht="45" x14ac:dyDescent="0.3">
      <c r="A15" s="289"/>
      <c r="B15" s="290"/>
      <c r="C15" s="243"/>
      <c r="D15" s="243"/>
      <c r="E15" s="332"/>
      <c r="F15" s="51"/>
      <c r="G15" s="32" t="s">
        <v>581</v>
      </c>
      <c r="H15" s="51"/>
    </row>
    <row r="16" spans="1:8" ht="45" x14ac:dyDescent="0.3">
      <c r="A16" s="289"/>
      <c r="B16" s="290"/>
      <c r="C16" s="243"/>
      <c r="D16" s="243"/>
      <c r="E16" s="332"/>
      <c r="F16" s="51"/>
      <c r="G16" s="32" t="s">
        <v>580</v>
      </c>
      <c r="H16" s="51"/>
    </row>
    <row r="17" spans="1:14" ht="45" x14ac:dyDescent="0.3">
      <c r="A17" s="289"/>
      <c r="B17" s="290"/>
      <c r="C17" s="243"/>
      <c r="D17" s="243"/>
      <c r="E17" s="332"/>
      <c r="F17" s="51"/>
      <c r="G17" s="32" t="s">
        <v>579</v>
      </c>
      <c r="H17" s="51"/>
    </row>
    <row r="18" spans="1:14" ht="30" x14ac:dyDescent="0.3">
      <c r="A18" s="289"/>
      <c r="B18" s="290"/>
      <c r="C18" s="243"/>
      <c r="D18" s="243"/>
      <c r="E18" s="332"/>
      <c r="F18" s="51"/>
      <c r="G18" s="32" t="s">
        <v>577</v>
      </c>
      <c r="H18" s="51"/>
    </row>
    <row r="19" spans="1:14" ht="45" x14ac:dyDescent="0.3">
      <c r="A19" s="289"/>
      <c r="B19" s="290"/>
      <c r="C19" s="243"/>
      <c r="D19" s="243"/>
      <c r="E19" s="332"/>
      <c r="F19" s="51"/>
      <c r="G19" s="32" t="s">
        <v>575</v>
      </c>
      <c r="H19" s="51"/>
    </row>
    <row r="20" spans="1:14" ht="45" x14ac:dyDescent="0.3">
      <c r="A20" s="289"/>
      <c r="B20" s="290"/>
      <c r="C20" s="243"/>
      <c r="D20" s="243"/>
      <c r="E20" s="332"/>
      <c r="F20" s="52"/>
      <c r="G20" s="32" t="s">
        <v>574</v>
      </c>
      <c r="H20" s="52"/>
    </row>
    <row r="21" spans="1:14" ht="34.5" customHeight="1" x14ac:dyDescent="0.3">
      <c r="A21" s="289"/>
      <c r="B21" s="290"/>
      <c r="C21" s="307" t="s">
        <v>844</v>
      </c>
      <c r="D21" s="307" t="s">
        <v>875</v>
      </c>
      <c r="E21" s="331" t="s">
        <v>948</v>
      </c>
      <c r="F21" s="50"/>
      <c r="G21" s="32" t="s">
        <v>573</v>
      </c>
      <c r="H21" s="50"/>
    </row>
    <row r="22" spans="1:14" ht="60" x14ac:dyDescent="0.3">
      <c r="A22" s="289"/>
      <c r="B22" s="290"/>
      <c r="C22" s="308"/>
      <c r="D22" s="308"/>
      <c r="E22" s="332"/>
      <c r="F22" s="51" t="s">
        <v>955</v>
      </c>
      <c r="G22" s="32" t="s">
        <v>572</v>
      </c>
      <c r="H22" s="51"/>
    </row>
    <row r="23" spans="1:14" ht="34.5" customHeight="1" x14ac:dyDescent="0.3">
      <c r="A23" s="289"/>
      <c r="B23" s="290"/>
      <c r="C23" s="308"/>
      <c r="D23" s="308"/>
      <c r="E23" s="332"/>
      <c r="F23" s="51"/>
      <c r="G23" s="32" t="s">
        <v>571</v>
      </c>
      <c r="H23" s="51"/>
    </row>
    <row r="24" spans="1:14" ht="105" x14ac:dyDescent="0.3">
      <c r="A24" s="289"/>
      <c r="B24" s="290"/>
      <c r="C24" s="308"/>
      <c r="D24" s="308"/>
      <c r="E24" s="332"/>
      <c r="F24" s="51"/>
      <c r="G24" s="32" t="s">
        <v>570</v>
      </c>
      <c r="H24" s="51"/>
    </row>
    <row r="25" spans="1:14" ht="90" x14ac:dyDescent="0.3">
      <c r="A25" s="289"/>
      <c r="B25" s="290"/>
      <c r="C25" s="309"/>
      <c r="D25" s="309"/>
      <c r="E25" s="333"/>
      <c r="F25" s="52"/>
      <c r="G25" s="32" t="s">
        <v>569</v>
      </c>
      <c r="H25" s="52"/>
    </row>
    <row r="26" spans="1:14" ht="30" x14ac:dyDescent="0.3">
      <c r="A26" s="289"/>
      <c r="B26" s="290"/>
      <c r="C26" s="290" t="s">
        <v>843</v>
      </c>
      <c r="D26" s="290" t="s">
        <v>875</v>
      </c>
      <c r="E26" s="330" t="s">
        <v>945</v>
      </c>
      <c r="F26" s="54"/>
      <c r="G26" s="32" t="s">
        <v>567</v>
      </c>
      <c r="H26" s="54"/>
    </row>
    <row r="27" spans="1:14" ht="45" x14ac:dyDescent="0.3">
      <c r="A27" s="289"/>
      <c r="B27" s="290"/>
      <c r="C27" s="290"/>
      <c r="D27" s="290"/>
      <c r="E27" s="330"/>
      <c r="F27" s="54"/>
      <c r="G27" s="32" t="s">
        <v>566</v>
      </c>
      <c r="H27" s="54"/>
    </row>
    <row r="28" spans="1:14" ht="34.5" customHeight="1" x14ac:dyDescent="0.3">
      <c r="A28" s="289"/>
      <c r="B28" s="290"/>
      <c r="C28" s="290"/>
      <c r="D28" s="290"/>
      <c r="E28" s="330"/>
      <c r="F28" s="54"/>
      <c r="G28" s="32" t="s">
        <v>565</v>
      </c>
      <c r="H28" s="54"/>
    </row>
    <row r="29" spans="1:14" ht="30" x14ac:dyDescent="0.3">
      <c r="A29" s="289"/>
      <c r="B29" s="290"/>
      <c r="C29" s="290"/>
      <c r="D29" s="290"/>
      <c r="E29" s="330"/>
      <c r="F29" s="54"/>
      <c r="G29" s="32" t="s">
        <v>564</v>
      </c>
      <c r="H29" s="54"/>
    </row>
    <row r="30" spans="1:14" ht="15" customHeight="1" x14ac:dyDescent="0.3">
      <c r="A30" s="289"/>
      <c r="B30" s="290"/>
      <c r="C30" s="254" t="s">
        <v>563</v>
      </c>
      <c r="D30" s="315"/>
      <c r="E30" s="334" t="s">
        <v>946</v>
      </c>
      <c r="F30" s="326"/>
      <c r="G30" s="318"/>
      <c r="H30" s="326"/>
      <c r="I30" s="49"/>
      <c r="J30" s="49"/>
      <c r="K30" s="49"/>
      <c r="L30" s="49"/>
      <c r="M30" s="49"/>
      <c r="N30" s="49"/>
    </row>
    <row r="31" spans="1:14" ht="15" customHeight="1" x14ac:dyDescent="0.3">
      <c r="A31" s="289"/>
      <c r="B31" s="290"/>
      <c r="C31" s="254"/>
      <c r="D31" s="316"/>
      <c r="E31" s="335"/>
      <c r="F31" s="327"/>
      <c r="G31" s="319"/>
      <c r="H31" s="327"/>
      <c r="I31" s="49"/>
      <c r="J31" s="49"/>
      <c r="K31" s="49"/>
      <c r="L31" s="49"/>
      <c r="M31" s="49"/>
      <c r="N31" s="49"/>
    </row>
    <row r="32" spans="1:14" ht="15.75" customHeight="1" x14ac:dyDescent="0.3">
      <c r="A32" s="289"/>
      <c r="B32" s="290"/>
      <c r="C32" s="254"/>
      <c r="D32" s="316"/>
      <c r="E32" s="335"/>
      <c r="F32" s="327"/>
      <c r="G32" s="319"/>
      <c r="H32" s="327"/>
      <c r="I32" s="49"/>
      <c r="J32" s="49"/>
      <c r="K32" s="49"/>
      <c r="L32" s="49"/>
      <c r="M32" s="49"/>
      <c r="N32" s="49"/>
    </row>
    <row r="33" spans="1:14" ht="32.25" customHeight="1" x14ac:dyDescent="0.3">
      <c r="A33" s="289"/>
      <c r="B33" s="290"/>
      <c r="C33" s="254"/>
      <c r="D33" s="317"/>
      <c r="E33" s="336"/>
      <c r="F33" s="328"/>
      <c r="G33" s="320"/>
      <c r="H33" s="328"/>
      <c r="I33" s="49"/>
      <c r="J33" s="49"/>
      <c r="K33" s="49"/>
      <c r="L33" s="49"/>
      <c r="M33" s="49"/>
      <c r="N33" s="49"/>
    </row>
    <row r="34" spans="1:14" ht="45" x14ac:dyDescent="0.3">
      <c r="A34" s="289"/>
      <c r="B34" s="290" t="s">
        <v>557</v>
      </c>
      <c r="C34" s="290" t="s">
        <v>845</v>
      </c>
      <c r="D34" s="290" t="s">
        <v>874</v>
      </c>
      <c r="E34" s="329" t="s">
        <v>947</v>
      </c>
      <c r="F34" s="53"/>
      <c r="G34" s="20" t="s">
        <v>556</v>
      </c>
      <c r="H34" s="53"/>
    </row>
    <row r="35" spans="1:14" ht="30" x14ac:dyDescent="0.3">
      <c r="A35" s="289"/>
      <c r="B35" s="290"/>
      <c r="C35" s="290"/>
      <c r="D35" s="290"/>
      <c r="E35" s="330"/>
      <c r="F35" s="54"/>
      <c r="G35" s="20" t="s">
        <v>555</v>
      </c>
      <c r="H35" s="54"/>
    </row>
    <row r="36" spans="1:14" ht="52.5" customHeight="1" x14ac:dyDescent="0.3">
      <c r="A36" s="289"/>
      <c r="B36" s="290"/>
      <c r="C36" s="290"/>
      <c r="D36" s="290"/>
      <c r="E36" s="330"/>
      <c r="F36" s="54"/>
      <c r="G36" s="20" t="s">
        <v>553</v>
      </c>
      <c r="H36" s="54"/>
    </row>
  </sheetData>
  <mergeCells count="21">
    <mergeCell ref="A9:A36"/>
    <mergeCell ref="B9:B33"/>
    <mergeCell ref="C10:C20"/>
    <mergeCell ref="D10:D20"/>
    <mergeCell ref="E10:E20"/>
    <mergeCell ref="C21:C25"/>
    <mergeCell ref="D21:D25"/>
    <mergeCell ref="E21:E25"/>
    <mergeCell ref="C26:C29"/>
    <mergeCell ref="D26:D29"/>
    <mergeCell ref="E26:E29"/>
    <mergeCell ref="C30:C33"/>
    <mergeCell ref="D30:D33"/>
    <mergeCell ref="E30:E33"/>
    <mergeCell ref="H30:H33"/>
    <mergeCell ref="B34:B36"/>
    <mergeCell ref="C34:C36"/>
    <mergeCell ref="D34:D36"/>
    <mergeCell ref="E34:E36"/>
    <mergeCell ref="F30:F33"/>
    <mergeCell ref="G30:G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E685-DB8C-453D-8619-2D6B58ED554A}">
  <dimension ref="A1:R162"/>
  <sheetViews>
    <sheetView topLeftCell="A35" zoomScale="78" zoomScaleNormal="78" workbookViewId="0">
      <selection activeCell="C375" sqref="C375:C379"/>
    </sheetView>
  </sheetViews>
  <sheetFormatPr baseColWidth="10" defaultColWidth="11.44140625" defaultRowHeight="15" x14ac:dyDescent="0.3"/>
  <cols>
    <col min="1" max="1" width="6" style="92" customWidth="1"/>
    <col min="2" max="2" width="47.6640625" style="92" customWidth="1"/>
    <col min="3" max="8" width="4.6640625" style="92" bestFit="1" customWidth="1"/>
    <col min="9" max="9" width="6.5546875" style="92" bestFit="1" customWidth="1"/>
    <col min="10" max="10" width="7.88671875" style="92" bestFit="1" customWidth="1"/>
    <col min="11" max="12" width="32.6640625" style="92" customWidth="1"/>
    <col min="13" max="14" width="15.88671875" style="92" customWidth="1"/>
    <col min="15" max="16384" width="11.44140625" style="92"/>
  </cols>
  <sheetData>
    <row r="1" spans="1:15" ht="62.25" hidden="1" customHeight="1" x14ac:dyDescent="0.3">
      <c r="A1" s="178" t="s">
        <v>44</v>
      </c>
      <c r="B1" s="104" t="s">
        <v>24</v>
      </c>
      <c r="C1" s="104" t="s">
        <v>64</v>
      </c>
      <c r="D1" s="104" t="s">
        <v>65</v>
      </c>
      <c r="E1" s="104" t="s">
        <v>66</v>
      </c>
      <c r="F1" s="104" t="s">
        <v>67</v>
      </c>
      <c r="G1" s="104" t="s">
        <v>68</v>
      </c>
      <c r="H1" s="104" t="s">
        <v>69</v>
      </c>
      <c r="I1" s="104" t="s">
        <v>44</v>
      </c>
      <c r="J1" s="104" t="s">
        <v>70</v>
      </c>
      <c r="K1" s="104" t="s">
        <v>71</v>
      </c>
      <c r="L1" s="104" t="s">
        <v>72</v>
      </c>
    </row>
    <row r="2" spans="1:15" ht="30" x14ac:dyDescent="0.3">
      <c r="A2" s="350" t="s">
        <v>45</v>
      </c>
      <c r="B2" s="391" t="s">
        <v>9</v>
      </c>
      <c r="C2" s="114" t="s">
        <v>829</v>
      </c>
      <c r="D2" s="114" t="s">
        <v>830</v>
      </c>
      <c r="E2" s="114" t="s">
        <v>831</v>
      </c>
      <c r="F2" s="114" t="s">
        <v>832</v>
      </c>
      <c r="G2" s="114" t="s">
        <v>829</v>
      </c>
      <c r="H2" s="61" t="s">
        <v>829</v>
      </c>
      <c r="I2" s="115" t="s">
        <v>45</v>
      </c>
      <c r="J2" s="115">
        <v>155</v>
      </c>
      <c r="K2" s="107" t="s">
        <v>95</v>
      </c>
      <c r="L2" s="107" t="s">
        <v>96</v>
      </c>
    </row>
    <row r="3" spans="1:15" ht="45" x14ac:dyDescent="0.3">
      <c r="A3" s="351"/>
      <c r="B3" s="392"/>
      <c r="C3" s="114" t="s">
        <v>829</v>
      </c>
      <c r="D3" s="114" t="s">
        <v>833</v>
      </c>
      <c r="E3" s="114" t="s">
        <v>832</v>
      </c>
      <c r="F3" s="114" t="s">
        <v>835</v>
      </c>
      <c r="G3" s="114" t="s">
        <v>835</v>
      </c>
      <c r="H3" s="114"/>
      <c r="I3" s="115" t="s">
        <v>45</v>
      </c>
      <c r="J3" s="115">
        <v>114</v>
      </c>
      <c r="K3" s="107" t="s">
        <v>164</v>
      </c>
      <c r="L3" s="107" t="s">
        <v>106</v>
      </c>
    </row>
    <row r="4" spans="1:15" ht="45" x14ac:dyDescent="0.3">
      <c r="A4" s="351"/>
      <c r="B4" s="392"/>
      <c r="C4" s="114" t="s">
        <v>829</v>
      </c>
      <c r="D4" s="114" t="s">
        <v>830</v>
      </c>
      <c r="E4" s="114" t="s">
        <v>831</v>
      </c>
      <c r="F4" s="114" t="s">
        <v>830</v>
      </c>
      <c r="G4" s="114" t="s">
        <v>829</v>
      </c>
      <c r="H4" s="114"/>
      <c r="I4" s="115" t="s">
        <v>45</v>
      </c>
      <c r="J4" s="115">
        <v>108</v>
      </c>
      <c r="K4" s="116" t="s">
        <v>968</v>
      </c>
      <c r="L4" s="116" t="s">
        <v>113</v>
      </c>
    </row>
    <row r="5" spans="1:15" s="91" customFormat="1" ht="30" x14ac:dyDescent="0.3">
      <c r="A5" s="182"/>
      <c r="B5" s="105"/>
      <c r="C5" s="114" t="s">
        <v>829</v>
      </c>
      <c r="D5" s="114" t="s">
        <v>834</v>
      </c>
      <c r="E5" s="114" t="s">
        <v>829</v>
      </c>
      <c r="F5" s="114" t="s">
        <v>829</v>
      </c>
      <c r="G5" s="114" t="s">
        <v>832</v>
      </c>
      <c r="H5" s="114"/>
      <c r="I5" s="115" t="s">
        <v>45</v>
      </c>
      <c r="J5" s="115">
        <v>109</v>
      </c>
      <c r="K5" s="116" t="s">
        <v>1221</v>
      </c>
      <c r="L5" s="116" t="s">
        <v>1222</v>
      </c>
      <c r="M5" s="395" t="s">
        <v>1382</v>
      </c>
      <c r="N5" s="396"/>
      <c r="O5" s="396"/>
    </row>
    <row r="6" spans="1:15" ht="30" customHeight="1" x14ac:dyDescent="0.3">
      <c r="A6" s="179" t="s">
        <v>25</v>
      </c>
      <c r="B6" s="63" t="s">
        <v>26</v>
      </c>
      <c r="C6" s="64" t="s">
        <v>832</v>
      </c>
      <c r="D6" s="65" t="s">
        <v>832</v>
      </c>
      <c r="E6" s="65" t="s">
        <v>832</v>
      </c>
      <c r="F6" s="65" t="s">
        <v>829</v>
      </c>
      <c r="G6" s="65" t="s">
        <v>832</v>
      </c>
      <c r="H6" s="65"/>
      <c r="I6" s="63" t="s">
        <v>25</v>
      </c>
      <c r="J6" s="63">
        <v>110</v>
      </c>
      <c r="K6" s="66" t="s">
        <v>335</v>
      </c>
      <c r="L6" s="66" t="s">
        <v>338</v>
      </c>
    </row>
    <row r="7" spans="1:15" ht="30" customHeight="1" x14ac:dyDescent="0.3">
      <c r="A7" s="180" t="s">
        <v>28</v>
      </c>
      <c r="B7" s="83" t="s">
        <v>27</v>
      </c>
      <c r="C7" s="64" t="s">
        <v>832</v>
      </c>
      <c r="D7" s="65" t="s">
        <v>832</v>
      </c>
      <c r="E7" s="65" t="s">
        <v>832</v>
      </c>
      <c r="F7" s="65" t="s">
        <v>829</v>
      </c>
      <c r="G7" s="65" t="s">
        <v>832</v>
      </c>
      <c r="H7" s="65"/>
      <c r="I7" s="63" t="s">
        <v>28</v>
      </c>
      <c r="J7" s="63">
        <v>110</v>
      </c>
      <c r="K7" s="84" t="s">
        <v>335</v>
      </c>
      <c r="L7" s="84" t="s">
        <v>338</v>
      </c>
    </row>
    <row r="8" spans="1:15" ht="30" customHeight="1" x14ac:dyDescent="0.3">
      <c r="A8" s="180" t="s">
        <v>29</v>
      </c>
      <c r="B8" s="83" t="s">
        <v>21</v>
      </c>
      <c r="C8" s="64" t="s">
        <v>832</v>
      </c>
      <c r="D8" s="64" t="s">
        <v>832</v>
      </c>
      <c r="E8" s="64" t="s">
        <v>832</v>
      </c>
      <c r="F8" s="64" t="s">
        <v>829</v>
      </c>
      <c r="G8" s="64" t="s">
        <v>832</v>
      </c>
      <c r="H8" s="64"/>
      <c r="I8" s="68" t="s">
        <v>29</v>
      </c>
      <c r="J8" s="68">
        <v>110</v>
      </c>
      <c r="K8" s="84" t="s">
        <v>335</v>
      </c>
      <c r="L8" s="84" t="s">
        <v>338</v>
      </c>
    </row>
    <row r="9" spans="1:15" ht="30" customHeight="1" x14ac:dyDescent="0.3">
      <c r="A9" s="180" t="s">
        <v>30</v>
      </c>
      <c r="B9" s="83" t="s">
        <v>20</v>
      </c>
      <c r="C9" s="64" t="s">
        <v>832</v>
      </c>
      <c r="D9" s="64" t="s">
        <v>832</v>
      </c>
      <c r="E9" s="64" t="s">
        <v>832</v>
      </c>
      <c r="F9" s="64" t="s">
        <v>829</v>
      </c>
      <c r="G9" s="64" t="s">
        <v>832</v>
      </c>
      <c r="H9" s="64"/>
      <c r="I9" s="68" t="s">
        <v>30</v>
      </c>
      <c r="J9" s="68">
        <v>110</v>
      </c>
      <c r="K9" s="84" t="s">
        <v>335</v>
      </c>
      <c r="L9" s="84" t="s">
        <v>338</v>
      </c>
    </row>
    <row r="10" spans="1:15" ht="30" customHeight="1" x14ac:dyDescent="0.3">
      <c r="A10" s="180" t="s">
        <v>31</v>
      </c>
      <c r="B10" s="83" t="s">
        <v>19</v>
      </c>
      <c r="C10" s="64" t="s">
        <v>832</v>
      </c>
      <c r="D10" s="64" t="s">
        <v>832</v>
      </c>
      <c r="E10" s="64" t="s">
        <v>832</v>
      </c>
      <c r="F10" s="64" t="s">
        <v>829</v>
      </c>
      <c r="G10" s="64" t="s">
        <v>832</v>
      </c>
      <c r="H10" s="64"/>
      <c r="I10" s="68" t="s">
        <v>31</v>
      </c>
      <c r="J10" s="68">
        <v>110</v>
      </c>
      <c r="K10" s="84" t="s">
        <v>335</v>
      </c>
      <c r="L10" s="84" t="s">
        <v>338</v>
      </c>
    </row>
    <row r="11" spans="1:15" ht="30" customHeight="1" x14ac:dyDescent="0.3">
      <c r="A11" s="180" t="s">
        <v>32</v>
      </c>
      <c r="B11" s="83" t="s">
        <v>18</v>
      </c>
      <c r="C11" s="64" t="s">
        <v>832</v>
      </c>
      <c r="D11" s="64" t="s">
        <v>832</v>
      </c>
      <c r="E11" s="64" t="s">
        <v>832</v>
      </c>
      <c r="F11" s="64" t="s">
        <v>829</v>
      </c>
      <c r="G11" s="64" t="s">
        <v>832</v>
      </c>
      <c r="H11" s="64"/>
      <c r="I11" s="68" t="s">
        <v>32</v>
      </c>
      <c r="J11" s="68">
        <v>110</v>
      </c>
      <c r="K11" s="84" t="s">
        <v>335</v>
      </c>
      <c r="L11" s="84" t="s">
        <v>338</v>
      </c>
    </row>
    <row r="12" spans="1:15" ht="30" customHeight="1" x14ac:dyDescent="0.3">
      <c r="A12" s="179" t="s">
        <v>33</v>
      </c>
      <c r="B12" s="63" t="s">
        <v>17</v>
      </c>
      <c r="C12" s="64" t="s">
        <v>832</v>
      </c>
      <c r="D12" s="64" t="s">
        <v>832</v>
      </c>
      <c r="E12" s="64" t="s">
        <v>832</v>
      </c>
      <c r="F12" s="64" t="s">
        <v>829</v>
      </c>
      <c r="G12" s="64" t="s">
        <v>832</v>
      </c>
      <c r="H12" s="64"/>
      <c r="I12" s="68" t="s">
        <v>33</v>
      </c>
      <c r="J12" s="68">
        <v>110</v>
      </c>
      <c r="K12" s="66" t="s">
        <v>335</v>
      </c>
      <c r="L12" s="66" t="s">
        <v>338</v>
      </c>
    </row>
    <row r="13" spans="1:15" ht="30" customHeight="1" x14ac:dyDescent="0.3">
      <c r="A13" s="179" t="s">
        <v>34</v>
      </c>
      <c r="B13" s="63" t="s">
        <v>16</v>
      </c>
      <c r="C13" s="64" t="s">
        <v>832</v>
      </c>
      <c r="D13" s="64" t="s">
        <v>832</v>
      </c>
      <c r="E13" s="64" t="s">
        <v>832</v>
      </c>
      <c r="F13" s="64" t="s">
        <v>829</v>
      </c>
      <c r="G13" s="64" t="s">
        <v>832</v>
      </c>
      <c r="H13" s="64"/>
      <c r="I13" s="68" t="s">
        <v>34</v>
      </c>
      <c r="J13" s="68">
        <v>110</v>
      </c>
      <c r="K13" s="66" t="s">
        <v>335</v>
      </c>
      <c r="L13" s="66" t="s">
        <v>338</v>
      </c>
    </row>
    <row r="14" spans="1:15" ht="30" customHeight="1" x14ac:dyDescent="0.3">
      <c r="A14" s="179" t="s">
        <v>35</v>
      </c>
      <c r="B14" s="63" t="s">
        <v>15</v>
      </c>
      <c r="C14" s="64" t="s">
        <v>832</v>
      </c>
      <c r="D14" s="64" t="s">
        <v>832</v>
      </c>
      <c r="E14" s="64" t="s">
        <v>832</v>
      </c>
      <c r="F14" s="64" t="s">
        <v>829</v>
      </c>
      <c r="G14" s="64" t="s">
        <v>832</v>
      </c>
      <c r="H14" s="64"/>
      <c r="I14" s="66" t="s">
        <v>35</v>
      </c>
      <c r="J14" s="68">
        <v>110</v>
      </c>
      <c r="K14" s="66" t="s">
        <v>335</v>
      </c>
      <c r="L14" s="66" t="s">
        <v>338</v>
      </c>
    </row>
    <row r="15" spans="1:15" ht="30" customHeight="1" x14ac:dyDescent="0.3">
      <c r="A15" s="179" t="s">
        <v>36</v>
      </c>
      <c r="B15" s="63" t="s">
        <v>14</v>
      </c>
      <c r="C15" s="64" t="s">
        <v>832</v>
      </c>
      <c r="D15" s="64" t="s">
        <v>832</v>
      </c>
      <c r="E15" s="64" t="s">
        <v>832</v>
      </c>
      <c r="F15" s="64" t="s">
        <v>829</v>
      </c>
      <c r="G15" s="64" t="s">
        <v>832</v>
      </c>
      <c r="H15" s="64"/>
      <c r="I15" s="66" t="s">
        <v>36</v>
      </c>
      <c r="J15" s="68">
        <v>110</v>
      </c>
      <c r="K15" s="66" t="s">
        <v>335</v>
      </c>
      <c r="L15" s="66" t="s">
        <v>338</v>
      </c>
    </row>
    <row r="16" spans="1:15" ht="30" customHeight="1" x14ac:dyDescent="0.3">
      <c r="A16" s="179" t="s">
        <v>37</v>
      </c>
      <c r="B16" s="63" t="s">
        <v>13</v>
      </c>
      <c r="C16" s="64" t="s">
        <v>832</v>
      </c>
      <c r="D16" s="64" t="s">
        <v>832</v>
      </c>
      <c r="E16" s="64" t="s">
        <v>832</v>
      </c>
      <c r="F16" s="64" t="s">
        <v>829</v>
      </c>
      <c r="G16" s="64" t="s">
        <v>832</v>
      </c>
      <c r="H16" s="64"/>
      <c r="I16" s="66" t="s">
        <v>37</v>
      </c>
      <c r="J16" s="68">
        <v>110</v>
      </c>
      <c r="K16" s="66" t="s">
        <v>335</v>
      </c>
      <c r="L16" s="66" t="s">
        <v>338</v>
      </c>
    </row>
    <row r="17" spans="1:12" ht="30" customHeight="1" x14ac:dyDescent="0.3">
      <c r="A17" s="179" t="s">
        <v>38</v>
      </c>
      <c r="B17" s="63" t="s">
        <v>12</v>
      </c>
      <c r="C17" s="64" t="s">
        <v>832</v>
      </c>
      <c r="D17" s="64" t="s">
        <v>832</v>
      </c>
      <c r="E17" s="64" t="s">
        <v>832</v>
      </c>
      <c r="F17" s="64" t="s">
        <v>829</v>
      </c>
      <c r="G17" s="64" t="s">
        <v>832</v>
      </c>
      <c r="H17" s="64"/>
      <c r="I17" s="66" t="s">
        <v>38</v>
      </c>
      <c r="J17" s="68">
        <v>110</v>
      </c>
      <c r="K17" s="66" t="s">
        <v>335</v>
      </c>
      <c r="L17" s="66" t="s">
        <v>338</v>
      </c>
    </row>
    <row r="18" spans="1:12" ht="30" customHeight="1" x14ac:dyDescent="0.3">
      <c r="A18" s="179" t="s">
        <v>39</v>
      </c>
      <c r="B18" s="63" t="s">
        <v>11</v>
      </c>
      <c r="C18" s="64" t="s">
        <v>832</v>
      </c>
      <c r="D18" s="64" t="s">
        <v>832</v>
      </c>
      <c r="E18" s="64" t="s">
        <v>832</v>
      </c>
      <c r="F18" s="64" t="s">
        <v>829</v>
      </c>
      <c r="G18" s="64" t="s">
        <v>832</v>
      </c>
      <c r="H18" s="64"/>
      <c r="I18" s="66" t="s">
        <v>39</v>
      </c>
      <c r="J18" s="68">
        <v>110</v>
      </c>
      <c r="K18" s="66" t="s">
        <v>335</v>
      </c>
      <c r="L18" s="66" t="s">
        <v>338</v>
      </c>
    </row>
    <row r="19" spans="1:12" ht="30" customHeight="1" x14ac:dyDescent="0.3">
      <c r="A19" s="179" t="s">
        <v>40</v>
      </c>
      <c r="B19" s="63" t="s">
        <v>10</v>
      </c>
      <c r="C19" s="64" t="s">
        <v>832</v>
      </c>
      <c r="D19" s="64" t="s">
        <v>832</v>
      </c>
      <c r="E19" s="64" t="s">
        <v>832</v>
      </c>
      <c r="F19" s="64" t="s">
        <v>829</v>
      </c>
      <c r="G19" s="64" t="s">
        <v>832</v>
      </c>
      <c r="H19" s="64"/>
      <c r="I19" s="66" t="s">
        <v>40</v>
      </c>
      <c r="J19" s="68">
        <v>110</v>
      </c>
      <c r="K19" s="66" t="s">
        <v>335</v>
      </c>
      <c r="L19" s="66" t="s">
        <v>338</v>
      </c>
    </row>
    <row r="20" spans="1:12" s="158" customFormat="1" ht="30" x14ac:dyDescent="0.3">
      <c r="A20" s="350" t="s">
        <v>46</v>
      </c>
      <c r="B20" s="370" t="s">
        <v>8</v>
      </c>
      <c r="C20" s="117" t="s">
        <v>829</v>
      </c>
      <c r="D20" s="118" t="s">
        <v>833</v>
      </c>
      <c r="E20" s="118" t="s">
        <v>832</v>
      </c>
      <c r="F20" s="118" t="s">
        <v>832</v>
      </c>
      <c r="G20" s="118" t="s">
        <v>829</v>
      </c>
      <c r="H20" s="118"/>
      <c r="I20" s="119" t="s">
        <v>46</v>
      </c>
      <c r="J20" s="120">
        <v>115</v>
      </c>
      <c r="K20" s="349" t="s">
        <v>374</v>
      </c>
      <c r="L20" s="119" t="s">
        <v>375</v>
      </c>
    </row>
    <row r="21" spans="1:12" s="158" customFormat="1" ht="30" x14ac:dyDescent="0.3">
      <c r="A21" s="351"/>
      <c r="B21" s="371"/>
      <c r="C21" s="117" t="s">
        <v>829</v>
      </c>
      <c r="D21" s="118" t="s">
        <v>833</v>
      </c>
      <c r="E21" s="118" t="s">
        <v>832</v>
      </c>
      <c r="F21" s="118" t="s">
        <v>832</v>
      </c>
      <c r="G21" s="118" t="s">
        <v>831</v>
      </c>
      <c r="H21" s="118"/>
      <c r="I21" s="119" t="s">
        <v>46</v>
      </c>
      <c r="J21" s="120">
        <v>115</v>
      </c>
      <c r="K21" s="349"/>
      <c r="L21" s="119" t="s">
        <v>394</v>
      </c>
    </row>
    <row r="22" spans="1:12" s="158" customFormat="1" ht="45" x14ac:dyDescent="0.3">
      <c r="A22" s="351"/>
      <c r="B22" s="371"/>
      <c r="C22" s="117" t="s">
        <v>829</v>
      </c>
      <c r="D22" s="118" t="s">
        <v>833</v>
      </c>
      <c r="E22" s="118" t="s">
        <v>832</v>
      </c>
      <c r="F22" s="118" t="s">
        <v>830</v>
      </c>
      <c r="G22" s="118" t="s">
        <v>836</v>
      </c>
      <c r="H22" s="118"/>
      <c r="I22" s="119" t="s">
        <v>46</v>
      </c>
      <c r="J22" s="120">
        <v>119</v>
      </c>
      <c r="K22" s="119" t="s">
        <v>971</v>
      </c>
      <c r="L22" s="119" t="s">
        <v>398</v>
      </c>
    </row>
    <row r="23" spans="1:12" s="158" customFormat="1" ht="30" x14ac:dyDescent="0.3">
      <c r="A23" s="351"/>
      <c r="B23" s="371"/>
      <c r="C23" s="117" t="s">
        <v>829</v>
      </c>
      <c r="D23" s="118" t="s">
        <v>833</v>
      </c>
      <c r="E23" s="118" t="s">
        <v>832</v>
      </c>
      <c r="F23" s="118" t="s">
        <v>833</v>
      </c>
      <c r="G23" s="118" t="s">
        <v>834</v>
      </c>
      <c r="H23" s="118"/>
      <c r="I23" s="119" t="s">
        <v>46</v>
      </c>
      <c r="J23" s="120">
        <v>119</v>
      </c>
      <c r="K23" s="349" t="s">
        <v>407</v>
      </c>
      <c r="L23" s="119" t="s">
        <v>408</v>
      </c>
    </row>
    <row r="24" spans="1:12" s="158" customFormat="1" ht="45" x14ac:dyDescent="0.3">
      <c r="A24" s="351"/>
      <c r="B24" s="371"/>
      <c r="C24" s="117" t="s">
        <v>829</v>
      </c>
      <c r="D24" s="118" t="s">
        <v>833</v>
      </c>
      <c r="E24" s="118" t="s">
        <v>832</v>
      </c>
      <c r="F24" s="118" t="s">
        <v>833</v>
      </c>
      <c r="G24" s="118" t="s">
        <v>969</v>
      </c>
      <c r="H24" s="118"/>
      <c r="I24" s="119" t="s">
        <v>46</v>
      </c>
      <c r="J24" s="120">
        <v>117</v>
      </c>
      <c r="K24" s="349"/>
      <c r="L24" s="119" t="s">
        <v>411</v>
      </c>
    </row>
    <row r="25" spans="1:12" s="158" customFormat="1" ht="45" x14ac:dyDescent="0.3">
      <c r="A25" s="351"/>
      <c r="B25" s="371"/>
      <c r="C25" s="117" t="s">
        <v>829</v>
      </c>
      <c r="D25" s="118" t="s">
        <v>833</v>
      </c>
      <c r="E25" s="118" t="s">
        <v>832</v>
      </c>
      <c r="F25" s="118" t="s">
        <v>833</v>
      </c>
      <c r="G25" s="118" t="s">
        <v>970</v>
      </c>
      <c r="H25" s="118"/>
      <c r="I25" s="119" t="s">
        <v>46</v>
      </c>
      <c r="J25" s="120">
        <v>116</v>
      </c>
      <c r="K25" s="349"/>
      <c r="L25" s="119" t="s">
        <v>418</v>
      </c>
    </row>
    <row r="26" spans="1:12" s="158" customFormat="1" ht="30" x14ac:dyDescent="0.3">
      <c r="A26" s="351"/>
      <c r="B26" s="371"/>
      <c r="C26" s="117" t="s">
        <v>836</v>
      </c>
      <c r="D26" s="118" t="s">
        <v>829</v>
      </c>
      <c r="E26" s="118" t="s">
        <v>829</v>
      </c>
      <c r="F26" s="118" t="s">
        <v>829</v>
      </c>
      <c r="G26" s="118" t="s">
        <v>836</v>
      </c>
      <c r="H26" s="118"/>
      <c r="I26" s="119" t="s">
        <v>46</v>
      </c>
      <c r="J26" s="120">
        <v>116</v>
      </c>
      <c r="K26" s="349" t="s">
        <v>426</v>
      </c>
      <c r="L26" s="119" t="s">
        <v>427</v>
      </c>
    </row>
    <row r="27" spans="1:12" s="158" customFormat="1" ht="30" x14ac:dyDescent="0.3">
      <c r="A27" s="351"/>
      <c r="B27" s="371"/>
      <c r="C27" s="117" t="s">
        <v>836</v>
      </c>
      <c r="D27" s="118" t="s">
        <v>829</v>
      </c>
      <c r="E27" s="118" t="s">
        <v>829</v>
      </c>
      <c r="F27" s="118" t="s">
        <v>829</v>
      </c>
      <c r="G27" s="118" t="s">
        <v>833</v>
      </c>
      <c r="H27" s="118"/>
      <c r="I27" s="119" t="s">
        <v>46</v>
      </c>
      <c r="J27" s="120">
        <v>116</v>
      </c>
      <c r="K27" s="349"/>
      <c r="L27" s="119" t="s">
        <v>430</v>
      </c>
    </row>
    <row r="28" spans="1:12" s="158" customFormat="1" x14ac:dyDescent="0.3">
      <c r="A28" s="351"/>
      <c r="B28" s="371"/>
      <c r="C28" s="117" t="s">
        <v>836</v>
      </c>
      <c r="D28" s="118" t="s">
        <v>832</v>
      </c>
      <c r="E28" s="118" t="s">
        <v>829</v>
      </c>
      <c r="F28" s="118" t="s">
        <v>829</v>
      </c>
      <c r="G28" s="118" t="s">
        <v>830</v>
      </c>
      <c r="H28" s="118"/>
      <c r="I28" s="119" t="s">
        <v>46</v>
      </c>
      <c r="J28" s="120">
        <v>115</v>
      </c>
      <c r="K28" s="349" t="s">
        <v>432</v>
      </c>
      <c r="L28" s="62" t="s">
        <v>433</v>
      </c>
    </row>
    <row r="29" spans="1:12" s="158" customFormat="1" ht="45" x14ac:dyDescent="0.3">
      <c r="A29" s="351"/>
      <c r="B29" s="371"/>
      <c r="C29" s="117" t="s">
        <v>836</v>
      </c>
      <c r="D29" s="118" t="s">
        <v>832</v>
      </c>
      <c r="E29" s="118" t="s">
        <v>829</v>
      </c>
      <c r="F29" s="118" t="s">
        <v>829</v>
      </c>
      <c r="G29" s="118" t="s">
        <v>836</v>
      </c>
      <c r="H29" s="118"/>
      <c r="I29" s="119" t="s">
        <v>46</v>
      </c>
      <c r="J29" s="120">
        <v>116</v>
      </c>
      <c r="K29" s="349"/>
      <c r="L29" s="119" t="s">
        <v>436</v>
      </c>
    </row>
    <row r="30" spans="1:12" s="158" customFormat="1" ht="60" x14ac:dyDescent="0.3">
      <c r="A30" s="351"/>
      <c r="B30" s="371"/>
      <c r="C30" s="117" t="s">
        <v>836</v>
      </c>
      <c r="D30" s="118" t="s">
        <v>836</v>
      </c>
      <c r="E30" s="118" t="s">
        <v>829</v>
      </c>
      <c r="F30" s="118" t="s">
        <v>829</v>
      </c>
      <c r="G30" s="118" t="s">
        <v>829</v>
      </c>
      <c r="H30" s="118"/>
      <c r="I30" s="119" t="s">
        <v>46</v>
      </c>
      <c r="J30" s="120">
        <v>116</v>
      </c>
      <c r="K30" s="119" t="s">
        <v>439</v>
      </c>
      <c r="L30" s="119" t="s">
        <v>440</v>
      </c>
    </row>
    <row r="31" spans="1:12" s="158" customFormat="1" ht="30" x14ac:dyDescent="0.3">
      <c r="A31" s="351"/>
      <c r="B31" s="371"/>
      <c r="C31" s="117" t="s">
        <v>829</v>
      </c>
      <c r="D31" s="118" t="s">
        <v>830</v>
      </c>
      <c r="E31" s="118" t="s">
        <v>833</v>
      </c>
      <c r="F31" s="118" t="s">
        <v>829</v>
      </c>
      <c r="G31" s="118" t="s">
        <v>836</v>
      </c>
      <c r="H31" s="118"/>
      <c r="I31" s="119" t="s">
        <v>46</v>
      </c>
      <c r="J31" s="120">
        <v>155</v>
      </c>
      <c r="K31" s="119" t="s">
        <v>442</v>
      </c>
      <c r="L31" s="119" t="s">
        <v>443</v>
      </c>
    </row>
    <row r="32" spans="1:12" s="158" customFormat="1" ht="30" x14ac:dyDescent="0.3">
      <c r="A32" s="351"/>
      <c r="B32" s="371"/>
      <c r="C32" s="117" t="s">
        <v>829</v>
      </c>
      <c r="D32" s="118" t="s">
        <v>834</v>
      </c>
      <c r="E32" s="118" t="s">
        <v>829</v>
      </c>
      <c r="F32" s="118" t="s">
        <v>832</v>
      </c>
      <c r="G32" s="118" t="s">
        <v>829</v>
      </c>
      <c r="H32" s="118"/>
      <c r="I32" s="119" t="s">
        <v>46</v>
      </c>
      <c r="J32" s="120">
        <v>118</v>
      </c>
      <c r="K32" s="119" t="s">
        <v>462</v>
      </c>
      <c r="L32" s="119" t="s">
        <v>463</v>
      </c>
    </row>
    <row r="33" spans="1:12" s="158" customFormat="1" ht="17.25" customHeight="1" x14ac:dyDescent="0.3">
      <c r="A33" s="351"/>
      <c r="B33" s="371"/>
      <c r="C33" s="117" t="s">
        <v>829</v>
      </c>
      <c r="D33" s="121" t="s">
        <v>834</v>
      </c>
      <c r="E33" s="121" t="s">
        <v>833</v>
      </c>
      <c r="F33" s="121" t="s">
        <v>829</v>
      </c>
      <c r="G33" s="121" t="s">
        <v>830</v>
      </c>
      <c r="H33" s="121"/>
      <c r="I33" s="119" t="s">
        <v>46</v>
      </c>
      <c r="J33" s="119">
        <v>137</v>
      </c>
      <c r="K33" s="122" t="s">
        <v>1055</v>
      </c>
      <c r="L33" s="122" t="s">
        <v>179</v>
      </c>
    </row>
    <row r="34" spans="1:12" ht="45" x14ac:dyDescent="0.3">
      <c r="A34" s="350" t="s">
        <v>47</v>
      </c>
      <c r="B34" s="383" t="s">
        <v>961</v>
      </c>
      <c r="C34" s="124" t="s">
        <v>829</v>
      </c>
      <c r="D34" s="124" t="s">
        <v>830</v>
      </c>
      <c r="E34" s="124" t="s">
        <v>836</v>
      </c>
      <c r="F34" s="124" t="s">
        <v>829</v>
      </c>
      <c r="G34" s="124" t="s">
        <v>829</v>
      </c>
      <c r="H34" s="124"/>
      <c r="I34" s="125" t="s">
        <v>47</v>
      </c>
      <c r="J34" s="126">
        <v>134</v>
      </c>
      <c r="K34" s="356" t="s">
        <v>981</v>
      </c>
      <c r="L34" s="127" t="s">
        <v>362</v>
      </c>
    </row>
    <row r="35" spans="1:12" ht="75" x14ac:dyDescent="0.3">
      <c r="A35" s="351"/>
      <c r="B35" s="384"/>
      <c r="C35" s="124" t="s">
        <v>829</v>
      </c>
      <c r="D35" s="124" t="s">
        <v>830</v>
      </c>
      <c r="E35" s="124" t="s">
        <v>836</v>
      </c>
      <c r="F35" s="124" t="s">
        <v>829</v>
      </c>
      <c r="G35" s="124" t="s">
        <v>832</v>
      </c>
      <c r="H35" s="124"/>
      <c r="I35" s="125" t="s">
        <v>47</v>
      </c>
      <c r="J35" s="126">
        <v>139</v>
      </c>
      <c r="K35" s="357"/>
      <c r="L35" s="128" t="s">
        <v>363</v>
      </c>
    </row>
    <row r="36" spans="1:12" ht="45" x14ac:dyDescent="0.3">
      <c r="A36" s="351"/>
      <c r="B36" s="384"/>
      <c r="C36" s="124" t="s">
        <v>829</v>
      </c>
      <c r="D36" s="124" t="s">
        <v>830</v>
      </c>
      <c r="E36" s="124" t="s">
        <v>836</v>
      </c>
      <c r="F36" s="124" t="s">
        <v>832</v>
      </c>
      <c r="G36" s="124" t="s">
        <v>829</v>
      </c>
      <c r="H36" s="124"/>
      <c r="I36" s="125" t="s">
        <v>47</v>
      </c>
      <c r="J36" s="126">
        <v>136</v>
      </c>
      <c r="K36" s="399" t="s">
        <v>365</v>
      </c>
      <c r="L36" s="127" t="s">
        <v>366</v>
      </c>
    </row>
    <row r="37" spans="1:12" ht="30" x14ac:dyDescent="0.3">
      <c r="A37" s="351"/>
      <c r="B37" s="384"/>
      <c r="C37" s="124" t="s">
        <v>829</v>
      </c>
      <c r="D37" s="124" t="s">
        <v>830</v>
      </c>
      <c r="E37" s="124" t="s">
        <v>836</v>
      </c>
      <c r="F37" s="124" t="s">
        <v>832</v>
      </c>
      <c r="G37" s="124" t="s">
        <v>832</v>
      </c>
      <c r="H37" s="124"/>
      <c r="I37" s="125" t="s">
        <v>47</v>
      </c>
      <c r="J37" s="126">
        <v>138</v>
      </c>
      <c r="K37" s="399"/>
      <c r="L37" s="128" t="s">
        <v>369</v>
      </c>
    </row>
    <row r="38" spans="1:12" ht="75" x14ac:dyDescent="0.3">
      <c r="A38" s="351"/>
      <c r="B38" s="384"/>
      <c r="C38" s="124" t="s">
        <v>829</v>
      </c>
      <c r="D38" s="124" t="s">
        <v>830</v>
      </c>
      <c r="E38" s="124" t="s">
        <v>836</v>
      </c>
      <c r="F38" s="124" t="s">
        <v>832</v>
      </c>
      <c r="G38" s="124" t="s">
        <v>830</v>
      </c>
      <c r="H38" s="124"/>
      <c r="I38" s="125" t="s">
        <v>47</v>
      </c>
      <c r="J38" s="126">
        <v>138</v>
      </c>
      <c r="K38" s="399"/>
      <c r="L38" s="128" t="s">
        <v>372</v>
      </c>
    </row>
    <row r="39" spans="1:12" ht="30" x14ac:dyDescent="0.3">
      <c r="A39" s="351"/>
      <c r="B39" s="384"/>
      <c r="C39" s="124" t="s">
        <v>829</v>
      </c>
      <c r="D39" s="124" t="s">
        <v>830</v>
      </c>
      <c r="E39" s="124" t="s">
        <v>836</v>
      </c>
      <c r="F39" s="124" t="s">
        <v>832</v>
      </c>
      <c r="G39" s="124" t="s">
        <v>833</v>
      </c>
      <c r="H39" s="124"/>
      <c r="I39" s="125" t="s">
        <v>47</v>
      </c>
      <c r="J39" s="126">
        <v>138</v>
      </c>
      <c r="K39" s="399"/>
      <c r="L39" s="128" t="s">
        <v>373</v>
      </c>
    </row>
    <row r="40" spans="1:12" ht="42.75" customHeight="1" x14ac:dyDescent="0.3">
      <c r="A40" s="350" t="s">
        <v>60</v>
      </c>
      <c r="B40" s="370" t="s">
        <v>962</v>
      </c>
      <c r="C40" s="117" t="s">
        <v>829</v>
      </c>
      <c r="D40" s="118" t="s">
        <v>833</v>
      </c>
      <c r="E40" s="118" t="s">
        <v>832</v>
      </c>
      <c r="F40" s="118" t="s">
        <v>829</v>
      </c>
      <c r="G40" s="118" t="s">
        <v>833</v>
      </c>
      <c r="H40" s="118"/>
      <c r="I40" s="119" t="s">
        <v>60</v>
      </c>
      <c r="J40" s="120">
        <v>120</v>
      </c>
      <c r="K40" s="349" t="s">
        <v>160</v>
      </c>
      <c r="L40" s="349" t="s">
        <v>161</v>
      </c>
    </row>
    <row r="41" spans="1:12" ht="48" customHeight="1" x14ac:dyDescent="0.3">
      <c r="A41" s="351"/>
      <c r="B41" s="371"/>
      <c r="C41" s="117" t="s">
        <v>829</v>
      </c>
      <c r="D41" s="118" t="s">
        <v>833</v>
      </c>
      <c r="E41" s="118" t="s">
        <v>832</v>
      </c>
      <c r="F41" s="118" t="s">
        <v>829</v>
      </c>
      <c r="G41" s="118" t="s">
        <v>833</v>
      </c>
      <c r="H41" s="118"/>
      <c r="I41" s="119" t="s">
        <v>60</v>
      </c>
      <c r="J41" s="120">
        <v>120</v>
      </c>
      <c r="K41" s="349"/>
      <c r="L41" s="349"/>
    </row>
    <row r="42" spans="1:12" x14ac:dyDescent="0.3">
      <c r="A42" s="351"/>
      <c r="B42" s="371"/>
      <c r="C42" s="117" t="s">
        <v>829</v>
      </c>
      <c r="D42" s="118" t="s">
        <v>833</v>
      </c>
      <c r="E42" s="118" t="s">
        <v>832</v>
      </c>
      <c r="F42" s="118" t="s">
        <v>835</v>
      </c>
      <c r="G42" s="118" t="s">
        <v>829</v>
      </c>
      <c r="H42" s="118"/>
      <c r="I42" s="119" t="s">
        <v>60</v>
      </c>
      <c r="J42" s="120">
        <v>120</v>
      </c>
      <c r="K42" s="340" t="s">
        <v>164</v>
      </c>
      <c r="L42" s="349" t="s">
        <v>165</v>
      </c>
    </row>
    <row r="43" spans="1:12" x14ac:dyDescent="0.3">
      <c r="A43" s="351"/>
      <c r="B43" s="371"/>
      <c r="C43" s="117" t="s">
        <v>829</v>
      </c>
      <c r="D43" s="118" t="s">
        <v>833</v>
      </c>
      <c r="E43" s="118" t="s">
        <v>832</v>
      </c>
      <c r="F43" s="118" t="s">
        <v>835</v>
      </c>
      <c r="G43" s="118" t="s">
        <v>829</v>
      </c>
      <c r="H43" s="118"/>
      <c r="I43" s="119" t="s">
        <v>60</v>
      </c>
      <c r="J43" s="120">
        <v>120</v>
      </c>
      <c r="K43" s="341"/>
      <c r="L43" s="349"/>
    </row>
    <row r="44" spans="1:12" x14ac:dyDescent="0.3">
      <c r="A44" s="351"/>
      <c r="B44" s="371"/>
      <c r="C44" s="117" t="s">
        <v>829</v>
      </c>
      <c r="D44" s="118" t="s">
        <v>833</v>
      </c>
      <c r="E44" s="118" t="s">
        <v>832</v>
      </c>
      <c r="F44" s="118" t="s">
        <v>835</v>
      </c>
      <c r="G44" s="118" t="s">
        <v>832</v>
      </c>
      <c r="H44" s="118"/>
      <c r="I44" s="119" t="s">
        <v>60</v>
      </c>
      <c r="J44" s="120">
        <v>120</v>
      </c>
      <c r="K44" s="341"/>
      <c r="L44" s="349" t="s">
        <v>990</v>
      </c>
    </row>
    <row r="45" spans="1:12" x14ac:dyDescent="0.3">
      <c r="A45" s="351"/>
      <c r="B45" s="371"/>
      <c r="C45" s="117" t="s">
        <v>829</v>
      </c>
      <c r="D45" s="118" t="s">
        <v>833</v>
      </c>
      <c r="E45" s="118" t="s">
        <v>832</v>
      </c>
      <c r="F45" s="118" t="s">
        <v>835</v>
      </c>
      <c r="G45" s="118" t="s">
        <v>832</v>
      </c>
      <c r="H45" s="118"/>
      <c r="I45" s="119" t="s">
        <v>60</v>
      </c>
      <c r="J45" s="120">
        <v>120</v>
      </c>
      <c r="K45" s="341"/>
      <c r="L45" s="349"/>
    </row>
    <row r="46" spans="1:12" x14ac:dyDescent="0.3">
      <c r="A46" s="351"/>
      <c r="B46" s="371"/>
      <c r="C46" s="117" t="s">
        <v>829</v>
      </c>
      <c r="D46" s="118" t="s">
        <v>833</v>
      </c>
      <c r="E46" s="118" t="s">
        <v>832</v>
      </c>
      <c r="F46" s="118" t="s">
        <v>835</v>
      </c>
      <c r="G46" s="118" t="s">
        <v>830</v>
      </c>
      <c r="H46" s="118"/>
      <c r="I46" s="119" t="s">
        <v>60</v>
      </c>
      <c r="J46" s="120">
        <v>121</v>
      </c>
      <c r="K46" s="341"/>
      <c r="L46" s="340" t="s">
        <v>174</v>
      </c>
    </row>
    <row r="47" spans="1:12" x14ac:dyDescent="0.3">
      <c r="A47" s="351"/>
      <c r="B47" s="371"/>
      <c r="C47" s="117" t="s">
        <v>829</v>
      </c>
      <c r="D47" s="118" t="s">
        <v>833</v>
      </c>
      <c r="E47" s="118" t="s">
        <v>832</v>
      </c>
      <c r="F47" s="118" t="s">
        <v>835</v>
      </c>
      <c r="G47" s="118" t="s">
        <v>830</v>
      </c>
      <c r="H47" s="118"/>
      <c r="I47" s="119" t="s">
        <v>60</v>
      </c>
      <c r="J47" s="120">
        <v>121</v>
      </c>
      <c r="K47" s="341"/>
      <c r="L47" s="400"/>
    </row>
    <row r="48" spans="1:12" ht="34.5" customHeight="1" x14ac:dyDescent="0.3">
      <c r="A48" s="351"/>
      <c r="B48" s="371"/>
      <c r="C48" s="117" t="s">
        <v>829</v>
      </c>
      <c r="D48" s="118" t="s">
        <v>833</v>
      </c>
      <c r="E48" s="118" t="s">
        <v>832</v>
      </c>
      <c r="F48" s="118" t="s">
        <v>835</v>
      </c>
      <c r="G48" s="118" t="s">
        <v>835</v>
      </c>
      <c r="H48" s="118"/>
      <c r="I48" s="119" t="s">
        <v>60</v>
      </c>
      <c r="J48" s="120">
        <v>114</v>
      </c>
      <c r="K48" s="341"/>
      <c r="L48" s="349" t="s">
        <v>106</v>
      </c>
    </row>
    <row r="49" spans="1:13" x14ac:dyDescent="0.3">
      <c r="A49" s="351"/>
      <c r="B49" s="371"/>
      <c r="C49" s="117" t="s">
        <v>829</v>
      </c>
      <c r="D49" s="118" t="s">
        <v>833</v>
      </c>
      <c r="E49" s="118" t="s">
        <v>832</v>
      </c>
      <c r="F49" s="118" t="s">
        <v>835</v>
      </c>
      <c r="G49" s="118" t="s">
        <v>835</v>
      </c>
      <c r="H49" s="118"/>
      <c r="I49" s="119" t="s">
        <v>60</v>
      </c>
      <c r="J49" s="120">
        <v>114</v>
      </c>
      <c r="K49" s="341"/>
      <c r="L49" s="349"/>
    </row>
    <row r="50" spans="1:13" ht="30" x14ac:dyDescent="0.3">
      <c r="A50" s="350" t="s">
        <v>50</v>
      </c>
      <c r="B50" s="383" t="s">
        <v>959</v>
      </c>
      <c r="C50" s="124" t="s">
        <v>832</v>
      </c>
      <c r="D50" s="139" t="s">
        <v>832</v>
      </c>
      <c r="E50" s="139" t="s">
        <v>832</v>
      </c>
      <c r="F50" s="139" t="s">
        <v>829</v>
      </c>
      <c r="G50" s="139" t="s">
        <v>829</v>
      </c>
      <c r="H50" s="139"/>
      <c r="I50" s="128" t="s">
        <v>50</v>
      </c>
      <c r="J50" s="129">
        <v>112</v>
      </c>
      <c r="K50" s="356" t="s">
        <v>335</v>
      </c>
      <c r="L50" s="128" t="s">
        <v>336</v>
      </c>
      <c r="M50" s="158"/>
    </row>
    <row r="51" spans="1:13" x14ac:dyDescent="0.3">
      <c r="A51" s="351"/>
      <c r="B51" s="384"/>
      <c r="C51" s="124" t="s">
        <v>832</v>
      </c>
      <c r="D51" s="139" t="s">
        <v>832</v>
      </c>
      <c r="E51" s="139" t="s">
        <v>832</v>
      </c>
      <c r="F51" s="139" t="s">
        <v>829</v>
      </c>
      <c r="G51" s="129" t="s">
        <v>832</v>
      </c>
      <c r="H51" s="139"/>
      <c r="I51" s="128" t="s">
        <v>50</v>
      </c>
      <c r="J51" s="129">
        <v>112</v>
      </c>
      <c r="K51" s="357"/>
      <c r="L51" s="127" t="s">
        <v>338</v>
      </c>
      <c r="M51" s="158"/>
    </row>
    <row r="52" spans="1:13" ht="51.75" customHeight="1" x14ac:dyDescent="0.3">
      <c r="A52" s="181" t="s">
        <v>41</v>
      </c>
      <c r="B52" s="130" t="s">
        <v>703</v>
      </c>
      <c r="C52" s="109" t="s">
        <v>829</v>
      </c>
      <c r="D52" s="131" t="s">
        <v>834</v>
      </c>
      <c r="E52" s="131" t="s">
        <v>830</v>
      </c>
      <c r="F52" s="131" t="s">
        <v>829</v>
      </c>
      <c r="G52" s="131" t="s">
        <v>830</v>
      </c>
      <c r="H52" s="131"/>
      <c r="I52" s="132" t="s">
        <v>41</v>
      </c>
      <c r="J52" s="133">
        <v>103</v>
      </c>
      <c r="K52" s="132" t="s">
        <v>127</v>
      </c>
      <c r="L52" s="132" t="s">
        <v>128</v>
      </c>
    </row>
    <row r="53" spans="1:13" ht="30" x14ac:dyDescent="0.3">
      <c r="A53" s="351" t="s">
        <v>54</v>
      </c>
      <c r="B53" s="367" t="s">
        <v>63</v>
      </c>
      <c r="C53" s="134" t="s">
        <v>830</v>
      </c>
      <c r="D53" s="135" t="s">
        <v>829</v>
      </c>
      <c r="E53" s="135" t="s">
        <v>832</v>
      </c>
      <c r="F53" s="135" t="s">
        <v>829</v>
      </c>
      <c r="G53" s="135" t="s">
        <v>835</v>
      </c>
      <c r="H53" s="135"/>
      <c r="I53" s="113" t="s">
        <v>54</v>
      </c>
      <c r="J53" s="136">
        <v>140</v>
      </c>
      <c r="K53" s="365" t="s">
        <v>497</v>
      </c>
      <c r="L53" s="113" t="s">
        <v>500</v>
      </c>
    </row>
    <row r="54" spans="1:13" ht="30" x14ac:dyDescent="0.3">
      <c r="A54" s="351"/>
      <c r="B54" s="367"/>
      <c r="C54" s="134" t="s">
        <v>830</v>
      </c>
      <c r="D54" s="135" t="s">
        <v>829</v>
      </c>
      <c r="E54" s="135" t="s">
        <v>832</v>
      </c>
      <c r="F54" s="135" t="s">
        <v>829</v>
      </c>
      <c r="G54" s="135" t="s">
        <v>837</v>
      </c>
      <c r="H54" s="135"/>
      <c r="I54" s="113" t="s">
        <v>54</v>
      </c>
      <c r="J54" s="136">
        <v>140</v>
      </c>
      <c r="K54" s="382"/>
      <c r="L54" s="113" t="s">
        <v>498</v>
      </c>
    </row>
    <row r="55" spans="1:13" ht="45.75" customHeight="1" x14ac:dyDescent="0.3">
      <c r="A55" s="351"/>
      <c r="B55" s="367"/>
      <c r="C55" s="134" t="s">
        <v>830</v>
      </c>
      <c r="D55" s="135" t="s">
        <v>836</v>
      </c>
      <c r="E55" s="135" t="s">
        <v>832</v>
      </c>
      <c r="F55" s="135" t="s">
        <v>829</v>
      </c>
      <c r="G55" s="135" t="s">
        <v>832</v>
      </c>
      <c r="H55" s="135"/>
      <c r="I55" s="113" t="s">
        <v>54</v>
      </c>
      <c r="J55" s="136">
        <v>131</v>
      </c>
      <c r="K55" s="137" t="s">
        <v>505</v>
      </c>
      <c r="L55" s="137" t="s">
        <v>506</v>
      </c>
    </row>
    <row r="56" spans="1:13" ht="45" x14ac:dyDescent="0.3">
      <c r="A56" s="351"/>
      <c r="B56" s="367"/>
      <c r="C56" s="134" t="s">
        <v>829</v>
      </c>
      <c r="D56" s="135" t="s">
        <v>833</v>
      </c>
      <c r="E56" s="135" t="s">
        <v>832</v>
      </c>
      <c r="F56" s="135" t="s">
        <v>835</v>
      </c>
      <c r="G56" s="135" t="s">
        <v>834</v>
      </c>
      <c r="H56" s="135"/>
      <c r="I56" s="113" t="s">
        <v>54</v>
      </c>
      <c r="J56" s="136">
        <v>137</v>
      </c>
      <c r="K56" s="113" t="s">
        <v>164</v>
      </c>
      <c r="L56" s="113" t="s">
        <v>508</v>
      </c>
    </row>
    <row r="57" spans="1:13" ht="30" x14ac:dyDescent="0.3">
      <c r="A57" s="351"/>
      <c r="B57" s="367"/>
      <c r="C57" s="134" t="s">
        <v>830</v>
      </c>
      <c r="D57" s="135" t="s">
        <v>837</v>
      </c>
      <c r="E57" s="135" t="s">
        <v>829</v>
      </c>
      <c r="F57" s="135" t="s">
        <v>829</v>
      </c>
      <c r="G57" s="135" t="s">
        <v>829</v>
      </c>
      <c r="H57" s="135"/>
      <c r="I57" s="113" t="s">
        <v>54</v>
      </c>
      <c r="J57" s="136">
        <v>149</v>
      </c>
      <c r="K57" s="113" t="s">
        <v>512</v>
      </c>
      <c r="L57" s="138" t="s">
        <v>513</v>
      </c>
    </row>
    <row r="58" spans="1:13" ht="45" x14ac:dyDescent="0.3">
      <c r="A58" s="369"/>
      <c r="B58" s="381"/>
      <c r="C58" s="134" t="s">
        <v>830</v>
      </c>
      <c r="D58" s="135" t="s">
        <v>831</v>
      </c>
      <c r="E58" s="135" t="s">
        <v>830</v>
      </c>
      <c r="F58" s="135" t="s">
        <v>829</v>
      </c>
      <c r="G58" s="135" t="s">
        <v>836</v>
      </c>
      <c r="H58" s="135"/>
      <c r="I58" s="113" t="s">
        <v>54</v>
      </c>
      <c r="J58" s="136">
        <v>133</v>
      </c>
      <c r="K58" s="113" t="s">
        <v>515</v>
      </c>
      <c r="L58" s="138" t="s">
        <v>516</v>
      </c>
    </row>
    <row r="59" spans="1:13" ht="30" x14ac:dyDescent="0.3">
      <c r="A59" s="350" t="s">
        <v>61</v>
      </c>
      <c r="B59" s="383" t="s">
        <v>711</v>
      </c>
      <c r="C59" s="124" t="s">
        <v>829</v>
      </c>
      <c r="D59" s="139" t="s">
        <v>830</v>
      </c>
      <c r="E59" s="139" t="s">
        <v>834</v>
      </c>
      <c r="F59" s="139" t="s">
        <v>829</v>
      </c>
      <c r="G59" s="139" t="s">
        <v>836</v>
      </c>
      <c r="H59" s="139"/>
      <c r="I59" s="128" t="s">
        <v>61</v>
      </c>
      <c r="J59" s="129">
        <v>123</v>
      </c>
      <c r="K59" s="359" t="s">
        <v>182</v>
      </c>
      <c r="L59" s="128" t="s">
        <v>183</v>
      </c>
    </row>
    <row r="60" spans="1:13" x14ac:dyDescent="0.3">
      <c r="A60" s="351"/>
      <c r="B60" s="384"/>
      <c r="C60" s="124" t="s">
        <v>829</v>
      </c>
      <c r="D60" s="139" t="s">
        <v>830</v>
      </c>
      <c r="E60" s="139" t="s">
        <v>834</v>
      </c>
      <c r="F60" s="139" t="s">
        <v>829</v>
      </c>
      <c r="G60" s="139" t="s">
        <v>837</v>
      </c>
      <c r="H60" s="139"/>
      <c r="I60" s="128" t="s">
        <v>61</v>
      </c>
      <c r="J60" s="129">
        <v>123</v>
      </c>
      <c r="K60" s="359"/>
      <c r="L60" s="127" t="s">
        <v>186</v>
      </c>
    </row>
    <row r="61" spans="1:13" ht="45" x14ac:dyDescent="0.3">
      <c r="A61" s="351"/>
      <c r="B61" s="384"/>
      <c r="C61" s="124" t="s">
        <v>832</v>
      </c>
      <c r="D61" s="139" t="s">
        <v>832</v>
      </c>
      <c r="E61" s="139" t="s">
        <v>829</v>
      </c>
      <c r="F61" s="139" t="s">
        <v>829</v>
      </c>
      <c r="G61" s="139" t="s">
        <v>835</v>
      </c>
      <c r="H61" s="139"/>
      <c r="I61" s="128" t="s">
        <v>61</v>
      </c>
      <c r="J61" s="129">
        <v>123</v>
      </c>
      <c r="K61" s="127" t="s">
        <v>195</v>
      </c>
      <c r="L61" s="127" t="s">
        <v>963</v>
      </c>
    </row>
    <row r="62" spans="1:13" ht="33.75" customHeight="1" x14ac:dyDescent="0.3">
      <c r="A62" s="351"/>
      <c r="B62" s="384"/>
      <c r="C62" s="124" t="s">
        <v>832</v>
      </c>
      <c r="D62" s="139" t="s">
        <v>832</v>
      </c>
      <c r="E62" s="139" t="s">
        <v>833</v>
      </c>
      <c r="F62" s="139" t="s">
        <v>829</v>
      </c>
      <c r="G62" s="139" t="s">
        <v>836</v>
      </c>
      <c r="H62" s="139"/>
      <c r="I62" s="128" t="s">
        <v>61</v>
      </c>
      <c r="J62" s="129">
        <v>123</v>
      </c>
      <c r="K62" s="127" t="s">
        <v>477</v>
      </c>
      <c r="L62" s="127" t="s">
        <v>478</v>
      </c>
    </row>
    <row r="63" spans="1:13" x14ac:dyDescent="0.3">
      <c r="A63" s="351"/>
      <c r="B63" s="384"/>
      <c r="C63" s="124" t="s">
        <v>829</v>
      </c>
      <c r="D63" s="139" t="s">
        <v>834</v>
      </c>
      <c r="E63" s="139" t="s">
        <v>829</v>
      </c>
      <c r="F63" s="139" t="s">
        <v>830</v>
      </c>
      <c r="G63" s="139" t="s">
        <v>829</v>
      </c>
      <c r="H63" s="139"/>
      <c r="I63" s="128" t="s">
        <v>61</v>
      </c>
      <c r="J63" s="129">
        <v>123</v>
      </c>
      <c r="K63" s="388" t="s">
        <v>480</v>
      </c>
      <c r="L63" s="356" t="s">
        <v>481</v>
      </c>
    </row>
    <row r="64" spans="1:13" x14ac:dyDescent="0.3">
      <c r="A64" s="351"/>
      <c r="B64" s="384"/>
      <c r="C64" s="124" t="s">
        <v>829</v>
      </c>
      <c r="D64" s="139" t="s">
        <v>834</v>
      </c>
      <c r="E64" s="139" t="s">
        <v>829</v>
      </c>
      <c r="F64" s="139" t="s">
        <v>830</v>
      </c>
      <c r="G64" s="139" t="s">
        <v>829</v>
      </c>
      <c r="H64" s="139"/>
      <c r="I64" s="128" t="s">
        <v>61</v>
      </c>
      <c r="J64" s="129">
        <v>123</v>
      </c>
      <c r="K64" s="389"/>
      <c r="L64" s="357"/>
    </row>
    <row r="65" spans="1:12" x14ac:dyDescent="0.3">
      <c r="A65" s="369"/>
      <c r="B65" s="387"/>
      <c r="C65" s="124" t="s">
        <v>829</v>
      </c>
      <c r="D65" s="139" t="s">
        <v>834</v>
      </c>
      <c r="E65" s="139" t="s">
        <v>829</v>
      </c>
      <c r="F65" s="139" t="s">
        <v>830</v>
      </c>
      <c r="G65" s="139" t="s">
        <v>829</v>
      </c>
      <c r="H65" s="139"/>
      <c r="I65" s="128" t="s">
        <v>61</v>
      </c>
      <c r="J65" s="129">
        <v>123</v>
      </c>
      <c r="K65" s="390"/>
      <c r="L65" s="358"/>
    </row>
    <row r="66" spans="1:12" ht="60" x14ac:dyDescent="0.3">
      <c r="A66" s="385" t="s">
        <v>55</v>
      </c>
      <c r="B66" s="373" t="s">
        <v>1220</v>
      </c>
      <c r="C66" s="109" t="s">
        <v>832</v>
      </c>
      <c r="D66" s="131" t="s">
        <v>829</v>
      </c>
      <c r="E66" s="131" t="s">
        <v>836</v>
      </c>
      <c r="F66" s="131" t="s">
        <v>829</v>
      </c>
      <c r="G66" s="131" t="s">
        <v>831</v>
      </c>
      <c r="H66" s="131"/>
      <c r="I66" s="132" t="s">
        <v>55</v>
      </c>
      <c r="J66" s="133">
        <v>160</v>
      </c>
      <c r="K66" s="132" t="s">
        <v>1085</v>
      </c>
      <c r="L66" s="132" t="s">
        <v>241</v>
      </c>
    </row>
    <row r="67" spans="1:12" ht="51.75" customHeight="1" x14ac:dyDescent="0.3">
      <c r="A67" s="385"/>
      <c r="B67" s="373"/>
      <c r="C67" s="109" t="s">
        <v>832</v>
      </c>
      <c r="D67" s="131" t="s">
        <v>829</v>
      </c>
      <c r="E67" s="131" t="s">
        <v>833</v>
      </c>
      <c r="F67" s="131" t="s">
        <v>829</v>
      </c>
      <c r="G67" s="131" t="s">
        <v>829</v>
      </c>
      <c r="H67" s="131"/>
      <c r="I67" s="133" t="s">
        <v>55</v>
      </c>
      <c r="J67" s="133">
        <v>160</v>
      </c>
      <c r="K67" s="386" t="s">
        <v>256</v>
      </c>
      <c r="L67" s="132" t="s">
        <v>257</v>
      </c>
    </row>
    <row r="68" spans="1:12" ht="34.5" customHeight="1" x14ac:dyDescent="0.3">
      <c r="A68" s="385"/>
      <c r="B68" s="373"/>
      <c r="C68" s="109" t="s">
        <v>832</v>
      </c>
      <c r="D68" s="131" t="s">
        <v>829</v>
      </c>
      <c r="E68" s="131" t="s">
        <v>833</v>
      </c>
      <c r="F68" s="131" t="s">
        <v>829</v>
      </c>
      <c r="G68" s="131" t="s">
        <v>832</v>
      </c>
      <c r="H68" s="131"/>
      <c r="I68" s="133" t="s">
        <v>55</v>
      </c>
      <c r="J68" s="133">
        <v>160</v>
      </c>
      <c r="K68" s="386"/>
      <c r="L68" s="142" t="s">
        <v>259</v>
      </c>
    </row>
    <row r="69" spans="1:12" ht="30" x14ac:dyDescent="0.3">
      <c r="A69" s="385"/>
      <c r="B69" s="373"/>
      <c r="C69" s="109" t="s">
        <v>830</v>
      </c>
      <c r="D69" s="131" t="s">
        <v>832</v>
      </c>
      <c r="E69" s="131" t="s">
        <v>832</v>
      </c>
      <c r="F69" s="131" t="s">
        <v>829</v>
      </c>
      <c r="G69" s="131" t="s">
        <v>830</v>
      </c>
      <c r="H69" s="131"/>
      <c r="I69" s="132" t="s">
        <v>55</v>
      </c>
      <c r="J69" s="133">
        <v>160</v>
      </c>
      <c r="K69" s="142" t="s">
        <v>268</v>
      </c>
      <c r="L69" s="142" t="s">
        <v>1084</v>
      </c>
    </row>
    <row r="70" spans="1:12" ht="30" x14ac:dyDescent="0.3">
      <c r="A70" s="385"/>
      <c r="B70" s="373"/>
      <c r="C70" s="109" t="s">
        <v>830</v>
      </c>
      <c r="D70" s="131" t="s">
        <v>832</v>
      </c>
      <c r="E70" s="131" t="s">
        <v>832</v>
      </c>
      <c r="F70" s="131" t="s">
        <v>829</v>
      </c>
      <c r="G70" s="131" t="s">
        <v>833</v>
      </c>
      <c r="H70" s="131"/>
      <c r="I70" s="132" t="s">
        <v>55</v>
      </c>
      <c r="J70" s="133">
        <v>160</v>
      </c>
      <c r="K70" s="156"/>
      <c r="L70" s="132" t="s">
        <v>1218</v>
      </c>
    </row>
    <row r="71" spans="1:12" ht="51.75" customHeight="1" x14ac:dyDescent="0.3">
      <c r="A71" s="343" t="s">
        <v>61</v>
      </c>
      <c r="B71" s="368" t="s">
        <v>712</v>
      </c>
      <c r="C71" s="114" t="s">
        <v>832</v>
      </c>
      <c r="D71" s="143" t="s">
        <v>829</v>
      </c>
      <c r="E71" s="143" t="s">
        <v>830</v>
      </c>
      <c r="F71" s="143" t="s">
        <v>829</v>
      </c>
      <c r="G71" s="143" t="s">
        <v>829</v>
      </c>
      <c r="H71" s="143"/>
      <c r="I71" s="144" t="s">
        <v>61</v>
      </c>
      <c r="J71" s="106">
        <v>124</v>
      </c>
      <c r="K71" s="116" t="s">
        <v>191</v>
      </c>
      <c r="L71" s="116" t="s">
        <v>192</v>
      </c>
    </row>
    <row r="72" spans="1:12" ht="30" x14ac:dyDescent="0.3">
      <c r="A72" s="343"/>
      <c r="B72" s="368"/>
      <c r="C72" s="114" t="s">
        <v>832</v>
      </c>
      <c r="D72" s="143" t="s">
        <v>832</v>
      </c>
      <c r="E72" s="143" t="s">
        <v>829</v>
      </c>
      <c r="F72" s="143" t="s">
        <v>829</v>
      </c>
      <c r="G72" s="143" t="s">
        <v>831</v>
      </c>
      <c r="H72" s="143"/>
      <c r="I72" s="144" t="s">
        <v>61</v>
      </c>
      <c r="J72" s="106">
        <v>124</v>
      </c>
      <c r="K72" s="380" t="s">
        <v>195</v>
      </c>
      <c r="L72" s="144" t="s">
        <v>1092</v>
      </c>
    </row>
    <row r="73" spans="1:12" ht="30" x14ac:dyDescent="0.3">
      <c r="A73" s="343"/>
      <c r="B73" s="368"/>
      <c r="C73" s="114" t="s">
        <v>832</v>
      </c>
      <c r="D73" s="143" t="s">
        <v>832</v>
      </c>
      <c r="E73" s="143" t="s">
        <v>829</v>
      </c>
      <c r="F73" s="143" t="s">
        <v>829</v>
      </c>
      <c r="G73" s="143" t="s">
        <v>969</v>
      </c>
      <c r="H73" s="143"/>
      <c r="I73" s="144" t="s">
        <v>61</v>
      </c>
      <c r="J73" s="106">
        <v>124</v>
      </c>
      <c r="K73" s="380"/>
      <c r="L73" s="144" t="s">
        <v>275</v>
      </c>
    </row>
    <row r="74" spans="1:12" ht="28.5" customHeight="1" x14ac:dyDescent="0.3">
      <c r="A74" s="343"/>
      <c r="B74" s="368"/>
      <c r="C74" s="114" t="s">
        <v>832</v>
      </c>
      <c r="D74" s="143" t="s">
        <v>832</v>
      </c>
      <c r="E74" s="143" t="s">
        <v>829</v>
      </c>
      <c r="F74" s="143" t="s">
        <v>829</v>
      </c>
      <c r="G74" s="143" t="s">
        <v>970</v>
      </c>
      <c r="H74" s="143"/>
      <c r="I74" s="144" t="s">
        <v>61</v>
      </c>
      <c r="J74" s="106">
        <v>124</v>
      </c>
      <c r="K74" s="380"/>
      <c r="L74" s="116" t="s">
        <v>206</v>
      </c>
    </row>
    <row r="75" spans="1:12" ht="30" x14ac:dyDescent="0.3">
      <c r="A75" s="343"/>
      <c r="B75" s="368"/>
      <c r="C75" s="114" t="s">
        <v>832</v>
      </c>
      <c r="D75" s="143" t="s">
        <v>832</v>
      </c>
      <c r="E75" s="143" t="s">
        <v>829</v>
      </c>
      <c r="F75" s="143" t="s">
        <v>829</v>
      </c>
      <c r="G75" s="143" t="s">
        <v>1094</v>
      </c>
      <c r="H75" s="143"/>
      <c r="I75" s="144" t="s">
        <v>61</v>
      </c>
      <c r="J75" s="106">
        <v>124</v>
      </c>
      <c r="K75" s="380"/>
      <c r="L75" s="116" t="s">
        <v>1093</v>
      </c>
    </row>
    <row r="76" spans="1:12" ht="30" x14ac:dyDescent="0.3">
      <c r="A76" s="343"/>
      <c r="B76" s="368"/>
      <c r="C76" s="114" t="s">
        <v>832</v>
      </c>
      <c r="D76" s="143" t="s">
        <v>832</v>
      </c>
      <c r="E76" s="143" t="s">
        <v>829</v>
      </c>
      <c r="F76" s="143" t="s">
        <v>829</v>
      </c>
      <c r="G76" s="143" t="s">
        <v>1086</v>
      </c>
      <c r="H76" s="143"/>
      <c r="I76" s="144" t="s">
        <v>61</v>
      </c>
      <c r="J76" s="106">
        <v>124</v>
      </c>
      <c r="K76" s="380"/>
      <c r="L76" s="116" t="s">
        <v>204</v>
      </c>
    </row>
    <row r="77" spans="1:12" ht="45" x14ac:dyDescent="0.3">
      <c r="A77" s="343"/>
      <c r="B77" s="368"/>
      <c r="C77" s="114" t="s">
        <v>832</v>
      </c>
      <c r="D77" s="143" t="s">
        <v>832</v>
      </c>
      <c r="E77" s="143" t="s">
        <v>830</v>
      </c>
      <c r="F77" s="143" t="s">
        <v>829</v>
      </c>
      <c r="G77" s="143" t="s">
        <v>833</v>
      </c>
      <c r="H77" s="143"/>
      <c r="I77" s="144" t="s">
        <v>61</v>
      </c>
      <c r="J77" s="106">
        <v>124</v>
      </c>
      <c r="K77" s="144" t="s">
        <v>209</v>
      </c>
      <c r="L77" s="144" t="s">
        <v>210</v>
      </c>
    </row>
    <row r="78" spans="1:12" ht="34.5" customHeight="1" x14ac:dyDescent="0.3">
      <c r="A78" s="346" t="s">
        <v>23</v>
      </c>
      <c r="B78" s="378" t="s">
        <v>714</v>
      </c>
      <c r="C78" s="145" t="s">
        <v>832</v>
      </c>
      <c r="D78" s="146" t="s">
        <v>835</v>
      </c>
      <c r="E78" s="146" t="s">
        <v>834</v>
      </c>
      <c r="F78" s="146" t="s">
        <v>833</v>
      </c>
      <c r="G78" s="146" t="s">
        <v>832</v>
      </c>
      <c r="H78" s="146"/>
      <c r="I78" s="147" t="s">
        <v>23</v>
      </c>
      <c r="J78" s="148">
        <v>172</v>
      </c>
      <c r="K78" s="149" t="s">
        <v>967</v>
      </c>
      <c r="L78" s="147" t="s">
        <v>644</v>
      </c>
    </row>
    <row r="79" spans="1:12" ht="30" x14ac:dyDescent="0.3">
      <c r="A79" s="346"/>
      <c r="B79" s="378"/>
      <c r="C79" s="145" t="s">
        <v>830</v>
      </c>
      <c r="D79" s="146" t="s">
        <v>829</v>
      </c>
      <c r="E79" s="146" t="s">
        <v>832</v>
      </c>
      <c r="F79" s="146" t="s">
        <v>830</v>
      </c>
      <c r="G79" s="146" t="s">
        <v>829</v>
      </c>
      <c r="H79" s="146"/>
      <c r="I79" s="147" t="s">
        <v>23</v>
      </c>
      <c r="J79" s="148">
        <v>172</v>
      </c>
      <c r="K79" s="379" t="s">
        <v>649</v>
      </c>
      <c r="L79" s="147" t="s">
        <v>650</v>
      </c>
    </row>
    <row r="80" spans="1:12" ht="30" x14ac:dyDescent="0.3">
      <c r="A80" s="346"/>
      <c r="B80" s="378"/>
      <c r="C80" s="145" t="s">
        <v>830</v>
      </c>
      <c r="D80" s="146" t="s">
        <v>829</v>
      </c>
      <c r="E80" s="146" t="s">
        <v>832</v>
      </c>
      <c r="F80" s="146" t="s">
        <v>830</v>
      </c>
      <c r="G80" s="146" t="s">
        <v>832</v>
      </c>
      <c r="H80" s="146"/>
      <c r="I80" s="147" t="s">
        <v>23</v>
      </c>
      <c r="J80" s="148">
        <v>172</v>
      </c>
      <c r="K80" s="379"/>
      <c r="L80" s="147" t="s">
        <v>838</v>
      </c>
    </row>
    <row r="81" spans="1:14" ht="30" x14ac:dyDescent="0.3">
      <c r="A81" s="343" t="s">
        <v>52</v>
      </c>
      <c r="B81" s="368" t="s">
        <v>708</v>
      </c>
      <c r="C81" s="114" t="s">
        <v>832</v>
      </c>
      <c r="D81" s="143" t="s">
        <v>833</v>
      </c>
      <c r="E81" s="143" t="s">
        <v>829</v>
      </c>
      <c r="F81" s="143" t="s">
        <v>829</v>
      </c>
      <c r="G81" s="143" t="s">
        <v>969</v>
      </c>
      <c r="H81" s="143"/>
      <c r="I81" s="144" t="s">
        <v>52</v>
      </c>
      <c r="J81" s="106">
        <v>141</v>
      </c>
      <c r="K81" s="144" t="s">
        <v>213</v>
      </c>
      <c r="L81" s="144" t="s">
        <v>518</v>
      </c>
    </row>
    <row r="82" spans="1:14" ht="30" x14ac:dyDescent="0.3">
      <c r="A82" s="343"/>
      <c r="B82" s="368"/>
      <c r="C82" s="114" t="s">
        <v>832</v>
      </c>
      <c r="D82" s="143" t="s">
        <v>833</v>
      </c>
      <c r="E82" s="143" t="s">
        <v>832</v>
      </c>
      <c r="F82" s="143" t="s">
        <v>829</v>
      </c>
      <c r="G82" s="143" t="s">
        <v>833</v>
      </c>
      <c r="H82" s="143"/>
      <c r="I82" s="144" t="s">
        <v>52</v>
      </c>
      <c r="J82" s="106">
        <v>141</v>
      </c>
      <c r="K82" s="144" t="s">
        <v>216</v>
      </c>
      <c r="L82" s="144" t="s">
        <v>217</v>
      </c>
    </row>
    <row r="83" spans="1:14" ht="30" x14ac:dyDescent="0.3">
      <c r="A83" s="343"/>
      <c r="B83" s="368"/>
      <c r="C83" s="114" t="s">
        <v>832</v>
      </c>
      <c r="D83" s="143" t="s">
        <v>833</v>
      </c>
      <c r="E83" s="143" t="s">
        <v>830</v>
      </c>
      <c r="F83" s="143" t="s">
        <v>829</v>
      </c>
      <c r="G83" s="143" t="s">
        <v>833</v>
      </c>
      <c r="H83" s="143"/>
      <c r="I83" s="144" t="s">
        <v>52</v>
      </c>
      <c r="J83" s="106">
        <v>141</v>
      </c>
      <c r="K83" s="144" t="s">
        <v>529</v>
      </c>
      <c r="L83" s="144" t="s">
        <v>530</v>
      </c>
    </row>
    <row r="84" spans="1:14" ht="40.5" customHeight="1" x14ac:dyDescent="0.3">
      <c r="A84" s="343"/>
      <c r="B84" s="368"/>
      <c r="C84" s="114" t="s">
        <v>832</v>
      </c>
      <c r="D84" s="143" t="s">
        <v>833</v>
      </c>
      <c r="E84" s="143" t="s">
        <v>833</v>
      </c>
      <c r="F84" s="143" t="s">
        <v>829</v>
      </c>
      <c r="G84" s="143" t="s">
        <v>829</v>
      </c>
      <c r="H84" s="143"/>
      <c r="I84" s="144" t="s">
        <v>52</v>
      </c>
      <c r="J84" s="106">
        <v>141</v>
      </c>
      <c r="K84" s="380" t="s">
        <v>533</v>
      </c>
      <c r="L84" s="144" t="s">
        <v>534</v>
      </c>
    </row>
    <row r="85" spans="1:14" ht="32.25" customHeight="1" x14ac:dyDescent="0.3">
      <c r="A85" s="343"/>
      <c r="B85" s="368"/>
      <c r="C85" s="114" t="s">
        <v>832</v>
      </c>
      <c r="D85" s="143" t="s">
        <v>833</v>
      </c>
      <c r="E85" s="143" t="s">
        <v>833</v>
      </c>
      <c r="F85" s="143" t="s">
        <v>829</v>
      </c>
      <c r="G85" s="143" t="s">
        <v>832</v>
      </c>
      <c r="H85" s="143"/>
      <c r="I85" s="144" t="s">
        <v>52</v>
      </c>
      <c r="J85" s="106">
        <v>141</v>
      </c>
      <c r="K85" s="380"/>
      <c r="L85" s="144" t="s">
        <v>537</v>
      </c>
    </row>
    <row r="86" spans="1:14" ht="30" x14ac:dyDescent="0.3">
      <c r="A86" s="350" t="s">
        <v>51</v>
      </c>
      <c r="B86" s="352" t="s">
        <v>4</v>
      </c>
      <c r="C86" s="64" t="s">
        <v>829</v>
      </c>
      <c r="D86" s="64" t="s">
        <v>832</v>
      </c>
      <c r="E86" s="64" t="s">
        <v>836</v>
      </c>
      <c r="F86" s="64" t="s">
        <v>829</v>
      </c>
      <c r="G86" s="64" t="s">
        <v>832</v>
      </c>
      <c r="H86" s="64"/>
      <c r="I86" s="66" t="s">
        <v>51</v>
      </c>
      <c r="J86" s="68">
        <v>102</v>
      </c>
      <c r="K86" s="67" t="s">
        <v>43</v>
      </c>
      <c r="L86" s="67" t="s">
        <v>151</v>
      </c>
    </row>
    <row r="87" spans="1:14" ht="45" x14ac:dyDescent="0.3">
      <c r="A87" s="351"/>
      <c r="B87" s="353"/>
      <c r="C87" s="64" t="s">
        <v>829</v>
      </c>
      <c r="D87" s="64" t="s">
        <v>830</v>
      </c>
      <c r="E87" s="64" t="s">
        <v>832</v>
      </c>
      <c r="F87" s="64" t="s">
        <v>829</v>
      </c>
      <c r="G87" s="64" t="s">
        <v>836</v>
      </c>
      <c r="H87" s="64"/>
      <c r="I87" s="66" t="s">
        <v>51</v>
      </c>
      <c r="J87" s="68">
        <v>144</v>
      </c>
      <c r="K87" s="67" t="s">
        <v>343</v>
      </c>
      <c r="L87" s="67" t="s">
        <v>344</v>
      </c>
    </row>
    <row r="88" spans="1:14" ht="30" x14ac:dyDescent="0.3">
      <c r="A88" s="351"/>
      <c r="B88" s="353"/>
      <c r="C88" s="64" t="s">
        <v>832</v>
      </c>
      <c r="D88" s="64" t="s">
        <v>836</v>
      </c>
      <c r="E88" s="64" t="s">
        <v>836</v>
      </c>
      <c r="F88" s="64" t="s">
        <v>829</v>
      </c>
      <c r="G88" s="64" t="s">
        <v>832</v>
      </c>
      <c r="H88" s="64"/>
      <c r="I88" s="66" t="s">
        <v>51</v>
      </c>
      <c r="J88" s="68">
        <v>111</v>
      </c>
      <c r="K88" s="67" t="s">
        <v>350</v>
      </c>
      <c r="L88" s="67" t="s">
        <v>351</v>
      </c>
    </row>
    <row r="89" spans="1:14" ht="51.75" customHeight="1" x14ac:dyDescent="0.3">
      <c r="A89" s="351"/>
      <c r="B89" s="353"/>
      <c r="C89" s="64" t="s">
        <v>832</v>
      </c>
      <c r="D89" s="64" t="s">
        <v>835</v>
      </c>
      <c r="E89" s="64" t="s">
        <v>837</v>
      </c>
      <c r="F89" s="64" t="s">
        <v>829</v>
      </c>
      <c r="G89" s="64" t="s">
        <v>829</v>
      </c>
      <c r="H89" s="64"/>
      <c r="I89" s="66" t="s">
        <v>51</v>
      </c>
      <c r="J89" s="68">
        <v>151</v>
      </c>
      <c r="K89" s="155" t="s">
        <v>356</v>
      </c>
      <c r="L89" s="155" t="s">
        <v>357</v>
      </c>
    </row>
    <row r="90" spans="1:14" ht="30" x14ac:dyDescent="0.3">
      <c r="A90" s="351"/>
      <c r="B90" s="353"/>
      <c r="C90" s="64" t="s">
        <v>829</v>
      </c>
      <c r="D90" s="65" t="s">
        <v>834</v>
      </c>
      <c r="E90" s="65" t="s">
        <v>829</v>
      </c>
      <c r="F90" s="65" t="s">
        <v>829</v>
      </c>
      <c r="G90" s="65" t="s">
        <v>829</v>
      </c>
      <c r="H90" s="65"/>
      <c r="I90" s="66" t="s">
        <v>51</v>
      </c>
      <c r="J90" s="63">
        <v>112</v>
      </c>
      <c r="K90" s="155" t="s">
        <v>485</v>
      </c>
      <c r="L90" s="84" t="s">
        <v>486</v>
      </c>
    </row>
    <row r="91" spans="1:14" ht="48.75" customHeight="1" x14ac:dyDescent="0.3">
      <c r="A91" s="350" t="s">
        <v>57</v>
      </c>
      <c r="B91" s="372" t="s">
        <v>1242</v>
      </c>
      <c r="C91" s="109" t="s">
        <v>832</v>
      </c>
      <c r="D91" s="131" t="s">
        <v>835</v>
      </c>
      <c r="E91" s="131" t="s">
        <v>834</v>
      </c>
      <c r="F91" s="131" t="s">
        <v>833</v>
      </c>
      <c r="G91" s="131" t="s">
        <v>829</v>
      </c>
      <c r="H91" s="131"/>
      <c r="I91" s="132" t="s">
        <v>57</v>
      </c>
      <c r="J91" s="133">
        <v>152</v>
      </c>
      <c r="K91" s="374" t="s">
        <v>641</v>
      </c>
      <c r="L91" s="142" t="s">
        <v>642</v>
      </c>
    </row>
    <row r="92" spans="1:14" ht="82.5" customHeight="1" x14ac:dyDescent="0.3">
      <c r="A92" s="351"/>
      <c r="B92" s="373"/>
      <c r="C92" s="109" t="s">
        <v>832</v>
      </c>
      <c r="D92" s="131" t="s">
        <v>835</v>
      </c>
      <c r="E92" s="131" t="s">
        <v>834</v>
      </c>
      <c r="F92" s="131" t="s">
        <v>833</v>
      </c>
      <c r="G92" s="131" t="s">
        <v>832</v>
      </c>
      <c r="H92" s="131"/>
      <c r="I92" s="132" t="s">
        <v>57</v>
      </c>
      <c r="J92" s="133">
        <v>152</v>
      </c>
      <c r="K92" s="375"/>
      <c r="L92" s="142" t="s">
        <v>644</v>
      </c>
    </row>
    <row r="93" spans="1:14" ht="69.75" customHeight="1" x14ac:dyDescent="0.3">
      <c r="A93" s="351"/>
      <c r="B93" s="373"/>
      <c r="C93" s="109" t="s">
        <v>832</v>
      </c>
      <c r="D93" s="131" t="s">
        <v>835</v>
      </c>
      <c r="E93" s="131" t="s">
        <v>834</v>
      </c>
      <c r="F93" s="131" t="s">
        <v>833</v>
      </c>
      <c r="G93" s="131" t="s">
        <v>830</v>
      </c>
      <c r="H93" s="131"/>
      <c r="I93" s="132" t="s">
        <v>57</v>
      </c>
      <c r="J93" s="133">
        <v>152</v>
      </c>
      <c r="K93" s="376"/>
      <c r="L93" s="132" t="s">
        <v>839</v>
      </c>
    </row>
    <row r="94" spans="1:14" ht="54" customHeight="1" x14ac:dyDescent="0.3">
      <c r="A94" s="351"/>
      <c r="B94" s="373"/>
      <c r="C94" s="109" t="s">
        <v>830</v>
      </c>
      <c r="D94" s="131" t="s">
        <v>829</v>
      </c>
      <c r="E94" s="131" t="s">
        <v>832</v>
      </c>
      <c r="F94" s="131" t="s">
        <v>830</v>
      </c>
      <c r="G94" s="131" t="s">
        <v>829</v>
      </c>
      <c r="H94" s="131"/>
      <c r="I94" s="132" t="s">
        <v>57</v>
      </c>
      <c r="J94" s="133">
        <v>152</v>
      </c>
      <c r="K94" s="142" t="s">
        <v>649</v>
      </c>
      <c r="L94" s="142" t="s">
        <v>650</v>
      </c>
    </row>
    <row r="95" spans="1:14" ht="78" customHeight="1" x14ac:dyDescent="0.3">
      <c r="A95" s="80"/>
      <c r="B95" s="141"/>
      <c r="C95" s="109" t="s">
        <v>829</v>
      </c>
      <c r="D95" s="131" t="s">
        <v>837</v>
      </c>
      <c r="E95" s="131" t="s">
        <v>829</v>
      </c>
      <c r="F95" s="131" t="s">
        <v>829</v>
      </c>
      <c r="G95" s="131" t="s">
        <v>832</v>
      </c>
      <c r="H95" s="131"/>
      <c r="I95" s="132" t="s">
        <v>48</v>
      </c>
      <c r="J95" s="133">
        <v>152</v>
      </c>
      <c r="K95" s="142" t="s">
        <v>226</v>
      </c>
      <c r="L95" s="142" t="s">
        <v>1264</v>
      </c>
      <c r="M95" s="393" t="s">
        <v>1383</v>
      </c>
      <c r="N95" s="394"/>
    </row>
    <row r="96" spans="1:14" ht="30" x14ac:dyDescent="0.3">
      <c r="A96" s="350" t="s">
        <v>56</v>
      </c>
      <c r="B96" s="370" t="s">
        <v>760</v>
      </c>
      <c r="C96" s="117" t="s">
        <v>829</v>
      </c>
      <c r="D96" s="118" t="s">
        <v>830</v>
      </c>
      <c r="E96" s="118" t="s">
        <v>833</v>
      </c>
      <c r="F96" s="118" t="s">
        <v>829</v>
      </c>
      <c r="G96" s="118" t="s">
        <v>836</v>
      </c>
      <c r="H96" s="118"/>
      <c r="I96" s="119" t="s">
        <v>56</v>
      </c>
      <c r="J96" s="120">
        <v>155</v>
      </c>
      <c r="K96" s="122" t="s">
        <v>473</v>
      </c>
      <c r="L96" s="122" t="s">
        <v>474</v>
      </c>
    </row>
    <row r="97" spans="1:18" ht="30" x14ac:dyDescent="0.3">
      <c r="A97" s="351"/>
      <c r="B97" s="371"/>
      <c r="C97" s="117" t="s">
        <v>829</v>
      </c>
      <c r="D97" s="118" t="s">
        <v>834</v>
      </c>
      <c r="E97" s="118" t="s">
        <v>829</v>
      </c>
      <c r="F97" s="118" t="s">
        <v>829</v>
      </c>
      <c r="G97" s="118" t="s">
        <v>829</v>
      </c>
      <c r="H97" s="118"/>
      <c r="I97" s="119" t="s">
        <v>56</v>
      </c>
      <c r="J97" s="120">
        <v>112</v>
      </c>
      <c r="K97" s="122" t="s">
        <v>485</v>
      </c>
      <c r="L97" s="122" t="s">
        <v>486</v>
      </c>
    </row>
    <row r="98" spans="1:18" ht="75" x14ac:dyDescent="0.3">
      <c r="A98" s="181" t="s">
        <v>49</v>
      </c>
      <c r="B98" s="157" t="s">
        <v>0</v>
      </c>
      <c r="C98" s="124" t="s">
        <v>832</v>
      </c>
      <c r="D98" s="139" t="s">
        <v>832</v>
      </c>
      <c r="E98" s="139" t="s">
        <v>835</v>
      </c>
      <c r="F98" s="139" t="s">
        <v>829</v>
      </c>
      <c r="G98" s="139" t="s">
        <v>835</v>
      </c>
      <c r="H98" s="139"/>
      <c r="I98" s="128" t="s">
        <v>49</v>
      </c>
      <c r="J98" s="129">
        <v>147</v>
      </c>
      <c r="K98" s="128" t="s">
        <v>293</v>
      </c>
      <c r="L98" s="128" t="s">
        <v>310</v>
      </c>
    </row>
    <row r="99" spans="1:18" ht="34.5" customHeight="1" x14ac:dyDescent="0.3">
      <c r="A99" s="343" t="s">
        <v>59</v>
      </c>
      <c r="B99" s="377" t="s">
        <v>1299</v>
      </c>
      <c r="C99" s="64" t="s">
        <v>832</v>
      </c>
      <c r="D99" s="65" t="s">
        <v>832</v>
      </c>
      <c r="E99" s="65" t="s">
        <v>829</v>
      </c>
      <c r="F99" s="65" t="s">
        <v>829</v>
      </c>
      <c r="G99" s="65" t="s">
        <v>970</v>
      </c>
      <c r="H99" s="65"/>
      <c r="I99" s="67" t="s">
        <v>59</v>
      </c>
      <c r="J99" s="63">
        <v>154</v>
      </c>
      <c r="K99" s="67" t="s">
        <v>1210</v>
      </c>
      <c r="L99" s="66" t="s">
        <v>206</v>
      </c>
      <c r="M99" s="397" t="s">
        <v>1298</v>
      </c>
      <c r="N99" s="398"/>
      <c r="O99" s="398"/>
      <c r="P99" s="398"/>
      <c r="Q99" s="398"/>
      <c r="R99" s="398"/>
    </row>
    <row r="100" spans="1:18" ht="45" x14ac:dyDescent="0.3">
      <c r="A100" s="343"/>
      <c r="B100" s="377"/>
      <c r="C100" s="64" t="s">
        <v>829</v>
      </c>
      <c r="D100" s="65" t="s">
        <v>837</v>
      </c>
      <c r="E100" s="65" t="s">
        <v>829</v>
      </c>
      <c r="F100" s="65" t="s">
        <v>829</v>
      </c>
      <c r="G100" s="65" t="s">
        <v>834</v>
      </c>
      <c r="H100" s="65"/>
      <c r="I100" s="67" t="s">
        <v>59</v>
      </c>
      <c r="J100" s="63">
        <v>154</v>
      </c>
      <c r="K100" s="67" t="s">
        <v>226</v>
      </c>
      <c r="L100" s="66" t="s">
        <v>227</v>
      </c>
      <c r="N100" s="200"/>
    </row>
    <row r="101" spans="1:18" ht="45" x14ac:dyDescent="0.3">
      <c r="A101" s="343"/>
      <c r="B101" s="377"/>
      <c r="C101" s="64" t="s">
        <v>830</v>
      </c>
      <c r="D101" s="65" t="s">
        <v>833</v>
      </c>
      <c r="E101" s="65" t="s">
        <v>829</v>
      </c>
      <c r="F101" s="65" t="s">
        <v>829</v>
      </c>
      <c r="G101" s="65" t="s">
        <v>970</v>
      </c>
      <c r="H101" s="65"/>
      <c r="I101" s="67" t="s">
        <v>59</v>
      </c>
      <c r="J101" s="63">
        <v>154</v>
      </c>
      <c r="K101" s="67" t="s">
        <v>230</v>
      </c>
      <c r="L101" s="66" t="s">
        <v>231</v>
      </c>
      <c r="N101" s="200"/>
    </row>
    <row r="102" spans="1:18" ht="45" x14ac:dyDescent="0.3">
      <c r="A102" s="343"/>
      <c r="B102" s="377"/>
      <c r="C102" s="159" t="s">
        <v>829</v>
      </c>
      <c r="D102" s="160" t="s">
        <v>833</v>
      </c>
      <c r="E102" s="160" t="s">
        <v>832</v>
      </c>
      <c r="F102" s="160" t="s">
        <v>835</v>
      </c>
      <c r="G102" s="160" t="s">
        <v>832</v>
      </c>
      <c r="H102" s="160"/>
      <c r="I102" s="67" t="s">
        <v>59</v>
      </c>
      <c r="J102" s="67">
        <v>154</v>
      </c>
      <c r="K102" s="66" t="s">
        <v>105</v>
      </c>
      <c r="L102" s="66" t="s">
        <v>1209</v>
      </c>
    </row>
    <row r="103" spans="1:18" ht="30" x14ac:dyDescent="0.3">
      <c r="A103" s="343" t="s">
        <v>53</v>
      </c>
      <c r="B103" s="289" t="s">
        <v>3</v>
      </c>
      <c r="C103" s="161" t="s">
        <v>829</v>
      </c>
      <c r="D103" s="162" t="s">
        <v>837</v>
      </c>
      <c r="E103" s="162" t="s">
        <v>832</v>
      </c>
      <c r="F103" s="162" t="s">
        <v>829</v>
      </c>
      <c r="G103" s="162" t="s">
        <v>836</v>
      </c>
      <c r="H103" s="162"/>
      <c r="I103" s="163" t="s">
        <v>53</v>
      </c>
      <c r="J103" s="90">
        <v>105</v>
      </c>
      <c r="K103" s="347" t="s">
        <v>593</v>
      </c>
      <c r="L103" s="163" t="s">
        <v>594</v>
      </c>
    </row>
    <row r="104" spans="1:18" ht="45" x14ac:dyDescent="0.3">
      <c r="A104" s="343"/>
      <c r="B104" s="289"/>
      <c r="C104" s="161" t="s">
        <v>829</v>
      </c>
      <c r="D104" s="162" t="s">
        <v>837</v>
      </c>
      <c r="E104" s="162" t="s">
        <v>832</v>
      </c>
      <c r="F104" s="162" t="s">
        <v>829</v>
      </c>
      <c r="G104" s="162" t="s">
        <v>833</v>
      </c>
      <c r="H104" s="162"/>
      <c r="I104" s="163" t="s">
        <v>53</v>
      </c>
      <c r="J104" s="90">
        <v>105</v>
      </c>
      <c r="K104" s="347"/>
      <c r="L104" s="163" t="s">
        <v>601</v>
      </c>
    </row>
    <row r="105" spans="1:18" ht="30" x14ac:dyDescent="0.3">
      <c r="A105" s="343"/>
      <c r="B105" s="289"/>
      <c r="C105" s="161" t="s">
        <v>829</v>
      </c>
      <c r="D105" s="162" t="s">
        <v>837</v>
      </c>
      <c r="E105" s="162" t="s">
        <v>832</v>
      </c>
      <c r="F105" s="162" t="s">
        <v>829</v>
      </c>
      <c r="G105" s="162" t="s">
        <v>835</v>
      </c>
      <c r="H105" s="162"/>
      <c r="I105" s="163" t="s">
        <v>53</v>
      </c>
      <c r="J105" s="90">
        <v>105</v>
      </c>
      <c r="K105" s="347"/>
      <c r="L105" s="163" t="s">
        <v>608</v>
      </c>
    </row>
    <row r="106" spans="1:18" ht="30" x14ac:dyDescent="0.3">
      <c r="A106" s="343"/>
      <c r="B106" s="289"/>
      <c r="C106" s="161" t="s">
        <v>829</v>
      </c>
      <c r="D106" s="162" t="s">
        <v>837</v>
      </c>
      <c r="E106" s="162" t="s">
        <v>832</v>
      </c>
      <c r="F106" s="162" t="s">
        <v>829</v>
      </c>
      <c r="G106" s="162" t="s">
        <v>829</v>
      </c>
      <c r="H106" s="162"/>
      <c r="I106" s="163" t="s">
        <v>53</v>
      </c>
      <c r="J106" s="90">
        <v>105</v>
      </c>
      <c r="K106" s="347"/>
      <c r="L106" s="163" t="s">
        <v>840</v>
      </c>
    </row>
    <row r="107" spans="1:18" ht="31.5" customHeight="1" x14ac:dyDescent="0.3">
      <c r="A107" s="343"/>
      <c r="B107" s="289"/>
      <c r="C107" s="161" t="s">
        <v>829</v>
      </c>
      <c r="D107" s="162" t="s">
        <v>837</v>
      </c>
      <c r="E107" s="162" t="s">
        <v>832</v>
      </c>
      <c r="F107" s="162" t="s">
        <v>829</v>
      </c>
      <c r="G107" s="162" t="s">
        <v>830</v>
      </c>
      <c r="H107" s="162"/>
      <c r="I107" s="163" t="s">
        <v>53</v>
      </c>
      <c r="J107" s="90">
        <v>105</v>
      </c>
      <c r="K107" s="347"/>
      <c r="L107" s="164" t="s">
        <v>620</v>
      </c>
    </row>
    <row r="108" spans="1:18" ht="45" x14ac:dyDescent="0.3">
      <c r="A108" s="343"/>
      <c r="B108" s="289"/>
      <c r="C108" s="161" t="s">
        <v>829</v>
      </c>
      <c r="D108" s="162" t="s">
        <v>837</v>
      </c>
      <c r="E108" s="162" t="s">
        <v>832</v>
      </c>
      <c r="F108" s="162" t="s">
        <v>829</v>
      </c>
      <c r="G108" s="162" t="s">
        <v>832</v>
      </c>
      <c r="H108" s="162"/>
      <c r="I108" s="163" t="s">
        <v>53</v>
      </c>
      <c r="J108" s="90">
        <v>106</v>
      </c>
      <c r="K108" s="347"/>
      <c r="L108" s="163" t="s">
        <v>624</v>
      </c>
    </row>
    <row r="109" spans="1:18" ht="30" x14ac:dyDescent="0.3">
      <c r="A109" s="343"/>
      <c r="B109" s="289"/>
      <c r="C109" s="161" t="s">
        <v>830</v>
      </c>
      <c r="D109" s="165" t="s">
        <v>832</v>
      </c>
      <c r="E109" s="165" t="s">
        <v>832</v>
      </c>
      <c r="F109" s="165" t="s">
        <v>829</v>
      </c>
      <c r="G109" s="165" t="s">
        <v>833</v>
      </c>
      <c r="H109" s="165"/>
      <c r="I109" s="163" t="s">
        <v>53</v>
      </c>
      <c r="J109" s="90">
        <v>106</v>
      </c>
      <c r="K109" s="163" t="s">
        <v>268</v>
      </c>
      <c r="L109" s="163" t="s">
        <v>632</v>
      </c>
    </row>
    <row r="110" spans="1:18" ht="30" x14ac:dyDescent="0.3">
      <c r="A110" s="343" t="s">
        <v>49</v>
      </c>
      <c r="B110" s="362" t="s">
        <v>6</v>
      </c>
      <c r="C110" s="124" t="s">
        <v>832</v>
      </c>
      <c r="D110" s="124" t="s">
        <v>832</v>
      </c>
      <c r="E110" s="124" t="s">
        <v>829</v>
      </c>
      <c r="F110" s="124" t="s">
        <v>829</v>
      </c>
      <c r="G110" s="124" t="s">
        <v>969</v>
      </c>
      <c r="H110" s="124"/>
      <c r="I110" s="125" t="s">
        <v>49</v>
      </c>
      <c r="J110" s="126">
        <v>125</v>
      </c>
      <c r="K110" s="128" t="s">
        <v>1210</v>
      </c>
      <c r="L110" s="128" t="s">
        <v>1211</v>
      </c>
    </row>
    <row r="111" spans="1:18" ht="30" x14ac:dyDescent="0.3">
      <c r="A111" s="343"/>
      <c r="B111" s="362"/>
      <c r="C111" s="124" t="s">
        <v>832</v>
      </c>
      <c r="D111" s="124" t="s">
        <v>829</v>
      </c>
      <c r="E111" s="124" t="s">
        <v>829</v>
      </c>
      <c r="F111" s="124" t="s">
        <v>829</v>
      </c>
      <c r="G111" s="124" t="s">
        <v>829</v>
      </c>
      <c r="H111" s="124"/>
      <c r="I111" s="125" t="s">
        <v>49</v>
      </c>
      <c r="J111" s="126">
        <v>125</v>
      </c>
      <c r="K111" s="359" t="s">
        <v>280</v>
      </c>
      <c r="L111" s="128" t="s">
        <v>1212</v>
      </c>
    </row>
    <row r="112" spans="1:18" ht="45" x14ac:dyDescent="0.3">
      <c r="A112" s="343"/>
      <c r="B112" s="362"/>
      <c r="C112" s="124" t="s">
        <v>832</v>
      </c>
      <c r="D112" s="124" t="s">
        <v>829</v>
      </c>
      <c r="E112" s="124" t="s">
        <v>829</v>
      </c>
      <c r="F112" s="124" t="s">
        <v>829</v>
      </c>
      <c r="G112" s="124" t="s">
        <v>832</v>
      </c>
      <c r="H112" s="124"/>
      <c r="I112" s="125" t="s">
        <v>49</v>
      </c>
      <c r="J112" s="126">
        <v>126</v>
      </c>
      <c r="K112" s="359"/>
      <c r="L112" s="128" t="s">
        <v>287</v>
      </c>
    </row>
    <row r="113" spans="1:13" ht="70.5" customHeight="1" x14ac:dyDescent="0.3">
      <c r="A113" s="343"/>
      <c r="B113" s="362"/>
      <c r="C113" s="124" t="s">
        <v>830</v>
      </c>
      <c r="D113" s="124" t="s">
        <v>830</v>
      </c>
      <c r="E113" s="124" t="s">
        <v>833</v>
      </c>
      <c r="F113" s="124" t="s">
        <v>829</v>
      </c>
      <c r="G113" s="124" t="s">
        <v>829</v>
      </c>
      <c r="H113" s="124"/>
      <c r="I113" s="125" t="s">
        <v>49</v>
      </c>
      <c r="J113" s="126">
        <v>127</v>
      </c>
      <c r="K113" s="356" t="s">
        <v>1213</v>
      </c>
      <c r="L113" s="128" t="s">
        <v>1214</v>
      </c>
    </row>
    <row r="114" spans="1:13" ht="44.25" customHeight="1" x14ac:dyDescent="0.3">
      <c r="A114" s="343"/>
      <c r="B114" s="362"/>
      <c r="C114" s="124" t="s">
        <v>830</v>
      </c>
      <c r="D114" s="124" t="s">
        <v>830</v>
      </c>
      <c r="E114" s="124" t="s">
        <v>833</v>
      </c>
      <c r="F114" s="124" t="s">
        <v>829</v>
      </c>
      <c r="G114" s="124" t="s">
        <v>830</v>
      </c>
      <c r="H114" s="124"/>
      <c r="I114" s="125" t="s">
        <v>49</v>
      </c>
      <c r="J114" s="126">
        <v>127</v>
      </c>
      <c r="K114" s="357"/>
      <c r="L114" s="128" t="s">
        <v>306</v>
      </c>
    </row>
    <row r="115" spans="1:13" ht="44.25" customHeight="1" x14ac:dyDescent="0.3">
      <c r="A115" s="343"/>
      <c r="B115" s="362"/>
      <c r="C115" s="124" t="s">
        <v>830</v>
      </c>
      <c r="D115" s="124" t="s">
        <v>830</v>
      </c>
      <c r="E115" s="124" t="s">
        <v>833</v>
      </c>
      <c r="F115" s="124" t="s">
        <v>829</v>
      </c>
      <c r="G115" s="124" t="s">
        <v>836</v>
      </c>
      <c r="H115" s="124"/>
      <c r="I115" s="125" t="s">
        <v>49</v>
      </c>
      <c r="J115" s="126">
        <v>127</v>
      </c>
      <c r="K115" s="358"/>
      <c r="L115" s="128" t="s">
        <v>842</v>
      </c>
    </row>
    <row r="116" spans="1:13" ht="31.5" customHeight="1" x14ac:dyDescent="0.3">
      <c r="A116" s="343"/>
      <c r="B116" s="362"/>
      <c r="C116" s="124" t="s">
        <v>832</v>
      </c>
      <c r="D116" s="124" t="s">
        <v>832</v>
      </c>
      <c r="E116" s="124" t="s">
        <v>835</v>
      </c>
      <c r="F116" s="124" t="s">
        <v>829</v>
      </c>
      <c r="G116" s="124" t="s">
        <v>830</v>
      </c>
      <c r="H116" s="124"/>
      <c r="I116" s="125" t="s">
        <v>49</v>
      </c>
      <c r="J116" s="126">
        <v>128</v>
      </c>
      <c r="K116" s="359" t="s">
        <v>293</v>
      </c>
      <c r="L116" s="128" t="s">
        <v>294</v>
      </c>
    </row>
    <row r="117" spans="1:13" ht="60" x14ac:dyDescent="0.3">
      <c r="A117" s="343"/>
      <c r="B117" s="362"/>
      <c r="C117" s="124" t="s">
        <v>832</v>
      </c>
      <c r="D117" s="124" t="s">
        <v>832</v>
      </c>
      <c r="E117" s="124" t="s">
        <v>835</v>
      </c>
      <c r="F117" s="124" t="s">
        <v>829</v>
      </c>
      <c r="G117" s="124" t="s">
        <v>836</v>
      </c>
      <c r="H117" s="124"/>
      <c r="I117" s="125" t="s">
        <v>49</v>
      </c>
      <c r="J117" s="126">
        <v>145</v>
      </c>
      <c r="K117" s="359"/>
      <c r="L117" s="128" t="s">
        <v>1215</v>
      </c>
    </row>
    <row r="118" spans="1:13" ht="45" x14ac:dyDescent="0.3">
      <c r="A118" s="343" t="s">
        <v>48</v>
      </c>
      <c r="B118" s="360" t="s">
        <v>705</v>
      </c>
      <c r="C118" s="150" t="s">
        <v>829</v>
      </c>
      <c r="D118" s="153" t="s">
        <v>837</v>
      </c>
      <c r="E118" s="153" t="s">
        <v>829</v>
      </c>
      <c r="F118" s="153" t="s">
        <v>829</v>
      </c>
      <c r="G118" s="153" t="s">
        <v>829</v>
      </c>
      <c r="H118" s="153"/>
      <c r="I118" s="151" t="s">
        <v>48</v>
      </c>
      <c r="J118" s="154">
        <v>104</v>
      </c>
      <c r="K118" s="361" t="s">
        <v>226</v>
      </c>
      <c r="L118" s="151" t="s">
        <v>592</v>
      </c>
    </row>
    <row r="119" spans="1:13" ht="51.75" customHeight="1" x14ac:dyDescent="0.3">
      <c r="A119" s="343"/>
      <c r="B119" s="360"/>
      <c r="C119" s="150" t="s">
        <v>829</v>
      </c>
      <c r="D119" s="153" t="s">
        <v>837</v>
      </c>
      <c r="E119" s="153" t="s">
        <v>829</v>
      </c>
      <c r="F119" s="153" t="s">
        <v>829</v>
      </c>
      <c r="G119" s="153" t="s">
        <v>832</v>
      </c>
      <c r="H119" s="153"/>
      <c r="I119" s="151" t="s">
        <v>48</v>
      </c>
      <c r="J119" s="154">
        <v>104</v>
      </c>
      <c r="K119" s="361"/>
      <c r="L119" s="152" t="s">
        <v>589</v>
      </c>
    </row>
    <row r="120" spans="1:13" ht="34.5" customHeight="1" x14ac:dyDescent="0.3">
      <c r="A120" s="343"/>
      <c r="B120" s="360"/>
      <c r="C120" s="150" t="s">
        <v>829</v>
      </c>
      <c r="D120" s="153" t="s">
        <v>837</v>
      </c>
      <c r="E120" s="153" t="s">
        <v>829</v>
      </c>
      <c r="F120" s="153" t="s">
        <v>829</v>
      </c>
      <c r="G120" s="153" t="s">
        <v>830</v>
      </c>
      <c r="H120" s="153"/>
      <c r="I120" s="151" t="s">
        <v>48</v>
      </c>
      <c r="J120" s="154">
        <v>104</v>
      </c>
      <c r="K120" s="361"/>
      <c r="L120" s="152" t="s">
        <v>844</v>
      </c>
    </row>
    <row r="121" spans="1:13" ht="45" x14ac:dyDescent="0.3">
      <c r="A121" s="343"/>
      <c r="B121" s="360"/>
      <c r="C121" s="150" t="s">
        <v>829</v>
      </c>
      <c r="D121" s="153" t="s">
        <v>837</v>
      </c>
      <c r="E121" s="153" t="s">
        <v>829</v>
      </c>
      <c r="F121" s="153" t="s">
        <v>829</v>
      </c>
      <c r="G121" s="153" t="s">
        <v>833</v>
      </c>
      <c r="H121" s="153"/>
      <c r="I121" s="151" t="s">
        <v>48</v>
      </c>
      <c r="J121" s="154">
        <v>104</v>
      </c>
      <c r="K121" s="361"/>
      <c r="L121" s="151" t="s">
        <v>843</v>
      </c>
    </row>
    <row r="122" spans="1:13" ht="45" x14ac:dyDescent="0.3">
      <c r="A122" s="343"/>
      <c r="B122" s="360"/>
      <c r="C122" s="150" t="s">
        <v>829</v>
      </c>
      <c r="D122" s="153" t="s">
        <v>837</v>
      </c>
      <c r="E122" s="153" t="s">
        <v>829</v>
      </c>
      <c r="F122" s="153" t="s">
        <v>829</v>
      </c>
      <c r="G122" s="153" t="s">
        <v>834</v>
      </c>
      <c r="H122" s="153"/>
      <c r="I122" s="151" t="s">
        <v>48</v>
      </c>
      <c r="J122" s="154">
        <v>158</v>
      </c>
      <c r="K122" s="361"/>
      <c r="L122" s="151" t="s">
        <v>563</v>
      </c>
    </row>
    <row r="123" spans="1:13" ht="45" x14ac:dyDescent="0.3">
      <c r="A123" s="343"/>
      <c r="B123" s="360"/>
      <c r="C123" s="150" t="s">
        <v>829</v>
      </c>
      <c r="D123" s="153" t="s">
        <v>837</v>
      </c>
      <c r="E123" s="153" t="s">
        <v>836</v>
      </c>
      <c r="F123" s="153" t="s">
        <v>829</v>
      </c>
      <c r="G123" s="153" t="s">
        <v>829</v>
      </c>
      <c r="H123" s="153"/>
      <c r="I123" s="151" t="s">
        <v>48</v>
      </c>
      <c r="J123" s="154">
        <v>104</v>
      </c>
      <c r="K123" s="151" t="s">
        <v>557</v>
      </c>
      <c r="L123" s="151" t="s">
        <v>845</v>
      </c>
    </row>
    <row r="124" spans="1:13" ht="24" customHeight="1" x14ac:dyDescent="0.3">
      <c r="A124" s="350" t="s">
        <v>62</v>
      </c>
      <c r="B124" s="366" t="s">
        <v>706</v>
      </c>
      <c r="C124" s="134" t="s">
        <v>832</v>
      </c>
      <c r="D124" s="134" t="s">
        <v>830</v>
      </c>
      <c r="E124" s="134" t="s">
        <v>829</v>
      </c>
      <c r="F124" s="134" t="s">
        <v>829</v>
      </c>
      <c r="G124" s="134" t="s">
        <v>834</v>
      </c>
      <c r="H124" s="134"/>
      <c r="I124" s="166" t="s">
        <v>62</v>
      </c>
      <c r="J124" s="166">
        <v>153</v>
      </c>
      <c r="K124" s="113" t="s">
        <v>745</v>
      </c>
      <c r="L124" s="137" t="s">
        <v>744</v>
      </c>
    </row>
    <row r="125" spans="1:13" ht="45" x14ac:dyDescent="0.3">
      <c r="A125" s="351"/>
      <c r="B125" s="367"/>
      <c r="C125" s="134" t="s">
        <v>832</v>
      </c>
      <c r="D125" s="134" t="s">
        <v>830</v>
      </c>
      <c r="E125" s="134" t="s">
        <v>832</v>
      </c>
      <c r="F125" s="134" t="s">
        <v>829</v>
      </c>
      <c r="G125" s="134" t="s">
        <v>1134</v>
      </c>
      <c r="H125" s="134"/>
      <c r="I125" s="166" t="s">
        <v>62</v>
      </c>
      <c r="J125" s="166">
        <v>153</v>
      </c>
      <c r="K125" s="137" t="s">
        <v>1136</v>
      </c>
      <c r="L125" s="167" t="s">
        <v>1135</v>
      </c>
    </row>
    <row r="126" spans="1:13" ht="34.5" customHeight="1" x14ac:dyDescent="0.3">
      <c r="A126" s="351"/>
      <c r="B126" s="367"/>
      <c r="C126" s="134" t="s">
        <v>832</v>
      </c>
      <c r="D126" s="134" t="s">
        <v>829</v>
      </c>
      <c r="E126" s="134" t="s">
        <v>833</v>
      </c>
      <c r="F126" s="134" t="s">
        <v>832</v>
      </c>
      <c r="G126" s="134" t="s">
        <v>829</v>
      </c>
      <c r="H126" s="134"/>
      <c r="I126" s="166" t="s">
        <v>62</v>
      </c>
      <c r="J126" s="166">
        <v>129</v>
      </c>
      <c r="K126" s="364" t="s">
        <v>964</v>
      </c>
      <c r="L126" s="137" t="s">
        <v>965</v>
      </c>
      <c r="M126" s="158"/>
    </row>
    <row r="127" spans="1:13" x14ac:dyDescent="0.3">
      <c r="A127" s="351"/>
      <c r="B127" s="367"/>
      <c r="C127" s="134" t="s">
        <v>832</v>
      </c>
      <c r="D127" s="134" t="s">
        <v>829</v>
      </c>
      <c r="E127" s="134" t="s">
        <v>833</v>
      </c>
      <c r="F127" s="134" t="s">
        <v>832</v>
      </c>
      <c r="G127" s="134" t="s">
        <v>832</v>
      </c>
      <c r="H127" s="134"/>
      <c r="I127" s="166" t="s">
        <v>62</v>
      </c>
      <c r="J127" s="166">
        <v>129</v>
      </c>
      <c r="K127" s="365"/>
      <c r="L127" s="113" t="s">
        <v>1157</v>
      </c>
      <c r="M127" s="158"/>
    </row>
    <row r="128" spans="1:13" ht="34.5" customHeight="1" x14ac:dyDescent="0.3">
      <c r="A128" s="351"/>
      <c r="B128" s="367"/>
      <c r="C128" s="134" t="s">
        <v>832</v>
      </c>
      <c r="D128" s="134" t="s">
        <v>829</v>
      </c>
      <c r="E128" s="134" t="s">
        <v>833</v>
      </c>
      <c r="F128" s="134" t="s">
        <v>832</v>
      </c>
      <c r="G128" s="134" t="s">
        <v>830</v>
      </c>
      <c r="H128" s="134"/>
      <c r="I128" s="166" t="s">
        <v>62</v>
      </c>
      <c r="J128" s="166">
        <v>129</v>
      </c>
      <c r="K128" s="365"/>
      <c r="L128" s="137" t="s">
        <v>966</v>
      </c>
      <c r="M128" s="158"/>
    </row>
    <row r="129" spans="1:12" ht="49.5" customHeight="1" x14ac:dyDescent="0.3">
      <c r="A129" s="351"/>
      <c r="B129" s="367"/>
      <c r="C129" s="134" t="s">
        <v>832</v>
      </c>
      <c r="D129" s="134" t="s">
        <v>835</v>
      </c>
      <c r="E129" s="134" t="s">
        <v>834</v>
      </c>
      <c r="F129" s="134" t="s">
        <v>833</v>
      </c>
      <c r="G129" s="134" t="s">
        <v>832</v>
      </c>
      <c r="H129" s="134"/>
      <c r="I129" s="166" t="s">
        <v>62</v>
      </c>
      <c r="J129" s="166">
        <v>153</v>
      </c>
      <c r="K129" s="364" t="s">
        <v>847</v>
      </c>
      <c r="L129" s="138" t="s">
        <v>848</v>
      </c>
    </row>
    <row r="130" spans="1:12" ht="30" x14ac:dyDescent="0.3">
      <c r="A130" s="351"/>
      <c r="B130" s="367"/>
      <c r="C130" s="134" t="s">
        <v>832</v>
      </c>
      <c r="D130" s="134" t="s">
        <v>835</v>
      </c>
      <c r="E130" s="134" t="s">
        <v>834</v>
      </c>
      <c r="F130" s="134" t="s">
        <v>833</v>
      </c>
      <c r="G130" s="134" t="s">
        <v>830</v>
      </c>
      <c r="H130" s="134"/>
      <c r="I130" s="166" t="s">
        <v>62</v>
      </c>
      <c r="J130" s="166">
        <v>153</v>
      </c>
      <c r="K130" s="365"/>
      <c r="L130" s="138" t="s">
        <v>849</v>
      </c>
    </row>
    <row r="131" spans="1:12" ht="30" x14ac:dyDescent="0.3">
      <c r="A131" s="351"/>
      <c r="B131" s="367"/>
      <c r="C131" s="134" t="s">
        <v>832</v>
      </c>
      <c r="D131" s="134" t="s">
        <v>835</v>
      </c>
      <c r="E131" s="134" t="s">
        <v>834</v>
      </c>
      <c r="F131" s="134" t="s">
        <v>833</v>
      </c>
      <c r="G131" s="134" t="s">
        <v>836</v>
      </c>
      <c r="H131" s="134"/>
      <c r="I131" s="166" t="s">
        <v>62</v>
      </c>
      <c r="J131" s="166">
        <v>153</v>
      </c>
      <c r="K131" s="365"/>
      <c r="L131" s="137" t="s">
        <v>328</v>
      </c>
    </row>
    <row r="132" spans="1:12" ht="30" x14ac:dyDescent="0.3">
      <c r="A132" s="343" t="s">
        <v>58</v>
      </c>
      <c r="B132" s="289" t="s">
        <v>1</v>
      </c>
      <c r="C132" s="161" t="s">
        <v>832</v>
      </c>
      <c r="D132" s="161" t="s">
        <v>835</v>
      </c>
      <c r="E132" s="161" t="s">
        <v>834</v>
      </c>
      <c r="F132" s="161" t="s">
        <v>835</v>
      </c>
      <c r="G132" s="161" t="s">
        <v>832</v>
      </c>
      <c r="H132" s="161"/>
      <c r="I132" s="168" t="s">
        <v>58</v>
      </c>
      <c r="J132" s="169">
        <v>143</v>
      </c>
      <c r="K132" s="363" t="s">
        <v>847</v>
      </c>
      <c r="L132" s="168" t="s">
        <v>848</v>
      </c>
    </row>
    <row r="133" spans="1:12" ht="30" x14ac:dyDescent="0.3">
      <c r="A133" s="343"/>
      <c r="B133" s="289"/>
      <c r="C133" s="161" t="s">
        <v>832</v>
      </c>
      <c r="D133" s="161" t="s">
        <v>835</v>
      </c>
      <c r="E133" s="161" t="s">
        <v>834</v>
      </c>
      <c r="F133" s="161" t="s">
        <v>835</v>
      </c>
      <c r="G133" s="161" t="s">
        <v>830</v>
      </c>
      <c r="H133" s="161"/>
      <c r="I133" s="168" t="s">
        <v>58</v>
      </c>
      <c r="J133" s="169">
        <v>143</v>
      </c>
      <c r="K133" s="363"/>
      <c r="L133" s="168" t="s">
        <v>849</v>
      </c>
    </row>
    <row r="134" spans="1:12" ht="30" x14ac:dyDescent="0.3">
      <c r="A134" s="343"/>
      <c r="B134" s="289"/>
      <c r="C134" s="161" t="s">
        <v>832</v>
      </c>
      <c r="D134" s="161" t="s">
        <v>835</v>
      </c>
      <c r="E134" s="161" t="s">
        <v>834</v>
      </c>
      <c r="F134" s="161" t="s">
        <v>835</v>
      </c>
      <c r="G134" s="161" t="s">
        <v>836</v>
      </c>
      <c r="H134" s="161"/>
      <c r="I134" s="168" t="s">
        <v>58</v>
      </c>
      <c r="J134" s="169">
        <v>143</v>
      </c>
      <c r="K134" s="363"/>
      <c r="L134" s="168" t="s">
        <v>328</v>
      </c>
    </row>
    <row r="135" spans="1:12" ht="45" x14ac:dyDescent="0.3">
      <c r="A135" s="343" t="s">
        <v>52</v>
      </c>
      <c r="B135" s="368" t="s">
        <v>707</v>
      </c>
      <c r="C135" s="114" t="s">
        <v>829</v>
      </c>
      <c r="D135" s="143" t="s">
        <v>830</v>
      </c>
      <c r="E135" s="143" t="s">
        <v>830</v>
      </c>
      <c r="F135" s="143" t="s">
        <v>829</v>
      </c>
      <c r="G135" s="143" t="s">
        <v>829</v>
      </c>
      <c r="H135" s="143"/>
      <c r="I135" s="144" t="s">
        <v>52</v>
      </c>
      <c r="J135" s="106">
        <v>150</v>
      </c>
      <c r="K135" s="144" t="s">
        <v>540</v>
      </c>
      <c r="L135" s="144" t="s">
        <v>846</v>
      </c>
    </row>
    <row r="136" spans="1:12" ht="45" x14ac:dyDescent="0.3">
      <c r="A136" s="343"/>
      <c r="B136" s="368"/>
      <c r="C136" s="114" t="s">
        <v>832</v>
      </c>
      <c r="D136" s="143" t="s">
        <v>836</v>
      </c>
      <c r="E136" s="143" t="s">
        <v>832</v>
      </c>
      <c r="F136" s="143" t="s">
        <v>829</v>
      </c>
      <c r="G136" s="143" t="s">
        <v>829</v>
      </c>
      <c r="H136" s="143"/>
      <c r="I136" s="144" t="s">
        <v>52</v>
      </c>
      <c r="J136" s="106">
        <v>150</v>
      </c>
      <c r="K136" s="144" t="s">
        <v>542</v>
      </c>
      <c r="L136" s="144" t="s">
        <v>1216</v>
      </c>
    </row>
    <row r="137" spans="1:12" ht="17.25" customHeight="1" x14ac:dyDescent="0.3">
      <c r="A137" s="350" t="s">
        <v>23</v>
      </c>
      <c r="B137" s="344" t="s">
        <v>960</v>
      </c>
      <c r="C137" s="117" t="s">
        <v>829</v>
      </c>
      <c r="D137" s="117" t="s">
        <v>833</v>
      </c>
      <c r="E137" s="117" t="s">
        <v>832</v>
      </c>
      <c r="F137" s="117" t="s">
        <v>835</v>
      </c>
      <c r="G137" s="117" t="s">
        <v>832</v>
      </c>
      <c r="H137" s="117"/>
      <c r="I137" s="170" t="s">
        <v>23</v>
      </c>
      <c r="J137" s="170">
        <v>101</v>
      </c>
      <c r="K137" s="340" t="s">
        <v>164</v>
      </c>
      <c r="L137" s="119" t="s">
        <v>1219</v>
      </c>
    </row>
    <row r="138" spans="1:12" x14ac:dyDescent="0.3">
      <c r="A138" s="351"/>
      <c r="B138" s="344"/>
      <c r="C138" s="117" t="s">
        <v>829</v>
      </c>
      <c r="D138" s="117" t="s">
        <v>833</v>
      </c>
      <c r="E138" s="117" t="s">
        <v>832</v>
      </c>
      <c r="F138" s="117" t="s">
        <v>835</v>
      </c>
      <c r="G138" s="117" t="s">
        <v>831</v>
      </c>
      <c r="H138" s="117"/>
      <c r="I138" s="170" t="s">
        <v>23</v>
      </c>
      <c r="J138" s="170">
        <v>101</v>
      </c>
      <c r="K138" s="341"/>
      <c r="L138" s="122" t="s">
        <v>652</v>
      </c>
    </row>
    <row r="139" spans="1:12" ht="30" x14ac:dyDescent="0.3">
      <c r="A139" s="351"/>
      <c r="B139" s="344"/>
      <c r="C139" s="117" t="s">
        <v>829</v>
      </c>
      <c r="D139" s="117" t="s">
        <v>833</v>
      </c>
      <c r="E139" s="117" t="s">
        <v>832</v>
      </c>
      <c r="F139" s="117" t="s">
        <v>833</v>
      </c>
      <c r="G139" s="117" t="s">
        <v>834</v>
      </c>
      <c r="H139" s="117"/>
      <c r="I139" s="170" t="s">
        <v>23</v>
      </c>
      <c r="J139" s="170">
        <v>101</v>
      </c>
      <c r="K139" s="119" t="s">
        <v>407</v>
      </c>
      <c r="L139" s="119" t="s">
        <v>659</v>
      </c>
    </row>
    <row r="140" spans="1:12" x14ac:dyDescent="0.3">
      <c r="A140" s="351"/>
      <c r="B140" s="344"/>
      <c r="C140" s="117" t="s">
        <v>829</v>
      </c>
      <c r="D140" s="117" t="s">
        <v>834</v>
      </c>
      <c r="E140" s="117" t="s">
        <v>836</v>
      </c>
      <c r="F140" s="117" t="s">
        <v>829</v>
      </c>
      <c r="G140" s="117" t="s">
        <v>829</v>
      </c>
      <c r="H140" s="117"/>
      <c r="I140" s="170" t="s">
        <v>23</v>
      </c>
      <c r="J140" s="170">
        <v>122</v>
      </c>
      <c r="K140" s="340" t="s">
        <v>669</v>
      </c>
      <c r="L140" s="340" t="s">
        <v>670</v>
      </c>
    </row>
    <row r="141" spans="1:12" ht="51.75" customHeight="1" x14ac:dyDescent="0.3">
      <c r="A141" s="351"/>
      <c r="B141" s="344"/>
      <c r="C141" s="117" t="s">
        <v>829</v>
      </c>
      <c r="D141" s="117" t="s">
        <v>834</v>
      </c>
      <c r="E141" s="117" t="s">
        <v>836</v>
      </c>
      <c r="F141" s="117" t="s">
        <v>829</v>
      </c>
      <c r="G141" s="117" t="s">
        <v>829</v>
      </c>
      <c r="H141" s="117"/>
      <c r="I141" s="170" t="s">
        <v>23</v>
      </c>
      <c r="J141" s="170">
        <v>122</v>
      </c>
      <c r="K141" s="341"/>
      <c r="L141" s="341"/>
    </row>
    <row r="142" spans="1:12" x14ac:dyDescent="0.3">
      <c r="A142" s="351"/>
      <c r="B142" s="344"/>
      <c r="C142" s="342" t="s">
        <v>829</v>
      </c>
      <c r="D142" s="342" t="s">
        <v>834</v>
      </c>
      <c r="E142" s="342" t="s">
        <v>829</v>
      </c>
      <c r="F142" s="342" t="s">
        <v>829</v>
      </c>
      <c r="G142" s="342" t="s">
        <v>829</v>
      </c>
      <c r="H142" s="337"/>
      <c r="I142" s="348" t="s">
        <v>23</v>
      </c>
      <c r="J142" s="348">
        <v>155</v>
      </c>
      <c r="K142" s="349" t="s">
        <v>485</v>
      </c>
      <c r="L142" s="349" t="s">
        <v>486</v>
      </c>
    </row>
    <row r="143" spans="1:12" x14ac:dyDescent="0.3">
      <c r="A143" s="351"/>
      <c r="B143" s="344"/>
      <c r="C143" s="342"/>
      <c r="D143" s="342"/>
      <c r="E143" s="342"/>
      <c r="F143" s="342"/>
      <c r="G143" s="342"/>
      <c r="H143" s="338"/>
      <c r="I143" s="348"/>
      <c r="J143" s="348"/>
      <c r="K143" s="349"/>
      <c r="L143" s="349"/>
    </row>
    <row r="144" spans="1:12" x14ac:dyDescent="0.3">
      <c r="A144" s="351"/>
      <c r="B144" s="344"/>
      <c r="C144" s="342"/>
      <c r="D144" s="342"/>
      <c r="E144" s="342"/>
      <c r="F144" s="342"/>
      <c r="G144" s="342"/>
      <c r="H144" s="338"/>
      <c r="I144" s="348"/>
      <c r="J144" s="348"/>
      <c r="K144" s="349"/>
      <c r="L144" s="349"/>
    </row>
    <row r="145" spans="1:16" x14ac:dyDescent="0.3">
      <c r="A145" s="369"/>
      <c r="B145" s="344"/>
      <c r="C145" s="342"/>
      <c r="D145" s="342"/>
      <c r="E145" s="342"/>
      <c r="F145" s="342"/>
      <c r="G145" s="342"/>
      <c r="H145" s="339"/>
      <c r="I145" s="348"/>
      <c r="J145" s="348"/>
      <c r="K145" s="349"/>
      <c r="L145" s="349"/>
    </row>
    <row r="146" spans="1:16" x14ac:dyDescent="0.3">
      <c r="A146" s="350" t="s">
        <v>23</v>
      </c>
      <c r="B146" s="352" t="s">
        <v>716</v>
      </c>
      <c r="C146" s="159" t="s">
        <v>829</v>
      </c>
      <c r="D146" s="64" t="s">
        <v>830</v>
      </c>
      <c r="E146" s="64" t="s">
        <v>829</v>
      </c>
      <c r="F146" s="64" t="s">
        <v>829</v>
      </c>
      <c r="G146" s="64" t="s">
        <v>829</v>
      </c>
      <c r="H146" s="64"/>
      <c r="I146" s="66" t="s">
        <v>23</v>
      </c>
      <c r="J146" s="68">
        <v>100</v>
      </c>
      <c r="K146" s="354" t="s">
        <v>850</v>
      </c>
      <c r="L146" s="171" t="s">
        <v>77</v>
      </c>
    </row>
    <row r="147" spans="1:16" ht="30" x14ac:dyDescent="0.3">
      <c r="A147" s="351"/>
      <c r="B147" s="353"/>
      <c r="C147" s="159" t="s">
        <v>829</v>
      </c>
      <c r="D147" s="64" t="s">
        <v>830</v>
      </c>
      <c r="E147" s="64" t="s">
        <v>829</v>
      </c>
      <c r="F147" s="64" t="s">
        <v>829</v>
      </c>
      <c r="G147" s="64" t="s">
        <v>830</v>
      </c>
      <c r="H147" s="64"/>
      <c r="I147" s="66" t="s">
        <v>23</v>
      </c>
      <c r="J147" s="68">
        <v>100</v>
      </c>
      <c r="K147" s="355"/>
      <c r="L147" s="155" t="s">
        <v>761</v>
      </c>
    </row>
    <row r="148" spans="1:16" ht="34.5" customHeight="1" x14ac:dyDescent="0.3">
      <c r="A148" s="181" t="s">
        <v>23</v>
      </c>
      <c r="B148" s="123" t="s">
        <v>710</v>
      </c>
      <c r="C148" s="172" t="s">
        <v>829</v>
      </c>
      <c r="D148" s="173" t="s">
        <v>834</v>
      </c>
      <c r="E148" s="124" t="s">
        <v>830</v>
      </c>
      <c r="F148" s="173" t="s">
        <v>829</v>
      </c>
      <c r="G148" s="173" t="s">
        <v>830</v>
      </c>
      <c r="H148" s="173"/>
      <c r="I148" s="126" t="s">
        <v>23</v>
      </c>
      <c r="J148" s="128">
        <v>137</v>
      </c>
      <c r="K148" s="127" t="s">
        <v>127</v>
      </c>
      <c r="L148" s="127" t="s">
        <v>128</v>
      </c>
    </row>
    <row r="149" spans="1:16" x14ac:dyDescent="0.3">
      <c r="A149" s="343" t="s">
        <v>23</v>
      </c>
      <c r="B149" s="344" t="s">
        <v>958</v>
      </c>
      <c r="C149" s="117" t="s">
        <v>829</v>
      </c>
      <c r="D149" s="117" t="s">
        <v>830</v>
      </c>
      <c r="E149" s="117" t="s">
        <v>829</v>
      </c>
      <c r="F149" s="117" t="s">
        <v>829</v>
      </c>
      <c r="G149" s="117" t="s">
        <v>829</v>
      </c>
      <c r="H149" s="117"/>
      <c r="I149" s="174" t="s">
        <v>23</v>
      </c>
      <c r="J149" s="170">
        <v>100</v>
      </c>
      <c r="K149" s="345" t="s">
        <v>76</v>
      </c>
      <c r="L149" s="174" t="s">
        <v>77</v>
      </c>
    </row>
    <row r="150" spans="1:16" ht="30" x14ac:dyDescent="0.3">
      <c r="A150" s="343"/>
      <c r="B150" s="344"/>
      <c r="C150" s="117" t="s">
        <v>829</v>
      </c>
      <c r="D150" s="117" t="s">
        <v>830</v>
      </c>
      <c r="E150" s="117" t="s">
        <v>829</v>
      </c>
      <c r="F150" s="117" t="s">
        <v>829</v>
      </c>
      <c r="G150" s="117" t="s">
        <v>830</v>
      </c>
      <c r="H150" s="117"/>
      <c r="I150" s="174" t="s">
        <v>23</v>
      </c>
      <c r="J150" s="170">
        <v>100</v>
      </c>
      <c r="K150" s="345"/>
      <c r="L150" s="174" t="s">
        <v>78</v>
      </c>
    </row>
    <row r="151" spans="1:16" ht="62.25" customHeight="1" x14ac:dyDescent="0.3">
      <c r="A151" s="181" t="s">
        <v>23</v>
      </c>
      <c r="B151" s="175" t="s">
        <v>717</v>
      </c>
      <c r="C151" s="176" t="s">
        <v>832</v>
      </c>
      <c r="D151" s="176" t="s">
        <v>832</v>
      </c>
      <c r="E151" s="176" t="s">
        <v>832</v>
      </c>
      <c r="F151" s="176" t="s">
        <v>829</v>
      </c>
      <c r="G151" s="176" t="s">
        <v>829</v>
      </c>
      <c r="H151" s="176"/>
      <c r="I151" s="176" t="s">
        <v>23</v>
      </c>
      <c r="J151" s="176" t="s">
        <v>1217</v>
      </c>
      <c r="K151" s="177" t="s">
        <v>335</v>
      </c>
      <c r="L151" s="177" t="s">
        <v>336</v>
      </c>
    </row>
    <row r="152" spans="1:16" ht="44.25" customHeight="1" x14ac:dyDescent="0.3">
      <c r="A152" s="346" t="s">
        <v>42</v>
      </c>
      <c r="B152" s="289" t="s">
        <v>2</v>
      </c>
      <c r="C152" s="161" t="s">
        <v>829</v>
      </c>
      <c r="D152" s="162" t="s">
        <v>832</v>
      </c>
      <c r="E152" s="162" t="s">
        <v>836</v>
      </c>
      <c r="F152" s="162" t="s">
        <v>829</v>
      </c>
      <c r="G152" s="162" t="s">
        <v>832</v>
      </c>
      <c r="H152" s="162"/>
      <c r="I152" s="163" t="s">
        <v>42</v>
      </c>
      <c r="J152" s="90">
        <v>102</v>
      </c>
      <c r="K152" s="347" t="s">
        <v>140</v>
      </c>
      <c r="L152" s="163" t="s">
        <v>151</v>
      </c>
      <c r="M152" s="393" t="s">
        <v>1381</v>
      </c>
      <c r="N152" s="394"/>
      <c r="O152" s="394"/>
      <c r="P152" s="394"/>
    </row>
    <row r="153" spans="1:16" ht="30" x14ac:dyDescent="0.3">
      <c r="A153" s="346"/>
      <c r="B153" s="289"/>
      <c r="C153" s="161" t="s">
        <v>829</v>
      </c>
      <c r="D153" s="162" t="s">
        <v>832</v>
      </c>
      <c r="E153" s="162" t="s">
        <v>836</v>
      </c>
      <c r="F153" s="162" t="s">
        <v>829</v>
      </c>
      <c r="G153" s="162" t="s">
        <v>830</v>
      </c>
      <c r="H153" s="162"/>
      <c r="I153" s="163" t="s">
        <v>42</v>
      </c>
      <c r="J153" s="90">
        <v>102</v>
      </c>
      <c r="K153" s="347"/>
      <c r="L153" s="163" t="s">
        <v>1372</v>
      </c>
    </row>
    <row r="154" spans="1:16" ht="22.5" customHeight="1" x14ac:dyDescent="0.3"/>
    <row r="155" spans="1:16" ht="22.5" customHeight="1" x14ac:dyDescent="0.3"/>
    <row r="156" spans="1:16" ht="22.5" customHeight="1" x14ac:dyDescent="0.3"/>
    <row r="157" spans="1:16" ht="22.5" customHeight="1" x14ac:dyDescent="0.3"/>
    <row r="158" spans="1:16" ht="22.5" customHeight="1" x14ac:dyDescent="0.3"/>
    <row r="159" spans="1:16" ht="22.5" customHeight="1" x14ac:dyDescent="0.3"/>
    <row r="160" spans="1:16" ht="49.5" customHeight="1" x14ac:dyDescent="0.3"/>
    <row r="161" ht="22.5" customHeight="1" x14ac:dyDescent="0.3"/>
    <row r="162" ht="22.5" customHeight="1" x14ac:dyDescent="0.3"/>
  </sheetData>
  <mergeCells count="101">
    <mergeCell ref="A2:A4"/>
    <mergeCell ref="B2:B4"/>
    <mergeCell ref="M152:P152"/>
    <mergeCell ref="M95:N95"/>
    <mergeCell ref="M5:O5"/>
    <mergeCell ref="M99:R99"/>
    <mergeCell ref="A34:A39"/>
    <mergeCell ref="B34:B39"/>
    <mergeCell ref="K34:K35"/>
    <mergeCell ref="K36:K39"/>
    <mergeCell ref="K28:K29"/>
    <mergeCell ref="A20:A33"/>
    <mergeCell ref="B20:B33"/>
    <mergeCell ref="K20:K21"/>
    <mergeCell ref="K23:K25"/>
    <mergeCell ref="K26:K27"/>
    <mergeCell ref="A40:A49"/>
    <mergeCell ref="B40:B49"/>
    <mergeCell ref="K40:K41"/>
    <mergeCell ref="L40:L41"/>
    <mergeCell ref="K42:K49"/>
    <mergeCell ref="L42:L43"/>
    <mergeCell ref="L44:L45"/>
    <mergeCell ref="L46:L47"/>
    <mergeCell ref="L48:L49"/>
    <mergeCell ref="A53:A58"/>
    <mergeCell ref="B53:B58"/>
    <mergeCell ref="K53:K54"/>
    <mergeCell ref="A50:A51"/>
    <mergeCell ref="B50:B51"/>
    <mergeCell ref="K50:K51"/>
    <mergeCell ref="L63:L65"/>
    <mergeCell ref="A66:A70"/>
    <mergeCell ref="B66:B70"/>
    <mergeCell ref="K67:K68"/>
    <mergeCell ref="A59:A65"/>
    <mergeCell ref="B59:B65"/>
    <mergeCell ref="K59:K60"/>
    <mergeCell ref="K63:K65"/>
    <mergeCell ref="A78:A80"/>
    <mergeCell ref="B78:B80"/>
    <mergeCell ref="K79:K80"/>
    <mergeCell ref="A71:A77"/>
    <mergeCell ref="B71:B77"/>
    <mergeCell ref="K72:K76"/>
    <mergeCell ref="A86:A90"/>
    <mergeCell ref="B86:B90"/>
    <mergeCell ref="A81:A85"/>
    <mergeCell ref="B81:B85"/>
    <mergeCell ref="K84:K85"/>
    <mergeCell ref="A96:A97"/>
    <mergeCell ref="B96:B97"/>
    <mergeCell ref="A91:A94"/>
    <mergeCell ref="B91:B94"/>
    <mergeCell ref="K91:K93"/>
    <mergeCell ref="A103:A109"/>
    <mergeCell ref="B103:B109"/>
    <mergeCell ref="K103:K108"/>
    <mergeCell ref="A99:A102"/>
    <mergeCell ref="B99:B102"/>
    <mergeCell ref="K113:K115"/>
    <mergeCell ref="K116:K117"/>
    <mergeCell ref="A118:A123"/>
    <mergeCell ref="B118:B123"/>
    <mergeCell ref="K118:K122"/>
    <mergeCell ref="A110:A117"/>
    <mergeCell ref="B110:B117"/>
    <mergeCell ref="K111:K112"/>
    <mergeCell ref="K137:K138"/>
    <mergeCell ref="A132:A134"/>
    <mergeCell ref="B132:B134"/>
    <mergeCell ref="K132:K134"/>
    <mergeCell ref="K126:K128"/>
    <mergeCell ref="K129:K131"/>
    <mergeCell ref="A124:A131"/>
    <mergeCell ref="B124:B131"/>
    <mergeCell ref="A135:A136"/>
    <mergeCell ref="B135:B136"/>
    <mergeCell ref="A137:A145"/>
    <mergeCell ref="B137:B145"/>
    <mergeCell ref="D142:D145"/>
    <mergeCell ref="E142:E145"/>
    <mergeCell ref="F142:F145"/>
    <mergeCell ref="G142:G145"/>
    <mergeCell ref="H142:H145"/>
    <mergeCell ref="K140:K141"/>
    <mergeCell ref="L140:L141"/>
    <mergeCell ref="C142:C145"/>
    <mergeCell ref="A149:A150"/>
    <mergeCell ref="B149:B150"/>
    <mergeCell ref="K149:K150"/>
    <mergeCell ref="A152:A153"/>
    <mergeCell ref="B152:B153"/>
    <mergeCell ref="K152:K153"/>
    <mergeCell ref="J142:J145"/>
    <mergeCell ref="K142:K145"/>
    <mergeCell ref="L142:L145"/>
    <mergeCell ref="A146:A147"/>
    <mergeCell ref="B146:B147"/>
    <mergeCell ref="K146:K147"/>
    <mergeCell ref="I142:I14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0CF21-CE2C-4FFD-B0BC-A654A74A67AA}">
  <dimension ref="A1:C186"/>
  <sheetViews>
    <sheetView topLeftCell="A169" zoomScale="175" zoomScaleNormal="175" workbookViewId="0">
      <selection activeCell="C375" sqref="C375:C379"/>
    </sheetView>
  </sheetViews>
  <sheetFormatPr baseColWidth="10" defaultRowHeight="14.4" x14ac:dyDescent="0.3"/>
  <cols>
    <col min="1" max="1" width="12.5546875" customWidth="1"/>
    <col min="2" max="2" width="93.5546875" customWidth="1"/>
  </cols>
  <sheetData>
    <row r="1" spans="1:3" x14ac:dyDescent="0.3">
      <c r="A1" t="s">
        <v>1690</v>
      </c>
      <c r="B1" t="s">
        <v>1691</v>
      </c>
      <c r="C1" t="s">
        <v>1692</v>
      </c>
    </row>
    <row r="2" spans="1:3" x14ac:dyDescent="0.3">
      <c r="A2" t="s">
        <v>1505</v>
      </c>
      <c r="B2" t="s">
        <v>141</v>
      </c>
      <c r="C2" t="s">
        <v>1384</v>
      </c>
    </row>
    <row r="3" spans="1:3" x14ac:dyDescent="0.3">
      <c r="A3" t="s">
        <v>1506</v>
      </c>
      <c r="B3" t="s">
        <v>151</v>
      </c>
      <c r="C3" t="s">
        <v>1384</v>
      </c>
    </row>
    <row r="4" spans="1:3" x14ac:dyDescent="0.3">
      <c r="A4" t="s">
        <v>1507</v>
      </c>
      <c r="B4" t="s">
        <v>1372</v>
      </c>
      <c r="C4" t="s">
        <v>1384</v>
      </c>
    </row>
    <row r="5" spans="1:3" x14ac:dyDescent="0.3">
      <c r="A5" t="s">
        <v>1508</v>
      </c>
      <c r="B5" t="s">
        <v>77</v>
      </c>
      <c r="C5" t="s">
        <v>1385</v>
      </c>
    </row>
    <row r="6" spans="1:3" x14ac:dyDescent="0.3">
      <c r="A6" t="s">
        <v>1509</v>
      </c>
      <c r="B6" t="s">
        <v>761</v>
      </c>
      <c r="C6" t="s">
        <v>1384</v>
      </c>
    </row>
    <row r="7" spans="1:3" x14ac:dyDescent="0.3">
      <c r="A7" t="s">
        <v>1510</v>
      </c>
      <c r="B7" t="s">
        <v>1386</v>
      </c>
      <c r="C7" t="s">
        <v>1384</v>
      </c>
    </row>
    <row r="8" spans="1:3" x14ac:dyDescent="0.3">
      <c r="A8" t="s">
        <v>1511</v>
      </c>
      <c r="B8" t="s">
        <v>846</v>
      </c>
      <c r="C8" t="s">
        <v>1384</v>
      </c>
    </row>
    <row r="9" spans="1:3" x14ac:dyDescent="0.3">
      <c r="A9" t="s">
        <v>1512</v>
      </c>
      <c r="B9" t="s">
        <v>1387</v>
      </c>
      <c r="C9" t="s">
        <v>1388</v>
      </c>
    </row>
    <row r="10" spans="1:3" x14ac:dyDescent="0.3">
      <c r="A10" t="s">
        <v>1513</v>
      </c>
      <c r="B10" t="s">
        <v>1494</v>
      </c>
      <c r="C10" t="s">
        <v>1385</v>
      </c>
    </row>
    <row r="11" spans="1:3" x14ac:dyDescent="0.3">
      <c r="A11" t="s">
        <v>1514</v>
      </c>
      <c r="B11" t="s">
        <v>1495</v>
      </c>
      <c r="C11" t="s">
        <v>1388</v>
      </c>
    </row>
    <row r="12" spans="1:3" x14ac:dyDescent="0.3">
      <c r="A12" t="s">
        <v>1515</v>
      </c>
      <c r="B12" t="s">
        <v>373</v>
      </c>
      <c r="C12" t="s">
        <v>1388</v>
      </c>
    </row>
    <row r="13" spans="1:3" x14ac:dyDescent="0.3">
      <c r="A13" t="s">
        <v>1516</v>
      </c>
      <c r="B13" t="s">
        <v>474</v>
      </c>
      <c r="C13" t="s">
        <v>1390</v>
      </c>
    </row>
    <row r="14" spans="1:3" x14ac:dyDescent="0.3">
      <c r="A14" t="s">
        <v>1517</v>
      </c>
      <c r="B14" t="s">
        <v>183</v>
      </c>
      <c r="C14" t="s">
        <v>1385</v>
      </c>
    </row>
    <row r="15" spans="1:3" x14ac:dyDescent="0.3">
      <c r="A15" t="s">
        <v>1518</v>
      </c>
      <c r="B15" t="s">
        <v>186</v>
      </c>
      <c r="C15" t="s">
        <v>1391</v>
      </c>
    </row>
    <row r="16" spans="1:3" x14ac:dyDescent="0.3">
      <c r="A16" t="s">
        <v>1519</v>
      </c>
      <c r="B16" t="s">
        <v>238</v>
      </c>
      <c r="C16" t="s">
        <v>1385</v>
      </c>
    </row>
    <row r="17" spans="1:3" x14ac:dyDescent="0.3">
      <c r="A17" t="s">
        <v>1520</v>
      </c>
      <c r="B17" t="s">
        <v>96</v>
      </c>
      <c r="C17" t="s">
        <v>1391</v>
      </c>
    </row>
    <row r="18" spans="1:3" x14ac:dyDescent="0.3">
      <c r="A18" t="s">
        <v>1521</v>
      </c>
      <c r="B18" t="s">
        <v>1496</v>
      </c>
      <c r="C18" t="s">
        <v>1390</v>
      </c>
    </row>
    <row r="19" spans="1:3" x14ac:dyDescent="0.3">
      <c r="A19" t="s">
        <v>1522</v>
      </c>
      <c r="B19" t="s">
        <v>1392</v>
      </c>
      <c r="C19" t="s">
        <v>1384</v>
      </c>
    </row>
    <row r="20" spans="1:3" x14ac:dyDescent="0.3">
      <c r="A20" t="s">
        <v>1523</v>
      </c>
      <c r="B20" t="s">
        <v>1497</v>
      </c>
      <c r="C20" t="s">
        <v>1384</v>
      </c>
    </row>
    <row r="21" spans="1:3" x14ac:dyDescent="0.3">
      <c r="A21" t="s">
        <v>1524</v>
      </c>
      <c r="B21" t="s">
        <v>375</v>
      </c>
      <c r="C21" t="s">
        <v>1384</v>
      </c>
    </row>
    <row r="22" spans="1:3" x14ac:dyDescent="0.3">
      <c r="A22" t="s">
        <v>1525</v>
      </c>
      <c r="B22" t="s">
        <v>394</v>
      </c>
      <c r="C22" t="s">
        <v>1384</v>
      </c>
    </row>
    <row r="23" spans="1:3" x14ac:dyDescent="0.3">
      <c r="A23" t="s">
        <v>1526</v>
      </c>
      <c r="B23" t="s">
        <v>398</v>
      </c>
      <c r="C23" t="s">
        <v>1393</v>
      </c>
    </row>
    <row r="24" spans="1:3" x14ac:dyDescent="0.3">
      <c r="A24" t="s">
        <v>1527</v>
      </c>
      <c r="B24" t="s">
        <v>1394</v>
      </c>
      <c r="C24" t="s">
        <v>1393</v>
      </c>
    </row>
    <row r="25" spans="1:3" x14ac:dyDescent="0.3">
      <c r="A25" t="s">
        <v>1528</v>
      </c>
      <c r="B25" t="s">
        <v>1395</v>
      </c>
      <c r="C25" t="s">
        <v>1385</v>
      </c>
    </row>
    <row r="26" spans="1:3" x14ac:dyDescent="0.3">
      <c r="A26" t="s">
        <v>1529</v>
      </c>
      <c r="B26" t="s">
        <v>408</v>
      </c>
      <c r="C26" t="s">
        <v>1385</v>
      </c>
    </row>
    <row r="27" spans="1:3" x14ac:dyDescent="0.3">
      <c r="A27" t="s">
        <v>1530</v>
      </c>
      <c r="B27" t="s">
        <v>1396</v>
      </c>
      <c r="C27" t="s">
        <v>1385</v>
      </c>
    </row>
    <row r="28" spans="1:3" x14ac:dyDescent="0.3">
      <c r="A28" t="s">
        <v>1531</v>
      </c>
      <c r="B28" t="s">
        <v>411</v>
      </c>
      <c r="C28" t="s">
        <v>1388</v>
      </c>
    </row>
    <row r="29" spans="1:3" x14ac:dyDescent="0.3">
      <c r="A29" t="s">
        <v>1532</v>
      </c>
      <c r="B29" t="s">
        <v>418</v>
      </c>
      <c r="C29" t="s">
        <v>1388</v>
      </c>
    </row>
    <row r="30" spans="1:3" x14ac:dyDescent="0.3">
      <c r="A30" t="s">
        <v>1533</v>
      </c>
      <c r="B30" t="s">
        <v>165</v>
      </c>
      <c r="C30" t="s">
        <v>1385</v>
      </c>
    </row>
    <row r="31" spans="1:3" x14ac:dyDescent="0.3">
      <c r="A31" t="s">
        <v>1534</v>
      </c>
      <c r="B31" t="s">
        <v>1397</v>
      </c>
      <c r="C31" t="s">
        <v>1391</v>
      </c>
    </row>
    <row r="32" spans="1:3" x14ac:dyDescent="0.3">
      <c r="A32" t="s">
        <v>1535</v>
      </c>
      <c r="B32" t="s">
        <v>174</v>
      </c>
      <c r="C32" t="s">
        <v>1391</v>
      </c>
    </row>
    <row r="33" spans="1:3" x14ac:dyDescent="0.3">
      <c r="A33" t="s">
        <v>1536</v>
      </c>
      <c r="B33" t="s">
        <v>106</v>
      </c>
      <c r="C33" t="s">
        <v>1391</v>
      </c>
    </row>
    <row r="34" spans="1:3" x14ac:dyDescent="0.3">
      <c r="A34" t="s">
        <v>1537</v>
      </c>
      <c r="B34" t="s">
        <v>508</v>
      </c>
      <c r="C34" t="s">
        <v>1388</v>
      </c>
    </row>
    <row r="35" spans="1:3" x14ac:dyDescent="0.3">
      <c r="A35" t="s">
        <v>1538</v>
      </c>
      <c r="B35" t="s">
        <v>652</v>
      </c>
      <c r="C35" t="s">
        <v>1391</v>
      </c>
    </row>
    <row r="36" spans="1:3" x14ac:dyDescent="0.3">
      <c r="A36" t="s">
        <v>1539</v>
      </c>
      <c r="B36" t="s">
        <v>592</v>
      </c>
      <c r="C36" t="s">
        <v>1384</v>
      </c>
    </row>
    <row r="37" spans="1:3" x14ac:dyDescent="0.3">
      <c r="A37" t="s">
        <v>1540</v>
      </c>
      <c r="B37" t="s">
        <v>589</v>
      </c>
      <c r="C37" t="s">
        <v>1391</v>
      </c>
    </row>
    <row r="38" spans="1:3" x14ac:dyDescent="0.3">
      <c r="A38" t="s">
        <v>1541</v>
      </c>
      <c r="B38" t="s">
        <v>1398</v>
      </c>
      <c r="C38" t="s">
        <v>1385</v>
      </c>
    </row>
    <row r="39" spans="1:3" x14ac:dyDescent="0.3">
      <c r="A39" t="s">
        <v>1542</v>
      </c>
      <c r="B39" t="s">
        <v>840</v>
      </c>
      <c r="C39" t="s">
        <v>1384</v>
      </c>
    </row>
    <row r="40" spans="1:3" x14ac:dyDescent="0.3">
      <c r="A40" t="s">
        <v>1543</v>
      </c>
      <c r="B40" t="s">
        <v>624</v>
      </c>
      <c r="C40" t="s">
        <v>1399</v>
      </c>
    </row>
    <row r="41" spans="1:3" x14ac:dyDescent="0.3">
      <c r="A41" t="s">
        <v>1544</v>
      </c>
      <c r="B41" t="s">
        <v>620</v>
      </c>
      <c r="C41" t="s">
        <v>1391</v>
      </c>
    </row>
    <row r="42" spans="1:3" x14ac:dyDescent="0.3">
      <c r="A42" t="s">
        <v>1545</v>
      </c>
      <c r="B42" t="s">
        <v>594</v>
      </c>
      <c r="C42" t="s">
        <v>1384</v>
      </c>
    </row>
    <row r="43" spans="1:3" x14ac:dyDescent="0.3">
      <c r="A43" t="s">
        <v>1546</v>
      </c>
      <c r="B43" t="s">
        <v>601</v>
      </c>
      <c r="C43" t="s">
        <v>1399</v>
      </c>
    </row>
    <row r="44" spans="1:3" x14ac:dyDescent="0.3">
      <c r="A44" t="s">
        <v>1547</v>
      </c>
      <c r="B44" t="s">
        <v>608</v>
      </c>
      <c r="C44" t="s">
        <v>1399</v>
      </c>
    </row>
    <row r="45" spans="1:3" x14ac:dyDescent="0.3">
      <c r="A45" t="s">
        <v>1548</v>
      </c>
      <c r="B45" t="s">
        <v>1400</v>
      </c>
      <c r="C45" t="s">
        <v>1415</v>
      </c>
    </row>
    <row r="46" spans="1:3" x14ac:dyDescent="0.3">
      <c r="A46" t="s">
        <v>1549</v>
      </c>
      <c r="B46" t="s">
        <v>486</v>
      </c>
      <c r="C46" t="s">
        <v>1384</v>
      </c>
    </row>
    <row r="47" spans="1:3" x14ac:dyDescent="0.3">
      <c r="A47" t="s">
        <v>1550</v>
      </c>
      <c r="B47" t="s">
        <v>1401</v>
      </c>
      <c r="C47" t="s">
        <v>1384</v>
      </c>
    </row>
    <row r="48" spans="1:3" x14ac:dyDescent="0.3">
      <c r="A48" t="s">
        <v>1551</v>
      </c>
      <c r="B48" t="s">
        <v>463</v>
      </c>
      <c r="C48" t="s">
        <v>1384</v>
      </c>
    </row>
    <row r="49" spans="1:3" x14ac:dyDescent="0.3">
      <c r="A49" t="s">
        <v>1552</v>
      </c>
      <c r="B49" t="s">
        <v>1498</v>
      </c>
      <c r="C49" t="s">
        <v>1384</v>
      </c>
    </row>
    <row r="50" spans="1:3" x14ac:dyDescent="0.3">
      <c r="A50" t="s">
        <v>1553</v>
      </c>
      <c r="B50" t="s">
        <v>1402</v>
      </c>
      <c r="C50" t="s">
        <v>1385</v>
      </c>
    </row>
    <row r="51" spans="1:3" x14ac:dyDescent="0.3">
      <c r="A51" t="s">
        <v>1554</v>
      </c>
      <c r="B51" t="s">
        <v>128</v>
      </c>
      <c r="C51" t="s">
        <v>1403</v>
      </c>
    </row>
    <row r="52" spans="1:3" x14ac:dyDescent="0.3">
      <c r="A52" t="s">
        <v>1555</v>
      </c>
      <c r="B52" t="s">
        <v>670</v>
      </c>
      <c r="C52" t="s">
        <v>1384</v>
      </c>
    </row>
    <row r="53" spans="1:3" x14ac:dyDescent="0.3">
      <c r="A53" t="s">
        <v>1556</v>
      </c>
      <c r="B53" t="s">
        <v>1404</v>
      </c>
      <c r="C53" t="s">
        <v>1384</v>
      </c>
    </row>
    <row r="54" spans="1:3" x14ac:dyDescent="0.3">
      <c r="A54" t="s">
        <v>1557</v>
      </c>
      <c r="B54" t="s">
        <v>281</v>
      </c>
      <c r="C54" t="s">
        <v>1405</v>
      </c>
    </row>
    <row r="55" spans="1:3" x14ac:dyDescent="0.3">
      <c r="A55" t="s">
        <v>1558</v>
      </c>
      <c r="B55" t="s">
        <v>287</v>
      </c>
      <c r="C55" t="s">
        <v>1384</v>
      </c>
    </row>
    <row r="56" spans="1:3" x14ac:dyDescent="0.3">
      <c r="A56" t="s">
        <v>1559</v>
      </c>
      <c r="B56" t="s">
        <v>1406</v>
      </c>
      <c r="C56" t="s">
        <v>1393</v>
      </c>
    </row>
    <row r="57" spans="1:3" x14ac:dyDescent="0.3">
      <c r="A57" t="s">
        <v>1560</v>
      </c>
      <c r="B57" t="s">
        <v>1407</v>
      </c>
      <c r="C57" t="s">
        <v>1393</v>
      </c>
    </row>
    <row r="58" spans="1:3" x14ac:dyDescent="0.3">
      <c r="A58" t="s">
        <v>1561</v>
      </c>
      <c r="B58" t="s">
        <v>1408</v>
      </c>
      <c r="C58" t="s">
        <v>1393</v>
      </c>
    </row>
    <row r="59" spans="1:3" x14ac:dyDescent="0.3">
      <c r="A59" t="s">
        <v>1562</v>
      </c>
      <c r="B59" t="s">
        <v>1409</v>
      </c>
      <c r="C59" t="s">
        <v>1393</v>
      </c>
    </row>
    <row r="60" spans="1:3" x14ac:dyDescent="0.3">
      <c r="A60" t="s">
        <v>1563</v>
      </c>
      <c r="B60" t="s">
        <v>1410</v>
      </c>
      <c r="C60" t="s">
        <v>1500</v>
      </c>
    </row>
    <row r="61" spans="1:3" x14ac:dyDescent="0.3">
      <c r="A61" t="s">
        <v>1564</v>
      </c>
      <c r="B61" t="s">
        <v>1411</v>
      </c>
      <c r="C61" t="s">
        <v>1405</v>
      </c>
    </row>
    <row r="62" spans="1:3" x14ac:dyDescent="0.3">
      <c r="A62" t="s">
        <v>1565</v>
      </c>
      <c r="B62" t="s">
        <v>241</v>
      </c>
      <c r="C62" t="s">
        <v>1405</v>
      </c>
    </row>
    <row r="63" spans="1:3" x14ac:dyDescent="0.3">
      <c r="A63" t="s">
        <v>1566</v>
      </c>
      <c r="B63" t="s">
        <v>244</v>
      </c>
      <c r="C63" t="s">
        <v>1405</v>
      </c>
    </row>
    <row r="64" spans="1:3" x14ac:dyDescent="0.3">
      <c r="A64" t="s">
        <v>1567</v>
      </c>
      <c r="B64" t="s">
        <v>248</v>
      </c>
      <c r="C64" t="s">
        <v>1405</v>
      </c>
    </row>
    <row r="65" spans="1:3" x14ac:dyDescent="0.3">
      <c r="A65" t="s">
        <v>1568</v>
      </c>
      <c r="B65" t="s">
        <v>251</v>
      </c>
      <c r="C65" t="s">
        <v>1405</v>
      </c>
    </row>
    <row r="66" spans="1:3" x14ac:dyDescent="0.3">
      <c r="A66" t="s">
        <v>1569</v>
      </c>
      <c r="B66" t="s">
        <v>1232</v>
      </c>
      <c r="C66" t="s">
        <v>1403</v>
      </c>
    </row>
    <row r="67" spans="1:3" x14ac:dyDescent="0.3">
      <c r="A67" t="s">
        <v>1570</v>
      </c>
      <c r="B67" t="s">
        <v>259</v>
      </c>
      <c r="C67" t="s">
        <v>1405</v>
      </c>
    </row>
    <row r="68" spans="1:3" x14ac:dyDescent="0.3">
      <c r="A68" t="s">
        <v>1571</v>
      </c>
      <c r="B68" t="s">
        <v>965</v>
      </c>
      <c r="C68" t="s">
        <v>1384</v>
      </c>
    </row>
    <row r="69" spans="1:3" x14ac:dyDescent="0.3">
      <c r="A69" t="s">
        <v>1572</v>
      </c>
      <c r="B69" t="s">
        <v>1412</v>
      </c>
      <c r="C69" t="s">
        <v>1384</v>
      </c>
    </row>
    <row r="70" spans="1:3" x14ac:dyDescent="0.3">
      <c r="A70" t="s">
        <v>1573</v>
      </c>
      <c r="B70" t="s">
        <v>966</v>
      </c>
      <c r="C70" t="s">
        <v>1384</v>
      </c>
    </row>
    <row r="71" spans="1:3" x14ac:dyDescent="0.3">
      <c r="A71" t="s">
        <v>1574</v>
      </c>
      <c r="B71" t="s">
        <v>1413</v>
      </c>
      <c r="C71" t="s">
        <v>1393</v>
      </c>
    </row>
    <row r="72" spans="1:3" x14ac:dyDescent="0.3">
      <c r="A72" t="s">
        <v>1575</v>
      </c>
      <c r="B72" t="s">
        <v>196</v>
      </c>
      <c r="C72" t="s">
        <v>1393</v>
      </c>
    </row>
    <row r="73" spans="1:3" x14ac:dyDescent="0.3">
      <c r="A73" t="s">
        <v>1576</v>
      </c>
      <c r="B73" t="s">
        <v>220</v>
      </c>
      <c r="C73" t="s">
        <v>1393</v>
      </c>
    </row>
    <row r="74" spans="1:3" x14ac:dyDescent="0.3">
      <c r="A74" t="s">
        <v>1577</v>
      </c>
      <c r="B74" t="s">
        <v>198</v>
      </c>
      <c r="C74" t="s">
        <v>1393</v>
      </c>
    </row>
    <row r="75" spans="1:3" x14ac:dyDescent="0.3">
      <c r="A75" t="s">
        <v>1578</v>
      </c>
      <c r="B75" t="s">
        <v>201</v>
      </c>
      <c r="C75" t="s">
        <v>1393</v>
      </c>
    </row>
    <row r="76" spans="1:3" x14ac:dyDescent="0.3">
      <c r="A76" t="s">
        <v>1579</v>
      </c>
      <c r="B76" t="s">
        <v>1092</v>
      </c>
      <c r="C76" t="s">
        <v>1393</v>
      </c>
    </row>
    <row r="77" spans="1:3" x14ac:dyDescent="0.3">
      <c r="A77" t="s">
        <v>1580</v>
      </c>
      <c r="B77" t="s">
        <v>202</v>
      </c>
      <c r="C77" t="s">
        <v>1393</v>
      </c>
    </row>
    <row r="78" spans="1:3" x14ac:dyDescent="0.3">
      <c r="A78" t="s">
        <v>1581</v>
      </c>
      <c r="B78" t="s">
        <v>206</v>
      </c>
      <c r="C78" t="s">
        <v>1393</v>
      </c>
    </row>
    <row r="79" spans="1:3" x14ac:dyDescent="0.3">
      <c r="A79" t="s">
        <v>1582</v>
      </c>
      <c r="B79" t="s">
        <v>203</v>
      </c>
      <c r="C79" t="s">
        <v>1393</v>
      </c>
    </row>
    <row r="80" spans="1:3" x14ac:dyDescent="0.3">
      <c r="A80" t="s">
        <v>1583</v>
      </c>
      <c r="B80" t="s">
        <v>204</v>
      </c>
      <c r="C80" t="s">
        <v>1393</v>
      </c>
    </row>
    <row r="81" spans="1:3" x14ac:dyDescent="0.3">
      <c r="A81" t="s">
        <v>1584</v>
      </c>
      <c r="B81" t="s">
        <v>1414</v>
      </c>
      <c r="C81" t="s">
        <v>1393</v>
      </c>
    </row>
    <row r="82" spans="1:3" x14ac:dyDescent="0.3">
      <c r="A82" t="s">
        <v>1585</v>
      </c>
      <c r="B82" t="s">
        <v>336</v>
      </c>
      <c r="C82" t="s">
        <v>1415</v>
      </c>
    </row>
    <row r="83" spans="1:3" x14ac:dyDescent="0.3">
      <c r="A83" t="s">
        <v>1586</v>
      </c>
      <c r="B83" t="s">
        <v>1416</v>
      </c>
      <c r="C83" t="s">
        <v>1391</v>
      </c>
    </row>
    <row r="84" spans="1:3" x14ac:dyDescent="0.3">
      <c r="A84" t="s">
        <v>1587</v>
      </c>
      <c r="B84" t="s">
        <v>1417</v>
      </c>
      <c r="C84" t="s">
        <v>1393</v>
      </c>
    </row>
    <row r="85" spans="1:3" x14ac:dyDescent="0.3">
      <c r="A85" t="s">
        <v>1588</v>
      </c>
      <c r="B85" t="s">
        <v>1418</v>
      </c>
      <c r="C85" t="s">
        <v>1405</v>
      </c>
    </row>
    <row r="86" spans="1:3" x14ac:dyDescent="0.3">
      <c r="A86" t="s">
        <v>1589</v>
      </c>
      <c r="B86" t="s">
        <v>1419</v>
      </c>
      <c r="C86" t="s">
        <v>1405</v>
      </c>
    </row>
    <row r="87" spans="1:3" x14ac:dyDescent="0.3">
      <c r="A87" t="s">
        <v>1590</v>
      </c>
      <c r="B87" t="s">
        <v>1501</v>
      </c>
      <c r="C87" t="s">
        <v>1415</v>
      </c>
    </row>
    <row r="88" spans="1:3" x14ac:dyDescent="0.3">
      <c r="A88" t="s">
        <v>1591</v>
      </c>
      <c r="B88" t="s">
        <v>1420</v>
      </c>
      <c r="C88" t="s">
        <v>1415</v>
      </c>
    </row>
    <row r="89" spans="1:3" x14ac:dyDescent="0.3">
      <c r="A89" t="s">
        <v>1592</v>
      </c>
      <c r="B89" t="s">
        <v>1421</v>
      </c>
      <c r="C89" t="s">
        <v>1384</v>
      </c>
    </row>
    <row r="90" spans="1:3" x14ac:dyDescent="0.3">
      <c r="A90" t="s">
        <v>1593</v>
      </c>
      <c r="B90" t="s">
        <v>1422</v>
      </c>
      <c r="C90" t="s">
        <v>1393</v>
      </c>
    </row>
    <row r="91" spans="1:3" x14ac:dyDescent="0.3">
      <c r="A91" t="s">
        <v>1594</v>
      </c>
      <c r="B91" t="s">
        <v>1423</v>
      </c>
      <c r="C91" t="s">
        <v>1384</v>
      </c>
    </row>
    <row r="92" spans="1:3" x14ac:dyDescent="0.3">
      <c r="A92" t="s">
        <v>1595</v>
      </c>
      <c r="B92" t="s">
        <v>294</v>
      </c>
      <c r="C92" t="s">
        <v>1384</v>
      </c>
    </row>
    <row r="93" spans="1:3" x14ac:dyDescent="0.3">
      <c r="A93" t="s">
        <v>1596</v>
      </c>
      <c r="B93" t="s">
        <v>298</v>
      </c>
      <c r="C93" t="s">
        <v>1384</v>
      </c>
    </row>
    <row r="94" spans="1:3" x14ac:dyDescent="0.3">
      <c r="A94" t="s">
        <v>1597</v>
      </c>
      <c r="B94" t="s">
        <v>1424</v>
      </c>
      <c r="C94" t="s">
        <v>1384</v>
      </c>
    </row>
    <row r="95" spans="1:3" x14ac:dyDescent="0.3">
      <c r="A95" t="s">
        <v>1598</v>
      </c>
      <c r="B95" t="s">
        <v>310</v>
      </c>
      <c r="C95" t="s">
        <v>1384</v>
      </c>
    </row>
    <row r="96" spans="1:3" x14ac:dyDescent="0.3">
      <c r="A96" t="s">
        <v>1599</v>
      </c>
      <c r="B96" t="s">
        <v>1426</v>
      </c>
      <c r="C96" t="s">
        <v>1384</v>
      </c>
    </row>
    <row r="97" spans="1:3" x14ac:dyDescent="0.3">
      <c r="A97" t="s">
        <v>1600</v>
      </c>
      <c r="B97" t="s">
        <v>1427</v>
      </c>
      <c r="C97" t="s">
        <v>1384</v>
      </c>
    </row>
    <row r="98" spans="1:3" x14ac:dyDescent="0.3">
      <c r="A98" t="s">
        <v>1601</v>
      </c>
      <c r="B98" t="s">
        <v>744</v>
      </c>
      <c r="C98" t="s">
        <v>1384</v>
      </c>
    </row>
    <row r="99" spans="1:3" x14ac:dyDescent="0.3">
      <c r="A99" t="s">
        <v>1602</v>
      </c>
      <c r="B99" t="s">
        <v>322</v>
      </c>
      <c r="C99" t="s">
        <v>1384</v>
      </c>
    </row>
    <row r="100" spans="1:3" x14ac:dyDescent="0.3">
      <c r="A100" t="s">
        <v>1603</v>
      </c>
      <c r="B100" t="s">
        <v>1428</v>
      </c>
      <c r="C100" t="s">
        <v>1415</v>
      </c>
    </row>
    <row r="101" spans="1:3" x14ac:dyDescent="0.3">
      <c r="A101" t="s">
        <v>1604</v>
      </c>
      <c r="B101" t="s">
        <v>1429</v>
      </c>
      <c r="C101" t="s">
        <v>1403</v>
      </c>
    </row>
    <row r="102" spans="1:3" x14ac:dyDescent="0.3">
      <c r="A102" t="s">
        <v>1605</v>
      </c>
      <c r="B102" t="s">
        <v>1430</v>
      </c>
      <c r="C102" t="s">
        <v>1403</v>
      </c>
    </row>
    <row r="103" spans="1:3" x14ac:dyDescent="0.3">
      <c r="A103" t="s">
        <v>1606</v>
      </c>
      <c r="B103" t="s">
        <v>1431</v>
      </c>
      <c r="C103" t="s">
        <v>1403</v>
      </c>
    </row>
    <row r="104" spans="1:3" x14ac:dyDescent="0.3">
      <c r="A104" t="s">
        <v>1607</v>
      </c>
      <c r="B104" t="s">
        <v>1433</v>
      </c>
      <c r="C104" t="s">
        <v>1403</v>
      </c>
    </row>
    <row r="105" spans="1:3" x14ac:dyDescent="0.3">
      <c r="A105" t="s">
        <v>1608</v>
      </c>
      <c r="B105" t="s">
        <v>1434</v>
      </c>
      <c r="C105" t="s">
        <v>1384</v>
      </c>
    </row>
    <row r="106" spans="1:3" x14ac:dyDescent="0.3">
      <c r="A106" t="s">
        <v>1609</v>
      </c>
      <c r="B106" t="s">
        <v>518</v>
      </c>
      <c r="C106" t="s">
        <v>1415</v>
      </c>
    </row>
    <row r="107" spans="1:3" x14ac:dyDescent="0.3">
      <c r="A107" t="s">
        <v>1610</v>
      </c>
      <c r="B107" t="s">
        <v>217</v>
      </c>
      <c r="C107" t="s">
        <v>1415</v>
      </c>
    </row>
    <row r="108" spans="1:3" x14ac:dyDescent="0.3">
      <c r="A108" t="s">
        <v>1611</v>
      </c>
      <c r="B108" t="s">
        <v>530</v>
      </c>
      <c r="C108" t="s">
        <v>1415</v>
      </c>
    </row>
    <row r="109" spans="1:3" x14ac:dyDescent="0.3">
      <c r="A109" t="s">
        <v>1612</v>
      </c>
      <c r="B109" t="s">
        <v>534</v>
      </c>
      <c r="C109" t="s">
        <v>1415</v>
      </c>
    </row>
    <row r="110" spans="1:3" x14ac:dyDescent="0.3">
      <c r="A110" t="s">
        <v>1613</v>
      </c>
      <c r="B110" t="s">
        <v>537</v>
      </c>
      <c r="C110" t="s">
        <v>1415</v>
      </c>
    </row>
    <row r="111" spans="1:3" x14ac:dyDescent="0.3">
      <c r="A111" t="s">
        <v>1614</v>
      </c>
      <c r="B111" t="s">
        <v>1436</v>
      </c>
      <c r="C111" t="s">
        <v>1415</v>
      </c>
    </row>
    <row r="112" spans="1:3" x14ac:dyDescent="0.3">
      <c r="A112" t="s">
        <v>1615</v>
      </c>
      <c r="B112" t="s">
        <v>1437</v>
      </c>
      <c r="C112" t="s">
        <v>1415</v>
      </c>
    </row>
    <row r="113" spans="1:3" x14ac:dyDescent="0.3">
      <c r="A113" t="s">
        <v>1616</v>
      </c>
      <c r="B113" t="s">
        <v>1438</v>
      </c>
      <c r="C113" t="s">
        <v>1415</v>
      </c>
    </row>
    <row r="114" spans="1:3" x14ac:dyDescent="0.3">
      <c r="A114" t="s">
        <v>1617</v>
      </c>
      <c r="B114" t="s">
        <v>1439</v>
      </c>
      <c r="C114" t="s">
        <v>1415</v>
      </c>
    </row>
    <row r="115" spans="1:3" x14ac:dyDescent="0.3">
      <c r="A115" t="s">
        <v>1618</v>
      </c>
      <c r="B115" t="s">
        <v>1440</v>
      </c>
      <c r="C115" t="s">
        <v>1415</v>
      </c>
    </row>
    <row r="116" spans="1:3" x14ac:dyDescent="0.3">
      <c r="A116" t="s">
        <v>1619</v>
      </c>
      <c r="B116" t="s">
        <v>1441</v>
      </c>
      <c r="C116" t="s">
        <v>1415</v>
      </c>
    </row>
    <row r="117" spans="1:3" x14ac:dyDescent="0.3">
      <c r="A117" t="s">
        <v>1620</v>
      </c>
      <c r="B117" t="s">
        <v>1442</v>
      </c>
      <c r="C117" t="s">
        <v>1415</v>
      </c>
    </row>
    <row r="118" spans="1:3" x14ac:dyDescent="0.3">
      <c r="A118" t="s">
        <v>1621</v>
      </c>
      <c r="B118" t="s">
        <v>1443</v>
      </c>
      <c r="C118" t="s">
        <v>1385</v>
      </c>
    </row>
    <row r="119" spans="1:3" x14ac:dyDescent="0.3">
      <c r="A119" t="s">
        <v>1622</v>
      </c>
      <c r="B119" t="s">
        <v>1444</v>
      </c>
      <c r="C119" t="s">
        <v>1385</v>
      </c>
    </row>
    <row r="120" spans="1:3" x14ac:dyDescent="0.3">
      <c r="A120" t="s">
        <v>1623</v>
      </c>
      <c r="B120" t="s">
        <v>1445</v>
      </c>
      <c r="C120" t="s">
        <v>1415</v>
      </c>
    </row>
    <row r="121" spans="1:3" x14ac:dyDescent="0.3">
      <c r="A121" t="s">
        <v>1624</v>
      </c>
      <c r="B121" t="s">
        <v>1446</v>
      </c>
      <c r="C121" t="s">
        <v>1415</v>
      </c>
    </row>
    <row r="122" spans="1:3" x14ac:dyDescent="0.3">
      <c r="A122" t="s">
        <v>1625</v>
      </c>
      <c r="B122" t="s">
        <v>1447</v>
      </c>
      <c r="C122" t="s">
        <v>1415</v>
      </c>
    </row>
    <row r="123" spans="1:3" x14ac:dyDescent="0.3">
      <c r="A123" t="s">
        <v>1626</v>
      </c>
      <c r="B123" t="s">
        <v>1448</v>
      </c>
      <c r="C123" t="s">
        <v>1384</v>
      </c>
    </row>
    <row r="124" spans="1:3" x14ac:dyDescent="0.3">
      <c r="A124" t="s">
        <v>1627</v>
      </c>
      <c r="B124" t="s">
        <v>1449</v>
      </c>
      <c r="C124" t="s">
        <v>1384</v>
      </c>
    </row>
    <row r="125" spans="1:3" x14ac:dyDescent="0.3">
      <c r="A125" t="s">
        <v>1628</v>
      </c>
      <c r="B125" t="s">
        <v>1450</v>
      </c>
      <c r="C125" t="s">
        <v>1384</v>
      </c>
    </row>
    <row r="126" spans="1:3" x14ac:dyDescent="0.3">
      <c r="A126" t="s">
        <v>1629</v>
      </c>
      <c r="B126" t="s">
        <v>1451</v>
      </c>
      <c r="C126" t="s">
        <v>1384</v>
      </c>
    </row>
    <row r="127" spans="1:3" x14ac:dyDescent="0.3">
      <c r="A127" t="s">
        <v>1630</v>
      </c>
      <c r="B127" t="s">
        <v>1452</v>
      </c>
      <c r="C127" t="s">
        <v>1384</v>
      </c>
    </row>
    <row r="128" spans="1:3" x14ac:dyDescent="0.3">
      <c r="A128" t="s">
        <v>1631</v>
      </c>
      <c r="B128" t="s">
        <v>1453</v>
      </c>
      <c r="C128" t="s">
        <v>1384</v>
      </c>
    </row>
    <row r="129" spans="1:3" x14ac:dyDescent="0.3">
      <c r="A129" t="s">
        <v>1632</v>
      </c>
      <c r="B129" t="s">
        <v>1454</v>
      </c>
      <c r="C129" t="s">
        <v>1384</v>
      </c>
    </row>
    <row r="130" spans="1:3" x14ac:dyDescent="0.3">
      <c r="A130" t="s">
        <v>1633</v>
      </c>
      <c r="B130" t="s">
        <v>1455</v>
      </c>
      <c r="C130" t="s">
        <v>1384</v>
      </c>
    </row>
    <row r="131" spans="1:3" x14ac:dyDescent="0.3">
      <c r="A131" t="s">
        <v>1634</v>
      </c>
      <c r="B131" t="s">
        <v>1456</v>
      </c>
      <c r="C131" t="s">
        <v>1384</v>
      </c>
    </row>
    <row r="132" spans="1:3" x14ac:dyDescent="0.3">
      <c r="A132" t="s">
        <v>1635</v>
      </c>
      <c r="B132" t="s">
        <v>1457</v>
      </c>
      <c r="C132" t="s">
        <v>1384</v>
      </c>
    </row>
    <row r="133" spans="1:3" x14ac:dyDescent="0.3">
      <c r="A133" t="s">
        <v>1636</v>
      </c>
      <c r="B133" t="s">
        <v>1458</v>
      </c>
      <c r="C133" t="s">
        <v>1415</v>
      </c>
    </row>
    <row r="134" spans="1:3" x14ac:dyDescent="0.3">
      <c r="A134" t="s">
        <v>1637</v>
      </c>
      <c r="B134" t="s">
        <v>839</v>
      </c>
      <c r="C134" t="s">
        <v>1384</v>
      </c>
    </row>
    <row r="135" spans="1:3" x14ac:dyDescent="0.3">
      <c r="A135" t="s">
        <v>1638</v>
      </c>
      <c r="B135" t="s">
        <v>1499</v>
      </c>
      <c r="C135" t="s">
        <v>1384</v>
      </c>
    </row>
    <row r="136" spans="1:3" x14ac:dyDescent="0.3">
      <c r="A136" t="s">
        <v>1639</v>
      </c>
      <c r="B136" t="s">
        <v>1459</v>
      </c>
      <c r="C136" t="s">
        <v>1384</v>
      </c>
    </row>
    <row r="137" spans="1:3" x14ac:dyDescent="0.3">
      <c r="A137" t="s">
        <v>1640</v>
      </c>
      <c r="B137" t="s">
        <v>848</v>
      </c>
      <c r="C137" t="s">
        <v>1384</v>
      </c>
    </row>
    <row r="138" spans="1:3" x14ac:dyDescent="0.3">
      <c r="A138" t="s">
        <v>1641</v>
      </c>
      <c r="B138" t="s">
        <v>849</v>
      </c>
      <c r="C138" t="s">
        <v>1384</v>
      </c>
    </row>
    <row r="139" spans="1:3" x14ac:dyDescent="0.3">
      <c r="A139" t="s">
        <v>1642</v>
      </c>
      <c r="B139" t="s">
        <v>328</v>
      </c>
      <c r="C139" t="s">
        <v>1384</v>
      </c>
    </row>
    <row r="140" spans="1:3" x14ac:dyDescent="0.3">
      <c r="A140" t="s">
        <v>1643</v>
      </c>
      <c r="B140" t="s">
        <v>1460</v>
      </c>
      <c r="C140" t="s">
        <v>1403</v>
      </c>
    </row>
    <row r="141" spans="1:3" x14ac:dyDescent="0.3">
      <c r="A141" t="s">
        <v>1644</v>
      </c>
      <c r="B141" t="s">
        <v>1461</v>
      </c>
      <c r="C141" t="s">
        <v>1403</v>
      </c>
    </row>
    <row r="142" spans="1:3" x14ac:dyDescent="0.3">
      <c r="A142" t="s">
        <v>1645</v>
      </c>
      <c r="B142" t="s">
        <v>1462</v>
      </c>
      <c r="C142" t="s">
        <v>1403</v>
      </c>
    </row>
    <row r="143" spans="1:3" x14ac:dyDescent="0.3">
      <c r="A143" t="s">
        <v>1646</v>
      </c>
      <c r="B143" t="s">
        <v>1463</v>
      </c>
      <c r="C143" t="s">
        <v>1403</v>
      </c>
    </row>
    <row r="144" spans="1:3" x14ac:dyDescent="0.3">
      <c r="A144" t="s">
        <v>1647</v>
      </c>
      <c r="B144" t="s">
        <v>1502</v>
      </c>
      <c r="C144" t="s">
        <v>1403</v>
      </c>
    </row>
    <row r="145" spans="1:3" x14ac:dyDescent="0.3">
      <c r="A145" t="s">
        <v>1648</v>
      </c>
      <c r="B145" t="s">
        <v>1503</v>
      </c>
      <c r="C145" t="s">
        <v>1403</v>
      </c>
    </row>
    <row r="146" spans="1:3" x14ac:dyDescent="0.3">
      <c r="A146" t="s">
        <v>1649</v>
      </c>
      <c r="B146" t="s">
        <v>1504</v>
      </c>
      <c r="C146" t="s">
        <v>1403</v>
      </c>
    </row>
    <row r="147" spans="1:3" x14ac:dyDescent="0.3">
      <c r="A147" t="s">
        <v>1650</v>
      </c>
      <c r="B147" t="s">
        <v>1464</v>
      </c>
      <c r="C147" t="s">
        <v>1391</v>
      </c>
    </row>
    <row r="148" spans="1:3" x14ac:dyDescent="0.3">
      <c r="A148" t="s">
        <v>1651</v>
      </c>
      <c r="B148" t="s">
        <v>498</v>
      </c>
      <c r="C148" t="s">
        <v>1384</v>
      </c>
    </row>
    <row r="149" spans="1:3" x14ac:dyDescent="0.3">
      <c r="A149" t="s">
        <v>1652</v>
      </c>
      <c r="B149" t="s">
        <v>1465</v>
      </c>
      <c r="C149" t="s">
        <v>1415</v>
      </c>
    </row>
    <row r="150" spans="1:3" x14ac:dyDescent="0.3">
      <c r="A150" t="s">
        <v>1653</v>
      </c>
      <c r="B150" t="s">
        <v>650</v>
      </c>
      <c r="C150" t="s">
        <v>1384</v>
      </c>
    </row>
    <row r="151" spans="1:3" x14ac:dyDescent="0.3">
      <c r="A151" t="s">
        <v>1654</v>
      </c>
      <c r="B151" t="s">
        <v>838</v>
      </c>
      <c r="C151" t="s">
        <v>1415</v>
      </c>
    </row>
    <row r="152" spans="1:3" x14ac:dyDescent="0.3">
      <c r="A152" t="s">
        <v>1655</v>
      </c>
      <c r="B152" t="s">
        <v>700</v>
      </c>
      <c r="C152" t="s">
        <v>1403</v>
      </c>
    </row>
    <row r="153" spans="1:3" x14ac:dyDescent="0.3">
      <c r="A153" t="s">
        <v>1656</v>
      </c>
      <c r="B153" t="s">
        <v>1466</v>
      </c>
      <c r="C153" t="s">
        <v>1405</v>
      </c>
    </row>
    <row r="154" spans="1:3" x14ac:dyDescent="0.3">
      <c r="A154" t="s">
        <v>1657</v>
      </c>
      <c r="B154" t="s">
        <v>1467</v>
      </c>
      <c r="C154" t="s">
        <v>1405</v>
      </c>
    </row>
    <row r="155" spans="1:3" x14ac:dyDescent="0.3">
      <c r="A155" t="s">
        <v>1658</v>
      </c>
      <c r="B155" t="s">
        <v>1468</v>
      </c>
      <c r="C155" t="s">
        <v>1403</v>
      </c>
    </row>
    <row r="156" spans="1:3" x14ac:dyDescent="0.3">
      <c r="A156" t="s">
        <v>1659</v>
      </c>
      <c r="B156" t="s">
        <v>1469</v>
      </c>
      <c r="C156" t="s">
        <v>1403</v>
      </c>
    </row>
    <row r="157" spans="1:3" x14ac:dyDescent="0.3">
      <c r="A157" t="s">
        <v>1660</v>
      </c>
      <c r="B157" t="s">
        <v>1470</v>
      </c>
      <c r="C157" t="s">
        <v>1384</v>
      </c>
    </row>
    <row r="158" spans="1:3" x14ac:dyDescent="0.3">
      <c r="A158" t="s">
        <v>1661</v>
      </c>
      <c r="B158" t="s">
        <v>1471</v>
      </c>
      <c r="C158" t="s">
        <v>1384</v>
      </c>
    </row>
    <row r="159" spans="1:3" x14ac:dyDescent="0.3">
      <c r="A159" t="s">
        <v>1662</v>
      </c>
      <c r="B159" t="s">
        <v>1472</v>
      </c>
      <c r="C159" t="s">
        <v>1405</v>
      </c>
    </row>
    <row r="160" spans="1:3" x14ac:dyDescent="0.3">
      <c r="A160" t="s">
        <v>1663</v>
      </c>
      <c r="B160" t="s">
        <v>1084</v>
      </c>
      <c r="C160" t="s">
        <v>1405</v>
      </c>
    </row>
    <row r="161" spans="1:3" x14ac:dyDescent="0.3">
      <c r="A161" t="s">
        <v>1664</v>
      </c>
      <c r="B161" t="s">
        <v>1473</v>
      </c>
      <c r="C161" t="s">
        <v>1405</v>
      </c>
    </row>
    <row r="162" spans="1:3" x14ac:dyDescent="0.3">
      <c r="A162" t="s">
        <v>1665</v>
      </c>
      <c r="B162" t="s">
        <v>1474</v>
      </c>
      <c r="C162" t="s">
        <v>1405</v>
      </c>
    </row>
    <row r="163" spans="1:3" x14ac:dyDescent="0.3">
      <c r="A163" t="s">
        <v>1666</v>
      </c>
      <c r="B163" t="s">
        <v>1475</v>
      </c>
      <c r="C163" t="s">
        <v>1405</v>
      </c>
    </row>
    <row r="164" spans="1:3" x14ac:dyDescent="0.3">
      <c r="A164" t="s">
        <v>1667</v>
      </c>
      <c r="B164" t="s">
        <v>1476</v>
      </c>
      <c r="C164" t="s">
        <v>1390</v>
      </c>
    </row>
    <row r="165" spans="1:3" x14ac:dyDescent="0.3">
      <c r="A165" t="s">
        <v>1668</v>
      </c>
      <c r="B165" t="s">
        <v>1214</v>
      </c>
      <c r="C165" t="s">
        <v>1384</v>
      </c>
    </row>
    <row r="166" spans="1:3" x14ac:dyDescent="0.3">
      <c r="A166" t="s">
        <v>1669</v>
      </c>
      <c r="B166" t="s">
        <v>1477</v>
      </c>
      <c r="C166" t="s">
        <v>1384</v>
      </c>
    </row>
    <row r="167" spans="1:3" x14ac:dyDescent="0.3">
      <c r="A167" t="s">
        <v>1670</v>
      </c>
      <c r="B167" t="s">
        <v>306</v>
      </c>
      <c r="C167" t="s">
        <v>1384</v>
      </c>
    </row>
    <row r="168" spans="1:3" x14ac:dyDescent="0.3">
      <c r="A168" t="s">
        <v>1671</v>
      </c>
      <c r="B168" t="s">
        <v>842</v>
      </c>
      <c r="C168" t="s">
        <v>1384</v>
      </c>
    </row>
    <row r="169" spans="1:3" x14ac:dyDescent="0.3">
      <c r="A169" t="s">
        <v>1672</v>
      </c>
      <c r="B169" t="s">
        <v>1478</v>
      </c>
      <c r="C169" t="s">
        <v>1384</v>
      </c>
    </row>
    <row r="170" spans="1:3" x14ac:dyDescent="0.3">
      <c r="A170" t="s">
        <v>1673</v>
      </c>
      <c r="B170" t="s">
        <v>1479</v>
      </c>
      <c r="C170" t="s">
        <v>1403</v>
      </c>
    </row>
    <row r="171" spans="1:3" x14ac:dyDescent="0.3">
      <c r="A171" t="s">
        <v>1674</v>
      </c>
      <c r="B171" t="s">
        <v>1480</v>
      </c>
      <c r="C171" t="s">
        <v>1403</v>
      </c>
    </row>
    <row r="172" spans="1:3" x14ac:dyDescent="0.3">
      <c r="A172" t="s">
        <v>1675</v>
      </c>
      <c r="B172" t="s">
        <v>1481</v>
      </c>
      <c r="C172" t="s">
        <v>1403</v>
      </c>
    </row>
    <row r="173" spans="1:3" x14ac:dyDescent="0.3">
      <c r="A173" t="s">
        <v>1676</v>
      </c>
      <c r="B173" t="s">
        <v>231</v>
      </c>
      <c r="C173" t="s">
        <v>1384</v>
      </c>
    </row>
    <row r="174" spans="1:3" x14ac:dyDescent="0.3">
      <c r="A174" t="s">
        <v>1677</v>
      </c>
      <c r="B174" t="s">
        <v>1482</v>
      </c>
      <c r="C174" t="s">
        <v>1393</v>
      </c>
    </row>
    <row r="175" spans="1:3" x14ac:dyDescent="0.3">
      <c r="A175" t="s">
        <v>1678</v>
      </c>
      <c r="B175" t="s">
        <v>1483</v>
      </c>
      <c r="C175" t="s">
        <v>1393</v>
      </c>
    </row>
    <row r="176" spans="1:3" x14ac:dyDescent="0.3">
      <c r="A176" t="s">
        <v>1679</v>
      </c>
      <c r="B176" t="s">
        <v>1484</v>
      </c>
      <c r="C176" t="s">
        <v>1393</v>
      </c>
    </row>
    <row r="177" spans="1:3" x14ac:dyDescent="0.3">
      <c r="A177" t="s">
        <v>1680</v>
      </c>
      <c r="B177" t="s">
        <v>1485</v>
      </c>
      <c r="C177" t="s">
        <v>1393</v>
      </c>
    </row>
    <row r="178" spans="1:3" x14ac:dyDescent="0.3">
      <c r="A178" t="s">
        <v>1681</v>
      </c>
      <c r="B178" t="s">
        <v>513</v>
      </c>
      <c r="C178" t="s">
        <v>1403</v>
      </c>
    </row>
    <row r="179" spans="1:3" x14ac:dyDescent="0.3">
      <c r="A179" t="s">
        <v>1682</v>
      </c>
      <c r="B179" t="s">
        <v>1486</v>
      </c>
      <c r="C179" t="s">
        <v>1403</v>
      </c>
    </row>
    <row r="180" spans="1:3" x14ac:dyDescent="0.3">
      <c r="A180" t="s">
        <v>1683</v>
      </c>
      <c r="B180" t="s">
        <v>272</v>
      </c>
      <c r="C180" t="s">
        <v>1487</v>
      </c>
    </row>
    <row r="181" spans="1:3" x14ac:dyDescent="0.3">
      <c r="A181" t="s">
        <v>1684</v>
      </c>
      <c r="B181" t="s">
        <v>1488</v>
      </c>
      <c r="C181" t="s">
        <v>1403</v>
      </c>
    </row>
    <row r="182" spans="1:3" x14ac:dyDescent="0.3">
      <c r="A182" t="s">
        <v>1685</v>
      </c>
      <c r="B182" t="s">
        <v>516</v>
      </c>
      <c r="C182" t="s">
        <v>1403</v>
      </c>
    </row>
    <row r="183" spans="1:3" x14ac:dyDescent="0.3">
      <c r="A183" t="s">
        <v>1686</v>
      </c>
      <c r="B183" t="s">
        <v>1489</v>
      </c>
      <c r="C183" t="s">
        <v>1490</v>
      </c>
    </row>
    <row r="184" spans="1:3" x14ac:dyDescent="0.3">
      <c r="A184" t="s">
        <v>1687</v>
      </c>
      <c r="B184" t="s">
        <v>1491</v>
      </c>
      <c r="C184" t="s">
        <v>1490</v>
      </c>
    </row>
    <row r="185" spans="1:3" x14ac:dyDescent="0.3">
      <c r="A185" t="s">
        <v>1688</v>
      </c>
      <c r="B185" t="s">
        <v>1492</v>
      </c>
      <c r="C185" t="s">
        <v>1493</v>
      </c>
    </row>
    <row r="186" spans="1:3" x14ac:dyDescent="0.3">
      <c r="A186" t="s">
        <v>1689</v>
      </c>
      <c r="B186" t="s">
        <v>436</v>
      </c>
      <c r="C186" t="s">
        <v>1388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0AA0-FF69-45D9-994D-5E47E09A996A}">
  <dimension ref="A1:C192"/>
  <sheetViews>
    <sheetView zoomScale="175" zoomScaleNormal="175" workbookViewId="0">
      <selection activeCell="C375" sqref="C375:C379"/>
    </sheetView>
  </sheetViews>
  <sheetFormatPr baseColWidth="10" defaultRowHeight="14.4" x14ac:dyDescent="0.3"/>
  <cols>
    <col min="1" max="1" width="13.88671875" bestFit="1" customWidth="1"/>
    <col min="2" max="2" width="109.88671875" bestFit="1" customWidth="1"/>
  </cols>
  <sheetData>
    <row r="1" spans="1:3" x14ac:dyDescent="0.3">
      <c r="A1" t="s">
        <v>1690</v>
      </c>
      <c r="B1" t="s">
        <v>1691</v>
      </c>
      <c r="C1" t="s">
        <v>1889</v>
      </c>
    </row>
    <row r="2" spans="1:3" x14ac:dyDescent="0.3">
      <c r="A2" t="s">
        <v>1505</v>
      </c>
      <c r="B2" t="s">
        <v>141</v>
      </c>
      <c r="C2" t="s">
        <v>1693</v>
      </c>
    </row>
    <row r="3" spans="1:3" x14ac:dyDescent="0.3">
      <c r="A3" t="s">
        <v>1506</v>
      </c>
      <c r="B3" t="s">
        <v>151</v>
      </c>
      <c r="C3" t="s">
        <v>1868</v>
      </c>
    </row>
    <row r="4" spans="1:3" x14ac:dyDescent="0.3">
      <c r="A4" t="s">
        <v>1507</v>
      </c>
      <c r="B4" t="s">
        <v>1372</v>
      </c>
      <c r="C4" t="s">
        <v>1694</v>
      </c>
    </row>
    <row r="5" spans="1:3" x14ac:dyDescent="0.3">
      <c r="A5" t="s">
        <v>1508</v>
      </c>
      <c r="B5" t="s">
        <v>77</v>
      </c>
      <c r="C5" t="s">
        <v>1695</v>
      </c>
    </row>
    <row r="6" spans="1:3" x14ac:dyDescent="0.3">
      <c r="A6" t="s">
        <v>1509</v>
      </c>
      <c r="B6" t="s">
        <v>761</v>
      </c>
      <c r="C6" t="s">
        <v>1696</v>
      </c>
    </row>
    <row r="7" spans="1:3" x14ac:dyDescent="0.3">
      <c r="A7" t="s">
        <v>1510</v>
      </c>
      <c r="B7" t="s">
        <v>1386</v>
      </c>
      <c r="C7" t="s">
        <v>1697</v>
      </c>
    </row>
    <row r="8" spans="1:3" x14ac:dyDescent="0.3">
      <c r="A8" t="s">
        <v>1511</v>
      </c>
      <c r="B8" t="s">
        <v>846</v>
      </c>
      <c r="C8" t="s">
        <v>1698</v>
      </c>
    </row>
    <row r="9" spans="1:3" x14ac:dyDescent="0.3">
      <c r="A9" t="s">
        <v>1512</v>
      </c>
      <c r="B9" t="s">
        <v>1387</v>
      </c>
      <c r="C9" t="s">
        <v>1699</v>
      </c>
    </row>
    <row r="10" spans="1:3" x14ac:dyDescent="0.3">
      <c r="A10" t="s">
        <v>1513</v>
      </c>
      <c r="B10" t="s">
        <v>363</v>
      </c>
      <c r="C10" t="s">
        <v>1700</v>
      </c>
    </row>
    <row r="11" spans="1:3" x14ac:dyDescent="0.3">
      <c r="A11" t="s">
        <v>1882</v>
      </c>
      <c r="B11" t="s">
        <v>1389</v>
      </c>
      <c r="C11" t="s">
        <v>1701</v>
      </c>
    </row>
    <row r="12" spans="1:3" x14ac:dyDescent="0.3">
      <c r="A12" t="s">
        <v>1883</v>
      </c>
      <c r="B12" t="s">
        <v>369</v>
      </c>
      <c r="C12" t="s">
        <v>1702</v>
      </c>
    </row>
    <row r="13" spans="1:3" x14ac:dyDescent="0.3">
      <c r="A13" t="s">
        <v>1514</v>
      </c>
      <c r="B13" t="s">
        <v>1495</v>
      </c>
      <c r="C13" t="s">
        <v>1703</v>
      </c>
    </row>
    <row r="14" spans="1:3" x14ac:dyDescent="0.3">
      <c r="A14" t="s">
        <v>1515</v>
      </c>
      <c r="B14" t="s">
        <v>373</v>
      </c>
      <c r="C14" t="s">
        <v>1704</v>
      </c>
    </row>
    <row r="15" spans="1:3" x14ac:dyDescent="0.3">
      <c r="A15" t="s">
        <v>1516</v>
      </c>
      <c r="B15" t="s">
        <v>474</v>
      </c>
      <c r="C15" t="s">
        <v>1705</v>
      </c>
    </row>
    <row r="16" spans="1:3" x14ac:dyDescent="0.3">
      <c r="A16" t="s">
        <v>1517</v>
      </c>
      <c r="B16" t="s">
        <v>183</v>
      </c>
      <c r="C16" t="s">
        <v>1706</v>
      </c>
    </row>
    <row r="17" spans="1:3" x14ac:dyDescent="0.3">
      <c r="A17" t="s">
        <v>1518</v>
      </c>
      <c r="B17" t="s">
        <v>186</v>
      </c>
      <c r="C17" t="s">
        <v>1707</v>
      </c>
    </row>
    <row r="18" spans="1:3" x14ac:dyDescent="0.3">
      <c r="A18" t="s">
        <v>1519</v>
      </c>
      <c r="B18" t="s">
        <v>238</v>
      </c>
      <c r="C18" t="s">
        <v>1708</v>
      </c>
    </row>
    <row r="19" spans="1:3" x14ac:dyDescent="0.3">
      <c r="A19" t="s">
        <v>1884</v>
      </c>
      <c r="B19" t="s">
        <v>96</v>
      </c>
      <c r="C19" t="s">
        <v>856</v>
      </c>
    </row>
    <row r="20" spans="1:3" x14ac:dyDescent="0.3">
      <c r="A20" t="s">
        <v>1521</v>
      </c>
      <c r="B20" t="s">
        <v>113</v>
      </c>
      <c r="C20" t="s">
        <v>1709</v>
      </c>
    </row>
    <row r="21" spans="1:3" x14ac:dyDescent="0.3">
      <c r="A21" t="s">
        <v>1522</v>
      </c>
      <c r="B21" t="s">
        <v>1392</v>
      </c>
      <c r="C21" t="s">
        <v>1710</v>
      </c>
    </row>
    <row r="22" spans="1:3" x14ac:dyDescent="0.3">
      <c r="A22" t="s">
        <v>1523</v>
      </c>
      <c r="B22" t="s">
        <v>161</v>
      </c>
      <c r="C22" t="s">
        <v>1711</v>
      </c>
    </row>
    <row r="23" spans="1:3" x14ac:dyDescent="0.3">
      <c r="A23" t="s">
        <v>1524</v>
      </c>
      <c r="B23" t="s">
        <v>375</v>
      </c>
      <c r="C23" t="s">
        <v>1869</v>
      </c>
    </row>
    <row r="24" spans="1:3" x14ac:dyDescent="0.3">
      <c r="A24" t="s">
        <v>1525</v>
      </c>
      <c r="B24" t="s">
        <v>394</v>
      </c>
      <c r="C24" t="s">
        <v>1712</v>
      </c>
    </row>
    <row r="25" spans="1:3" x14ac:dyDescent="0.3">
      <c r="A25" t="s">
        <v>1526</v>
      </c>
      <c r="B25" t="s">
        <v>398</v>
      </c>
      <c r="C25" t="s">
        <v>1713</v>
      </c>
    </row>
    <row r="26" spans="1:3" x14ac:dyDescent="0.3">
      <c r="A26" t="s">
        <v>1527</v>
      </c>
      <c r="B26" t="s">
        <v>1394</v>
      </c>
      <c r="C26" t="s">
        <v>1714</v>
      </c>
    </row>
    <row r="27" spans="1:3" x14ac:dyDescent="0.3">
      <c r="A27" t="s">
        <v>1528</v>
      </c>
      <c r="B27" t="s">
        <v>1395</v>
      </c>
      <c r="C27" t="s">
        <v>1715</v>
      </c>
    </row>
    <row r="28" spans="1:3" x14ac:dyDescent="0.3">
      <c r="A28" t="s">
        <v>1529</v>
      </c>
      <c r="B28" t="s">
        <v>408</v>
      </c>
      <c r="C28" t="s">
        <v>1716</v>
      </c>
    </row>
    <row r="29" spans="1:3" x14ac:dyDescent="0.3">
      <c r="A29" t="s">
        <v>1530</v>
      </c>
      <c r="B29" t="s">
        <v>1396</v>
      </c>
      <c r="C29" t="s">
        <v>1717</v>
      </c>
    </row>
    <row r="30" spans="1:3" x14ac:dyDescent="0.3">
      <c r="A30" t="s">
        <v>1531</v>
      </c>
      <c r="B30" t="s">
        <v>411</v>
      </c>
      <c r="C30" t="s">
        <v>1870</v>
      </c>
    </row>
    <row r="31" spans="1:3" x14ac:dyDescent="0.3">
      <c r="A31" t="s">
        <v>1532</v>
      </c>
      <c r="B31" t="s">
        <v>418</v>
      </c>
      <c r="C31" t="s">
        <v>1718</v>
      </c>
    </row>
    <row r="32" spans="1:3" x14ac:dyDescent="0.3">
      <c r="A32" t="s">
        <v>1533</v>
      </c>
      <c r="B32" t="s">
        <v>165</v>
      </c>
      <c r="C32" t="s">
        <v>1719</v>
      </c>
    </row>
    <row r="33" spans="1:3" x14ac:dyDescent="0.3">
      <c r="A33" t="s">
        <v>1534</v>
      </c>
      <c r="B33" t="s">
        <v>1397</v>
      </c>
      <c r="C33" t="s">
        <v>1720</v>
      </c>
    </row>
    <row r="34" spans="1:3" x14ac:dyDescent="0.3">
      <c r="A34" t="s">
        <v>1535</v>
      </c>
      <c r="B34" t="s">
        <v>174</v>
      </c>
      <c r="C34" t="s">
        <v>1721</v>
      </c>
    </row>
    <row r="35" spans="1:3" x14ac:dyDescent="0.3">
      <c r="A35" t="s">
        <v>1536</v>
      </c>
      <c r="B35" t="s">
        <v>106</v>
      </c>
      <c r="C35" t="s">
        <v>1722</v>
      </c>
    </row>
    <row r="36" spans="1:3" x14ac:dyDescent="0.3">
      <c r="A36" t="s">
        <v>1537</v>
      </c>
      <c r="B36" t="s">
        <v>508</v>
      </c>
      <c r="C36" t="s">
        <v>1723</v>
      </c>
    </row>
    <row r="37" spans="1:3" x14ac:dyDescent="0.3">
      <c r="A37" t="s">
        <v>1538</v>
      </c>
      <c r="B37" t="s">
        <v>652</v>
      </c>
      <c r="C37" t="s">
        <v>1724</v>
      </c>
    </row>
    <row r="38" spans="1:3" x14ac:dyDescent="0.3">
      <c r="A38" t="s">
        <v>1539</v>
      </c>
      <c r="B38" t="s">
        <v>592</v>
      </c>
      <c r="C38" t="s">
        <v>1725</v>
      </c>
    </row>
    <row r="39" spans="1:3" x14ac:dyDescent="0.3">
      <c r="A39" t="s">
        <v>1540</v>
      </c>
      <c r="B39" t="s">
        <v>589</v>
      </c>
      <c r="C39" t="s">
        <v>1726</v>
      </c>
    </row>
    <row r="40" spans="1:3" x14ac:dyDescent="0.3">
      <c r="A40" t="s">
        <v>1541</v>
      </c>
      <c r="B40" t="s">
        <v>1876</v>
      </c>
      <c r="C40" t="s">
        <v>1727</v>
      </c>
    </row>
    <row r="41" spans="1:3" x14ac:dyDescent="0.3">
      <c r="A41" t="s">
        <v>1885</v>
      </c>
      <c r="B41" t="s">
        <v>843</v>
      </c>
      <c r="C41" t="s">
        <v>1728</v>
      </c>
    </row>
    <row r="42" spans="1:3" x14ac:dyDescent="0.3">
      <c r="A42" t="s">
        <v>1886</v>
      </c>
      <c r="B42" t="s">
        <v>1877</v>
      </c>
      <c r="C42" t="s">
        <v>1729</v>
      </c>
    </row>
    <row r="43" spans="1:3" x14ac:dyDescent="0.3">
      <c r="A43" t="s">
        <v>1542</v>
      </c>
      <c r="B43" t="s">
        <v>840</v>
      </c>
      <c r="C43" t="s">
        <v>1730</v>
      </c>
    </row>
    <row r="44" spans="1:3" x14ac:dyDescent="0.3">
      <c r="A44" t="s">
        <v>1544</v>
      </c>
      <c r="B44" t="s">
        <v>620</v>
      </c>
      <c r="C44" t="s">
        <v>1731</v>
      </c>
    </row>
    <row r="45" spans="1:3" x14ac:dyDescent="0.3">
      <c r="A45" t="s">
        <v>1543</v>
      </c>
      <c r="B45" t="s">
        <v>624</v>
      </c>
      <c r="C45" t="s">
        <v>889</v>
      </c>
    </row>
    <row r="46" spans="1:3" x14ac:dyDescent="0.3">
      <c r="A46" t="s">
        <v>1545</v>
      </c>
      <c r="B46" t="s">
        <v>594</v>
      </c>
      <c r="C46" t="s">
        <v>1732</v>
      </c>
    </row>
    <row r="47" spans="1:3" x14ac:dyDescent="0.3">
      <c r="A47" t="s">
        <v>1546</v>
      </c>
      <c r="B47" t="s">
        <v>601</v>
      </c>
      <c r="C47" t="s">
        <v>884</v>
      </c>
    </row>
    <row r="48" spans="1:3" x14ac:dyDescent="0.3">
      <c r="A48" t="s">
        <v>1547</v>
      </c>
      <c r="B48" t="s">
        <v>608</v>
      </c>
      <c r="C48" t="s">
        <v>1733</v>
      </c>
    </row>
    <row r="49" spans="1:3" x14ac:dyDescent="0.3">
      <c r="A49" t="s">
        <v>1548</v>
      </c>
      <c r="B49" t="s">
        <v>1400</v>
      </c>
      <c r="C49" t="s">
        <v>1734</v>
      </c>
    </row>
    <row r="50" spans="1:3" x14ac:dyDescent="0.3">
      <c r="A50" t="s">
        <v>1549</v>
      </c>
      <c r="B50" t="s">
        <v>486</v>
      </c>
      <c r="C50" t="s">
        <v>1735</v>
      </c>
    </row>
    <row r="51" spans="1:3" x14ac:dyDescent="0.3">
      <c r="A51" t="s">
        <v>1550</v>
      </c>
      <c r="B51" t="s">
        <v>1401</v>
      </c>
      <c r="C51" t="s">
        <v>1736</v>
      </c>
    </row>
    <row r="52" spans="1:3" x14ac:dyDescent="0.3">
      <c r="A52" t="s">
        <v>1551</v>
      </c>
      <c r="B52" t="s">
        <v>463</v>
      </c>
      <c r="C52" t="s">
        <v>1737</v>
      </c>
    </row>
    <row r="53" spans="1:3" x14ac:dyDescent="0.3">
      <c r="A53" t="s">
        <v>1552</v>
      </c>
      <c r="B53" t="s">
        <v>1878</v>
      </c>
      <c r="C53" t="s">
        <v>1738</v>
      </c>
    </row>
    <row r="54" spans="1:3" x14ac:dyDescent="0.3">
      <c r="A54" t="s">
        <v>1553</v>
      </c>
      <c r="B54" t="s">
        <v>1402</v>
      </c>
      <c r="C54" t="s">
        <v>1739</v>
      </c>
    </row>
    <row r="55" spans="1:3" x14ac:dyDescent="0.3">
      <c r="A55" t="s">
        <v>1554</v>
      </c>
      <c r="B55" t="s">
        <v>128</v>
      </c>
      <c r="C55" t="s">
        <v>1740</v>
      </c>
    </row>
    <row r="56" spans="1:3" x14ac:dyDescent="0.3">
      <c r="A56" t="s">
        <v>1555</v>
      </c>
      <c r="B56" t="s">
        <v>670</v>
      </c>
      <c r="C56" t="s">
        <v>1741</v>
      </c>
    </row>
    <row r="57" spans="1:3" x14ac:dyDescent="0.3">
      <c r="A57" t="s">
        <v>1556</v>
      </c>
      <c r="B57" t="s">
        <v>1404</v>
      </c>
      <c r="C57" t="s">
        <v>1742</v>
      </c>
    </row>
    <row r="58" spans="1:3" x14ac:dyDescent="0.3">
      <c r="A58" t="s">
        <v>1557</v>
      </c>
      <c r="B58" t="s">
        <v>281</v>
      </c>
      <c r="C58" t="s">
        <v>1743</v>
      </c>
    </row>
    <row r="59" spans="1:3" x14ac:dyDescent="0.3">
      <c r="A59" t="s">
        <v>1558</v>
      </c>
      <c r="B59" t="s">
        <v>287</v>
      </c>
      <c r="C59" t="s">
        <v>1744</v>
      </c>
    </row>
    <row r="60" spans="1:3" x14ac:dyDescent="0.3">
      <c r="A60" t="s">
        <v>1559</v>
      </c>
      <c r="B60" t="s">
        <v>1406</v>
      </c>
      <c r="C60" t="s">
        <v>1745</v>
      </c>
    </row>
    <row r="61" spans="1:3" x14ac:dyDescent="0.3">
      <c r="A61" t="s">
        <v>1560</v>
      </c>
      <c r="B61" t="s">
        <v>1407</v>
      </c>
      <c r="C61" t="s">
        <v>1746</v>
      </c>
    </row>
    <row r="62" spans="1:3" x14ac:dyDescent="0.3">
      <c r="A62" t="s">
        <v>1561</v>
      </c>
      <c r="B62" t="s">
        <v>1408</v>
      </c>
      <c r="C62" t="s">
        <v>1747</v>
      </c>
    </row>
    <row r="63" spans="1:3" x14ac:dyDescent="0.3">
      <c r="A63" t="s">
        <v>1562</v>
      </c>
      <c r="B63" t="s">
        <v>1409</v>
      </c>
      <c r="C63" t="s">
        <v>1871</v>
      </c>
    </row>
    <row r="64" spans="1:3" x14ac:dyDescent="0.3">
      <c r="A64" t="s">
        <v>1563</v>
      </c>
      <c r="B64" t="s">
        <v>1410</v>
      </c>
      <c r="C64" t="s">
        <v>1748</v>
      </c>
    </row>
    <row r="65" spans="1:3" x14ac:dyDescent="0.3">
      <c r="A65" t="s">
        <v>1564</v>
      </c>
      <c r="B65" t="s">
        <v>1411</v>
      </c>
      <c r="C65" t="s">
        <v>1872</v>
      </c>
    </row>
    <row r="66" spans="1:3" x14ac:dyDescent="0.3">
      <c r="A66" t="s">
        <v>1565</v>
      </c>
      <c r="B66" t="s">
        <v>241</v>
      </c>
      <c r="C66" t="s">
        <v>1749</v>
      </c>
    </row>
    <row r="67" spans="1:3" x14ac:dyDescent="0.3">
      <c r="A67" t="s">
        <v>1566</v>
      </c>
      <c r="B67" t="s">
        <v>244</v>
      </c>
      <c r="C67" t="s">
        <v>1750</v>
      </c>
    </row>
    <row r="68" spans="1:3" x14ac:dyDescent="0.3">
      <c r="A68" t="s">
        <v>1567</v>
      </c>
      <c r="B68" t="s">
        <v>248</v>
      </c>
      <c r="C68" t="s">
        <v>1751</v>
      </c>
    </row>
    <row r="69" spans="1:3" x14ac:dyDescent="0.3">
      <c r="A69" t="s">
        <v>1568</v>
      </c>
      <c r="B69" t="s">
        <v>251</v>
      </c>
      <c r="C69" t="s">
        <v>1752</v>
      </c>
    </row>
    <row r="70" spans="1:3" x14ac:dyDescent="0.3">
      <c r="A70" t="s">
        <v>1569</v>
      </c>
      <c r="B70" t="s">
        <v>1232</v>
      </c>
      <c r="C70" t="s">
        <v>1753</v>
      </c>
    </row>
    <row r="71" spans="1:3" x14ac:dyDescent="0.3">
      <c r="A71" t="s">
        <v>1570</v>
      </c>
      <c r="B71" t="s">
        <v>259</v>
      </c>
      <c r="C71" t="s">
        <v>1754</v>
      </c>
    </row>
    <row r="72" spans="1:3" x14ac:dyDescent="0.3">
      <c r="A72" t="s">
        <v>1571</v>
      </c>
      <c r="B72" t="s">
        <v>965</v>
      </c>
      <c r="C72" t="s">
        <v>1755</v>
      </c>
    </row>
    <row r="73" spans="1:3" x14ac:dyDescent="0.3">
      <c r="A73" t="s">
        <v>1572</v>
      </c>
      <c r="B73" t="s">
        <v>1879</v>
      </c>
      <c r="C73" t="s">
        <v>1756</v>
      </c>
    </row>
    <row r="74" spans="1:3" x14ac:dyDescent="0.3">
      <c r="A74" t="s">
        <v>1573</v>
      </c>
      <c r="B74" t="s">
        <v>966</v>
      </c>
      <c r="C74" t="s">
        <v>1757</v>
      </c>
    </row>
    <row r="75" spans="1:3" x14ac:dyDescent="0.3">
      <c r="A75" t="s">
        <v>1574</v>
      </c>
      <c r="B75" t="s">
        <v>1413</v>
      </c>
      <c r="C75" t="s">
        <v>1758</v>
      </c>
    </row>
    <row r="76" spans="1:3" x14ac:dyDescent="0.3">
      <c r="A76" t="s">
        <v>1575</v>
      </c>
      <c r="B76" t="s">
        <v>196</v>
      </c>
      <c r="C76" t="s">
        <v>1759</v>
      </c>
    </row>
    <row r="77" spans="1:3" x14ac:dyDescent="0.3">
      <c r="A77" t="s">
        <v>1576</v>
      </c>
      <c r="B77" t="s">
        <v>220</v>
      </c>
      <c r="C77" t="s">
        <v>1760</v>
      </c>
    </row>
    <row r="78" spans="1:3" x14ac:dyDescent="0.3">
      <c r="A78" t="s">
        <v>1577</v>
      </c>
      <c r="B78" t="s">
        <v>198</v>
      </c>
      <c r="C78" t="s">
        <v>1761</v>
      </c>
    </row>
    <row r="79" spans="1:3" x14ac:dyDescent="0.3">
      <c r="A79" t="s">
        <v>1578</v>
      </c>
      <c r="B79" t="s">
        <v>201</v>
      </c>
      <c r="C79" t="s">
        <v>1762</v>
      </c>
    </row>
    <row r="80" spans="1:3" x14ac:dyDescent="0.3">
      <c r="A80" t="s">
        <v>1579</v>
      </c>
      <c r="B80" t="s">
        <v>1092</v>
      </c>
      <c r="C80" t="s">
        <v>1763</v>
      </c>
    </row>
    <row r="81" spans="1:3" x14ac:dyDescent="0.3">
      <c r="A81" t="s">
        <v>1580</v>
      </c>
      <c r="B81" t="s">
        <v>202</v>
      </c>
      <c r="C81" t="s">
        <v>882</v>
      </c>
    </row>
    <row r="82" spans="1:3" x14ac:dyDescent="0.3">
      <c r="A82" t="s">
        <v>1581</v>
      </c>
      <c r="B82" t="s">
        <v>206</v>
      </c>
      <c r="C82" t="s">
        <v>922</v>
      </c>
    </row>
    <row r="83" spans="1:3" x14ac:dyDescent="0.3">
      <c r="A83" t="s">
        <v>1582</v>
      </c>
      <c r="B83" t="s">
        <v>203</v>
      </c>
      <c r="C83" t="s">
        <v>1764</v>
      </c>
    </row>
    <row r="84" spans="1:3" x14ac:dyDescent="0.3">
      <c r="A84" t="s">
        <v>1583</v>
      </c>
      <c r="B84" t="s">
        <v>204</v>
      </c>
      <c r="C84" t="s">
        <v>1765</v>
      </c>
    </row>
    <row r="85" spans="1:3" x14ac:dyDescent="0.3">
      <c r="A85" t="s">
        <v>1584</v>
      </c>
      <c r="B85" t="s">
        <v>1414</v>
      </c>
      <c r="C85" t="s">
        <v>1766</v>
      </c>
    </row>
    <row r="86" spans="1:3" x14ac:dyDescent="0.3">
      <c r="A86" t="s">
        <v>1585</v>
      </c>
      <c r="B86" t="s">
        <v>336</v>
      </c>
      <c r="C86" t="s">
        <v>1767</v>
      </c>
    </row>
    <row r="87" spans="1:3" x14ac:dyDescent="0.3">
      <c r="A87" t="s">
        <v>1586</v>
      </c>
      <c r="B87" t="s">
        <v>1416</v>
      </c>
      <c r="C87" t="s">
        <v>1768</v>
      </c>
    </row>
    <row r="88" spans="1:3" x14ac:dyDescent="0.3">
      <c r="A88" t="s">
        <v>1587</v>
      </c>
      <c r="B88" t="s">
        <v>1417</v>
      </c>
      <c r="C88" t="s">
        <v>1769</v>
      </c>
    </row>
    <row r="89" spans="1:3" x14ac:dyDescent="0.3">
      <c r="A89" t="s">
        <v>1588</v>
      </c>
      <c r="B89" t="s">
        <v>1418</v>
      </c>
      <c r="C89" t="s">
        <v>1770</v>
      </c>
    </row>
    <row r="90" spans="1:3" x14ac:dyDescent="0.3">
      <c r="A90" t="s">
        <v>1589</v>
      </c>
      <c r="B90" t="s">
        <v>1419</v>
      </c>
      <c r="C90" t="s">
        <v>1771</v>
      </c>
    </row>
    <row r="91" spans="1:3" x14ac:dyDescent="0.3">
      <c r="A91" t="s">
        <v>1590</v>
      </c>
      <c r="B91" t="s">
        <v>1501</v>
      </c>
      <c r="C91" t="s">
        <v>1772</v>
      </c>
    </row>
    <row r="92" spans="1:3" x14ac:dyDescent="0.3">
      <c r="A92" t="s">
        <v>1591</v>
      </c>
      <c r="B92" t="s">
        <v>1420</v>
      </c>
      <c r="C92" t="s">
        <v>1873</v>
      </c>
    </row>
    <row r="93" spans="1:3" x14ac:dyDescent="0.3">
      <c r="A93" t="s">
        <v>1592</v>
      </c>
      <c r="B93" t="s">
        <v>1421</v>
      </c>
      <c r="C93" t="s">
        <v>1773</v>
      </c>
    </row>
    <row r="94" spans="1:3" x14ac:dyDescent="0.3">
      <c r="A94" t="s">
        <v>1593</v>
      </c>
      <c r="B94" t="s">
        <v>1422</v>
      </c>
      <c r="C94" t="s">
        <v>1774</v>
      </c>
    </row>
    <row r="95" spans="1:3" x14ac:dyDescent="0.3">
      <c r="A95" t="s">
        <v>1594</v>
      </c>
      <c r="B95" t="s">
        <v>1423</v>
      </c>
      <c r="C95" t="s">
        <v>1775</v>
      </c>
    </row>
    <row r="96" spans="1:3" x14ac:dyDescent="0.3">
      <c r="A96" t="s">
        <v>1595</v>
      </c>
      <c r="B96" t="s">
        <v>294</v>
      </c>
      <c r="C96" t="s">
        <v>1776</v>
      </c>
    </row>
    <row r="97" spans="1:3" x14ac:dyDescent="0.3">
      <c r="A97" t="s">
        <v>1596</v>
      </c>
      <c r="B97" t="s">
        <v>298</v>
      </c>
      <c r="C97" t="s">
        <v>1777</v>
      </c>
    </row>
    <row r="98" spans="1:3" x14ac:dyDescent="0.3">
      <c r="A98" t="s">
        <v>1597</v>
      </c>
      <c r="B98" t="s">
        <v>1424</v>
      </c>
      <c r="C98" t="s">
        <v>1778</v>
      </c>
    </row>
    <row r="99" spans="1:3" x14ac:dyDescent="0.3">
      <c r="A99" t="s">
        <v>1598</v>
      </c>
      <c r="B99" t="s">
        <v>310</v>
      </c>
      <c r="C99" t="s">
        <v>1779</v>
      </c>
    </row>
    <row r="100" spans="1:3" x14ac:dyDescent="0.3">
      <c r="A100" t="s">
        <v>1599</v>
      </c>
      <c r="B100" t="s">
        <v>1426</v>
      </c>
      <c r="C100" t="s">
        <v>1780</v>
      </c>
    </row>
    <row r="101" spans="1:3" x14ac:dyDescent="0.3">
      <c r="A101" t="s">
        <v>1600</v>
      </c>
      <c r="B101" t="s">
        <v>1427</v>
      </c>
      <c r="C101" t="s">
        <v>1781</v>
      </c>
    </row>
    <row r="102" spans="1:3" x14ac:dyDescent="0.3">
      <c r="A102" t="s">
        <v>1601</v>
      </c>
      <c r="B102" t="s">
        <v>744</v>
      </c>
      <c r="C102" t="s">
        <v>1782</v>
      </c>
    </row>
    <row r="103" spans="1:3" x14ac:dyDescent="0.3">
      <c r="A103" t="s">
        <v>1602</v>
      </c>
      <c r="B103" t="s">
        <v>322</v>
      </c>
      <c r="C103" t="s">
        <v>1783</v>
      </c>
    </row>
    <row r="104" spans="1:3" x14ac:dyDescent="0.3">
      <c r="A104" t="s">
        <v>1603</v>
      </c>
      <c r="B104" t="s">
        <v>1428</v>
      </c>
      <c r="C104" t="s">
        <v>1784</v>
      </c>
    </row>
    <row r="105" spans="1:3" x14ac:dyDescent="0.3">
      <c r="A105" t="s">
        <v>1604</v>
      </c>
      <c r="B105" t="s">
        <v>1429</v>
      </c>
      <c r="C105" t="s">
        <v>1785</v>
      </c>
    </row>
    <row r="106" spans="1:3" x14ac:dyDescent="0.3">
      <c r="A106" t="s">
        <v>1605</v>
      </c>
      <c r="B106" t="s">
        <v>1430</v>
      </c>
      <c r="C106" t="s">
        <v>1786</v>
      </c>
    </row>
    <row r="107" spans="1:3" x14ac:dyDescent="0.3">
      <c r="A107" t="s">
        <v>1606</v>
      </c>
      <c r="B107" t="s">
        <v>1431</v>
      </c>
      <c r="C107" t="s">
        <v>1787</v>
      </c>
    </row>
    <row r="108" spans="1:3" x14ac:dyDescent="0.3">
      <c r="A108" t="s">
        <v>1607</v>
      </c>
      <c r="B108" t="s">
        <v>1433</v>
      </c>
      <c r="C108" t="s">
        <v>1788</v>
      </c>
    </row>
    <row r="109" spans="1:3" x14ac:dyDescent="0.3">
      <c r="A109" t="s">
        <v>1608</v>
      </c>
      <c r="B109" t="s">
        <v>1434</v>
      </c>
      <c r="C109" t="s">
        <v>1789</v>
      </c>
    </row>
    <row r="110" spans="1:3" x14ac:dyDescent="0.3">
      <c r="A110" t="s">
        <v>1609</v>
      </c>
      <c r="B110" t="s">
        <v>518</v>
      </c>
      <c r="C110" t="s">
        <v>1874</v>
      </c>
    </row>
    <row r="111" spans="1:3" x14ac:dyDescent="0.3">
      <c r="A111" t="s">
        <v>1610</v>
      </c>
      <c r="B111" t="s">
        <v>217</v>
      </c>
      <c r="C111" t="s">
        <v>1790</v>
      </c>
    </row>
    <row r="112" spans="1:3" x14ac:dyDescent="0.3">
      <c r="A112" t="s">
        <v>1611</v>
      </c>
      <c r="B112" t="s">
        <v>530</v>
      </c>
      <c r="C112" t="s">
        <v>1791</v>
      </c>
    </row>
    <row r="113" spans="1:3" x14ac:dyDescent="0.3">
      <c r="A113" t="s">
        <v>1612</v>
      </c>
      <c r="B113" t="s">
        <v>534</v>
      </c>
      <c r="C113" t="s">
        <v>1792</v>
      </c>
    </row>
    <row r="114" spans="1:3" x14ac:dyDescent="0.3">
      <c r="A114" t="s">
        <v>1613</v>
      </c>
      <c r="B114" t="s">
        <v>537</v>
      </c>
      <c r="C114" t="s">
        <v>1793</v>
      </c>
    </row>
    <row r="115" spans="1:3" x14ac:dyDescent="0.3">
      <c r="A115" t="s">
        <v>1614</v>
      </c>
      <c r="B115" t="s">
        <v>1436</v>
      </c>
      <c r="C115" t="s">
        <v>1794</v>
      </c>
    </row>
    <row r="116" spans="1:3" x14ac:dyDescent="0.3">
      <c r="A116" t="s">
        <v>1615</v>
      </c>
      <c r="B116" t="s">
        <v>1437</v>
      </c>
      <c r="C116" t="s">
        <v>1795</v>
      </c>
    </row>
    <row r="117" spans="1:3" x14ac:dyDescent="0.3">
      <c r="A117" t="s">
        <v>1616</v>
      </c>
      <c r="B117" t="s">
        <v>1438</v>
      </c>
      <c r="C117" t="s">
        <v>1796</v>
      </c>
    </row>
    <row r="118" spans="1:3" x14ac:dyDescent="0.3">
      <c r="A118" t="s">
        <v>1617</v>
      </c>
      <c r="B118" t="s">
        <v>1439</v>
      </c>
      <c r="C118" t="s">
        <v>1797</v>
      </c>
    </row>
    <row r="119" spans="1:3" x14ac:dyDescent="0.3">
      <c r="A119" t="s">
        <v>1618</v>
      </c>
      <c r="B119" t="s">
        <v>1440</v>
      </c>
      <c r="C119" t="s">
        <v>1798</v>
      </c>
    </row>
    <row r="120" spans="1:3" x14ac:dyDescent="0.3">
      <c r="A120" t="s">
        <v>1619</v>
      </c>
      <c r="B120" t="s">
        <v>1441</v>
      </c>
      <c r="C120" t="s">
        <v>1799</v>
      </c>
    </row>
    <row r="121" spans="1:3" x14ac:dyDescent="0.3">
      <c r="A121" t="s">
        <v>1620</v>
      </c>
      <c r="B121" t="s">
        <v>1442</v>
      </c>
      <c r="C121" t="s">
        <v>1800</v>
      </c>
    </row>
    <row r="122" spans="1:3" x14ac:dyDescent="0.3">
      <c r="A122" t="s">
        <v>1621</v>
      </c>
      <c r="B122" t="s">
        <v>1443</v>
      </c>
      <c r="C122" t="s">
        <v>1801</v>
      </c>
    </row>
    <row r="123" spans="1:3" x14ac:dyDescent="0.3">
      <c r="A123" t="s">
        <v>1622</v>
      </c>
      <c r="B123" t="s">
        <v>1444</v>
      </c>
      <c r="C123" t="s">
        <v>1802</v>
      </c>
    </row>
    <row r="124" spans="1:3" x14ac:dyDescent="0.3">
      <c r="A124" t="s">
        <v>1623</v>
      </c>
      <c r="B124" t="s">
        <v>1445</v>
      </c>
      <c r="C124" t="s">
        <v>1803</v>
      </c>
    </row>
    <row r="125" spans="1:3" x14ac:dyDescent="0.3">
      <c r="A125" t="s">
        <v>1624</v>
      </c>
      <c r="B125" t="s">
        <v>1446</v>
      </c>
      <c r="C125" t="s">
        <v>1804</v>
      </c>
    </row>
    <row r="126" spans="1:3" x14ac:dyDescent="0.3">
      <c r="A126" t="s">
        <v>1625</v>
      </c>
      <c r="B126" t="s">
        <v>1447</v>
      </c>
      <c r="C126" t="s">
        <v>1805</v>
      </c>
    </row>
    <row r="127" spans="1:3" x14ac:dyDescent="0.3">
      <c r="A127" t="s">
        <v>1626</v>
      </c>
      <c r="B127" t="s">
        <v>1448</v>
      </c>
      <c r="C127" t="s">
        <v>1806</v>
      </c>
    </row>
    <row r="128" spans="1:3" x14ac:dyDescent="0.3">
      <c r="A128" t="s">
        <v>1627</v>
      </c>
      <c r="B128" t="s">
        <v>1449</v>
      </c>
      <c r="C128" t="s">
        <v>1807</v>
      </c>
    </row>
    <row r="129" spans="1:3" x14ac:dyDescent="0.3">
      <c r="A129" t="s">
        <v>1628</v>
      </c>
      <c r="B129" t="s">
        <v>1450</v>
      </c>
      <c r="C129" t="s">
        <v>1808</v>
      </c>
    </row>
    <row r="130" spans="1:3" x14ac:dyDescent="0.3">
      <c r="A130" t="s">
        <v>1629</v>
      </c>
      <c r="B130" t="s">
        <v>1451</v>
      </c>
      <c r="C130" t="s">
        <v>1809</v>
      </c>
    </row>
    <row r="131" spans="1:3" x14ac:dyDescent="0.3">
      <c r="A131" t="s">
        <v>1630</v>
      </c>
      <c r="B131" t="s">
        <v>1452</v>
      </c>
      <c r="C131" t="s">
        <v>1810</v>
      </c>
    </row>
    <row r="132" spans="1:3" x14ac:dyDescent="0.3">
      <c r="A132" t="s">
        <v>1631</v>
      </c>
      <c r="B132" t="s">
        <v>1453</v>
      </c>
      <c r="C132" t="s">
        <v>1811</v>
      </c>
    </row>
    <row r="133" spans="1:3" x14ac:dyDescent="0.3">
      <c r="A133" t="s">
        <v>1632</v>
      </c>
      <c r="B133" t="s">
        <v>1454</v>
      </c>
      <c r="C133" t="s">
        <v>1812</v>
      </c>
    </row>
    <row r="134" spans="1:3" x14ac:dyDescent="0.3">
      <c r="A134" t="s">
        <v>1633</v>
      </c>
      <c r="B134" t="s">
        <v>1455</v>
      </c>
      <c r="C134" t="s">
        <v>1813</v>
      </c>
    </row>
    <row r="135" spans="1:3" x14ac:dyDescent="0.3">
      <c r="A135" t="s">
        <v>1634</v>
      </c>
      <c r="B135" t="s">
        <v>1456</v>
      </c>
      <c r="C135" t="s">
        <v>1814</v>
      </c>
    </row>
    <row r="136" spans="1:3" x14ac:dyDescent="0.3">
      <c r="A136" t="s">
        <v>1635</v>
      </c>
      <c r="B136" t="s">
        <v>1457</v>
      </c>
      <c r="C136" t="s">
        <v>1815</v>
      </c>
    </row>
    <row r="137" spans="1:3" x14ac:dyDescent="0.3">
      <c r="A137" t="s">
        <v>1636</v>
      </c>
      <c r="B137" t="s">
        <v>1458</v>
      </c>
      <c r="C137" t="s">
        <v>1816</v>
      </c>
    </row>
    <row r="138" spans="1:3" x14ac:dyDescent="0.3">
      <c r="A138" t="s">
        <v>1637</v>
      </c>
      <c r="B138" t="s">
        <v>839</v>
      </c>
      <c r="C138" t="s">
        <v>1817</v>
      </c>
    </row>
    <row r="139" spans="1:3" x14ac:dyDescent="0.3">
      <c r="A139" t="s">
        <v>1638</v>
      </c>
      <c r="B139" t="s">
        <v>1499</v>
      </c>
      <c r="C139" t="s">
        <v>1818</v>
      </c>
    </row>
    <row r="140" spans="1:3" x14ac:dyDescent="0.3">
      <c r="A140" t="s">
        <v>1639</v>
      </c>
      <c r="B140" t="s">
        <v>1459</v>
      </c>
      <c r="C140" t="s">
        <v>1819</v>
      </c>
    </row>
    <row r="141" spans="1:3" x14ac:dyDescent="0.3">
      <c r="A141" t="s">
        <v>1640</v>
      </c>
      <c r="B141" t="s">
        <v>848</v>
      </c>
      <c r="C141" t="s">
        <v>870</v>
      </c>
    </row>
    <row r="142" spans="1:3" x14ac:dyDescent="0.3">
      <c r="A142" t="s">
        <v>1641</v>
      </c>
      <c r="B142" t="s">
        <v>849</v>
      </c>
      <c r="C142" t="s">
        <v>1820</v>
      </c>
    </row>
    <row r="143" spans="1:3" x14ac:dyDescent="0.3">
      <c r="A143" t="s">
        <v>1642</v>
      </c>
      <c r="B143" t="s">
        <v>328</v>
      </c>
      <c r="C143" t="s">
        <v>1821</v>
      </c>
    </row>
    <row r="144" spans="1:3" x14ac:dyDescent="0.3">
      <c r="A144" t="s">
        <v>1643</v>
      </c>
      <c r="B144" t="s">
        <v>1460</v>
      </c>
      <c r="C144" t="s">
        <v>1822</v>
      </c>
    </row>
    <row r="145" spans="1:3" x14ac:dyDescent="0.3">
      <c r="A145" t="s">
        <v>1644</v>
      </c>
      <c r="B145" t="s">
        <v>1461</v>
      </c>
      <c r="C145" t="s">
        <v>1823</v>
      </c>
    </row>
    <row r="146" spans="1:3" x14ac:dyDescent="0.3">
      <c r="A146" t="s">
        <v>1645</v>
      </c>
      <c r="B146" t="s">
        <v>1462</v>
      </c>
      <c r="C146" t="s">
        <v>1824</v>
      </c>
    </row>
    <row r="147" spans="1:3" x14ac:dyDescent="0.3">
      <c r="A147" t="s">
        <v>1646</v>
      </c>
      <c r="B147" t="s">
        <v>1463</v>
      </c>
      <c r="C147" t="s">
        <v>1825</v>
      </c>
    </row>
    <row r="148" spans="1:3" x14ac:dyDescent="0.3">
      <c r="A148" t="s">
        <v>1647</v>
      </c>
      <c r="B148" t="s">
        <v>1502</v>
      </c>
      <c r="C148" t="s">
        <v>1826</v>
      </c>
    </row>
    <row r="149" spans="1:3" x14ac:dyDescent="0.3">
      <c r="A149" t="s">
        <v>1648</v>
      </c>
      <c r="B149" t="s">
        <v>1503</v>
      </c>
      <c r="C149" t="s">
        <v>1827</v>
      </c>
    </row>
    <row r="150" spans="1:3" x14ac:dyDescent="0.3">
      <c r="A150" t="s">
        <v>1649</v>
      </c>
      <c r="B150" t="s">
        <v>1880</v>
      </c>
      <c r="C150" t="s">
        <v>1828</v>
      </c>
    </row>
    <row r="151" spans="1:3" x14ac:dyDescent="0.3">
      <c r="A151" t="s">
        <v>1650</v>
      </c>
      <c r="B151" t="s">
        <v>1464</v>
      </c>
      <c r="C151" t="s">
        <v>1829</v>
      </c>
    </row>
    <row r="152" spans="1:3" x14ac:dyDescent="0.3">
      <c r="A152" t="s">
        <v>1651</v>
      </c>
      <c r="B152" t="s">
        <v>498</v>
      </c>
      <c r="C152" t="s">
        <v>1830</v>
      </c>
    </row>
    <row r="153" spans="1:3" x14ac:dyDescent="0.3">
      <c r="A153" t="s">
        <v>1652</v>
      </c>
      <c r="B153" t="s">
        <v>1465</v>
      </c>
      <c r="C153" t="s">
        <v>1831</v>
      </c>
    </row>
    <row r="154" spans="1:3" x14ac:dyDescent="0.3">
      <c r="A154" t="s">
        <v>1653</v>
      </c>
      <c r="B154" t="s">
        <v>650</v>
      </c>
      <c r="C154" t="s">
        <v>1832</v>
      </c>
    </row>
    <row r="155" spans="1:3" x14ac:dyDescent="0.3">
      <c r="A155" t="s">
        <v>1654</v>
      </c>
      <c r="B155" t="s">
        <v>838</v>
      </c>
      <c r="C155" t="s">
        <v>1833</v>
      </c>
    </row>
    <row r="156" spans="1:3" x14ac:dyDescent="0.3">
      <c r="A156" t="s">
        <v>1655</v>
      </c>
      <c r="B156" t="s">
        <v>700</v>
      </c>
      <c r="C156" t="s">
        <v>1834</v>
      </c>
    </row>
    <row r="157" spans="1:3" x14ac:dyDescent="0.3">
      <c r="A157" t="s">
        <v>1656</v>
      </c>
      <c r="B157" t="s">
        <v>1466</v>
      </c>
      <c r="C157" t="s">
        <v>1835</v>
      </c>
    </row>
    <row r="158" spans="1:3" x14ac:dyDescent="0.3">
      <c r="A158" t="s">
        <v>1657</v>
      </c>
      <c r="B158" t="s">
        <v>1467</v>
      </c>
      <c r="C158" t="s">
        <v>1836</v>
      </c>
    </row>
    <row r="159" spans="1:3" x14ac:dyDescent="0.3">
      <c r="A159" t="s">
        <v>1658</v>
      </c>
      <c r="B159" t="s">
        <v>1468</v>
      </c>
      <c r="C159" t="s">
        <v>1837</v>
      </c>
    </row>
    <row r="160" spans="1:3" x14ac:dyDescent="0.3">
      <c r="A160" t="s">
        <v>1659</v>
      </c>
      <c r="B160" t="s">
        <v>1469</v>
      </c>
      <c r="C160" t="s">
        <v>1838</v>
      </c>
    </row>
    <row r="161" spans="1:3" x14ac:dyDescent="0.3">
      <c r="A161" t="s">
        <v>1660</v>
      </c>
      <c r="B161" t="s">
        <v>1470</v>
      </c>
      <c r="C161" t="s">
        <v>1839</v>
      </c>
    </row>
    <row r="162" spans="1:3" x14ac:dyDescent="0.3">
      <c r="A162" t="s">
        <v>1661</v>
      </c>
      <c r="B162" t="s">
        <v>1471</v>
      </c>
      <c r="C162" t="s">
        <v>1840</v>
      </c>
    </row>
    <row r="163" spans="1:3" x14ac:dyDescent="0.3">
      <c r="A163" t="s">
        <v>1662</v>
      </c>
      <c r="B163" t="s">
        <v>1472</v>
      </c>
      <c r="C163" t="s">
        <v>1841</v>
      </c>
    </row>
    <row r="164" spans="1:3" x14ac:dyDescent="0.3">
      <c r="A164" t="s">
        <v>1663</v>
      </c>
      <c r="B164" t="s">
        <v>1084</v>
      </c>
      <c r="C164" t="s">
        <v>1875</v>
      </c>
    </row>
    <row r="165" spans="1:3" x14ac:dyDescent="0.3">
      <c r="A165" t="s">
        <v>1664</v>
      </c>
      <c r="B165" t="s">
        <v>1473</v>
      </c>
      <c r="C165" t="s">
        <v>1842</v>
      </c>
    </row>
    <row r="166" spans="1:3" x14ac:dyDescent="0.3">
      <c r="A166" t="s">
        <v>1665</v>
      </c>
      <c r="B166" t="s">
        <v>1474</v>
      </c>
      <c r="C166" t="s">
        <v>1843</v>
      </c>
    </row>
    <row r="167" spans="1:3" x14ac:dyDescent="0.3">
      <c r="A167" t="s">
        <v>1666</v>
      </c>
      <c r="B167" t="s">
        <v>1475</v>
      </c>
      <c r="C167" t="s">
        <v>916</v>
      </c>
    </row>
    <row r="168" spans="1:3" x14ac:dyDescent="0.3">
      <c r="A168" t="s">
        <v>1667</v>
      </c>
      <c r="B168" t="s">
        <v>1476</v>
      </c>
      <c r="C168" t="s">
        <v>1844</v>
      </c>
    </row>
    <row r="169" spans="1:3" x14ac:dyDescent="0.3">
      <c r="A169" t="s">
        <v>1668</v>
      </c>
      <c r="B169" t="s">
        <v>1214</v>
      </c>
      <c r="C169" t="s">
        <v>1845</v>
      </c>
    </row>
    <row r="170" spans="1:3" x14ac:dyDescent="0.3">
      <c r="A170" t="s">
        <v>1669</v>
      </c>
      <c r="B170" t="s">
        <v>1477</v>
      </c>
      <c r="C170" t="s">
        <v>1846</v>
      </c>
    </row>
    <row r="171" spans="1:3" x14ac:dyDescent="0.3">
      <c r="A171" t="s">
        <v>1670</v>
      </c>
      <c r="B171" t="s">
        <v>306</v>
      </c>
      <c r="C171" t="s">
        <v>1847</v>
      </c>
    </row>
    <row r="172" spans="1:3" x14ac:dyDescent="0.3">
      <c r="A172" t="s">
        <v>1671</v>
      </c>
      <c r="B172" t="s">
        <v>842</v>
      </c>
      <c r="C172" t="s">
        <v>881</v>
      </c>
    </row>
    <row r="173" spans="1:3" x14ac:dyDescent="0.3">
      <c r="A173" t="s">
        <v>1672</v>
      </c>
      <c r="B173" t="s">
        <v>1478</v>
      </c>
      <c r="C173" t="s">
        <v>1848</v>
      </c>
    </row>
    <row r="174" spans="1:3" x14ac:dyDescent="0.3">
      <c r="A174" t="s">
        <v>1673</v>
      </c>
      <c r="B174" t="s">
        <v>1479</v>
      </c>
      <c r="C174" t="s">
        <v>1849</v>
      </c>
    </row>
    <row r="175" spans="1:3" x14ac:dyDescent="0.3">
      <c r="A175" t="s">
        <v>1674</v>
      </c>
      <c r="B175" t="s">
        <v>1480</v>
      </c>
      <c r="C175" t="s">
        <v>1850</v>
      </c>
    </row>
    <row r="176" spans="1:3" x14ac:dyDescent="0.3">
      <c r="A176" t="s">
        <v>1675</v>
      </c>
      <c r="B176" t="s">
        <v>1481</v>
      </c>
      <c r="C176" t="s">
        <v>1851</v>
      </c>
    </row>
    <row r="177" spans="1:3" x14ac:dyDescent="0.3">
      <c r="A177" t="s">
        <v>1676</v>
      </c>
      <c r="B177" t="s">
        <v>231</v>
      </c>
      <c r="C177" t="s">
        <v>1852</v>
      </c>
    </row>
    <row r="178" spans="1:3" x14ac:dyDescent="0.3">
      <c r="A178" t="s">
        <v>1677</v>
      </c>
      <c r="B178" t="s">
        <v>1482</v>
      </c>
      <c r="C178" t="s">
        <v>1853</v>
      </c>
    </row>
    <row r="179" spans="1:3" x14ac:dyDescent="0.3">
      <c r="A179" t="s">
        <v>1678</v>
      </c>
      <c r="B179" t="s">
        <v>1483</v>
      </c>
      <c r="C179" t="s">
        <v>1854</v>
      </c>
    </row>
    <row r="180" spans="1:3" x14ac:dyDescent="0.3">
      <c r="A180" t="s">
        <v>1679</v>
      </c>
      <c r="B180" t="s">
        <v>1484</v>
      </c>
      <c r="C180" t="s">
        <v>1855</v>
      </c>
    </row>
    <row r="181" spans="1:3" x14ac:dyDescent="0.3">
      <c r="A181" t="s">
        <v>1680</v>
      </c>
      <c r="B181" t="s">
        <v>1485</v>
      </c>
      <c r="C181" t="s">
        <v>1856</v>
      </c>
    </row>
    <row r="182" spans="1:3" x14ac:dyDescent="0.3">
      <c r="A182" t="s">
        <v>1681</v>
      </c>
      <c r="B182" t="s">
        <v>513</v>
      </c>
      <c r="C182" t="s">
        <v>1857</v>
      </c>
    </row>
    <row r="183" spans="1:3" x14ac:dyDescent="0.3">
      <c r="A183" t="s">
        <v>1682</v>
      </c>
      <c r="B183" t="s">
        <v>1486</v>
      </c>
      <c r="C183" t="s">
        <v>1858</v>
      </c>
    </row>
    <row r="184" spans="1:3" x14ac:dyDescent="0.3">
      <c r="A184" t="s">
        <v>1683</v>
      </c>
      <c r="B184" t="s">
        <v>272</v>
      </c>
      <c r="C184" t="s">
        <v>1859</v>
      </c>
    </row>
    <row r="185" spans="1:3" x14ac:dyDescent="0.3">
      <c r="A185" t="s">
        <v>1684</v>
      </c>
      <c r="B185" t="s">
        <v>1488</v>
      </c>
      <c r="C185" t="s">
        <v>1860</v>
      </c>
    </row>
    <row r="186" spans="1:3" x14ac:dyDescent="0.3">
      <c r="A186" t="s">
        <v>1685</v>
      </c>
      <c r="B186" t="s">
        <v>516</v>
      </c>
      <c r="C186" t="s">
        <v>1861</v>
      </c>
    </row>
    <row r="187" spans="1:3" x14ac:dyDescent="0.3">
      <c r="A187" t="s">
        <v>1686</v>
      </c>
      <c r="B187" t="s">
        <v>1489</v>
      </c>
      <c r="C187" t="s">
        <v>1862</v>
      </c>
    </row>
    <row r="188" spans="1:3" x14ac:dyDescent="0.3">
      <c r="A188" t="s">
        <v>1687</v>
      </c>
      <c r="B188" t="s">
        <v>1491</v>
      </c>
      <c r="C188" t="s">
        <v>1863</v>
      </c>
    </row>
    <row r="189" spans="1:3" x14ac:dyDescent="0.3">
      <c r="A189" t="s">
        <v>1688</v>
      </c>
      <c r="B189" t="s">
        <v>1492</v>
      </c>
      <c r="C189" t="s">
        <v>1864</v>
      </c>
    </row>
    <row r="190" spans="1:3" x14ac:dyDescent="0.3">
      <c r="A190" t="s">
        <v>1689</v>
      </c>
      <c r="B190" t="s">
        <v>436</v>
      </c>
      <c r="C190" t="s">
        <v>1865</v>
      </c>
    </row>
    <row r="191" spans="1:3" x14ac:dyDescent="0.3">
      <c r="A191" t="s">
        <v>1887</v>
      </c>
      <c r="B191" t="s">
        <v>440</v>
      </c>
      <c r="C191" t="s">
        <v>1866</v>
      </c>
    </row>
    <row r="192" spans="1:3" x14ac:dyDescent="0.3">
      <c r="A192" t="s">
        <v>1888</v>
      </c>
      <c r="B192" t="s">
        <v>1881</v>
      </c>
      <c r="C192" t="s">
        <v>1867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ADB51-6884-4BD4-932B-4BCF97423A42}">
  <dimension ref="A2:C193"/>
  <sheetViews>
    <sheetView topLeftCell="A70" zoomScale="190" zoomScaleNormal="190" workbookViewId="0">
      <selection activeCell="C375" sqref="C375:C379"/>
    </sheetView>
  </sheetViews>
  <sheetFormatPr baseColWidth="10" defaultRowHeight="14.4" x14ac:dyDescent="0.3"/>
  <cols>
    <col min="1" max="1" width="12.6640625" customWidth="1"/>
    <col min="3" max="3" width="13.5546875" customWidth="1"/>
  </cols>
  <sheetData>
    <row r="2" spans="1:3" x14ac:dyDescent="0.3">
      <c r="A2">
        <v>102040101</v>
      </c>
      <c r="B2">
        <v>102040101</v>
      </c>
      <c r="C2">
        <f>A2-B2</f>
        <v>0</v>
      </c>
    </row>
    <row r="3" spans="1:3" x14ac:dyDescent="0.3">
      <c r="A3">
        <v>102040102</v>
      </c>
      <c r="B3">
        <v>102040102</v>
      </c>
      <c r="C3">
        <f t="shared" ref="C3:C66" si="0">A3-B3</f>
        <v>0</v>
      </c>
    </row>
    <row r="4" spans="1:3" x14ac:dyDescent="0.3">
      <c r="A4">
        <v>102040103</v>
      </c>
      <c r="B4">
        <v>102040103</v>
      </c>
      <c r="C4">
        <f t="shared" si="0"/>
        <v>0</v>
      </c>
    </row>
    <row r="5" spans="1:3" x14ac:dyDescent="0.3">
      <c r="A5">
        <v>103010101</v>
      </c>
      <c r="B5">
        <v>103010101</v>
      </c>
      <c r="C5">
        <f t="shared" si="0"/>
        <v>0</v>
      </c>
    </row>
    <row r="6" spans="1:3" x14ac:dyDescent="0.3">
      <c r="A6">
        <v>103010103</v>
      </c>
      <c r="B6">
        <v>103010103</v>
      </c>
      <c r="C6">
        <f t="shared" si="0"/>
        <v>0</v>
      </c>
    </row>
    <row r="7" spans="1:3" x14ac:dyDescent="0.3">
      <c r="A7">
        <v>103020104</v>
      </c>
      <c r="B7">
        <v>103020104</v>
      </c>
      <c r="C7">
        <f t="shared" si="0"/>
        <v>0</v>
      </c>
    </row>
    <row r="8" spans="1:3" x14ac:dyDescent="0.3">
      <c r="A8">
        <v>103030101</v>
      </c>
      <c r="B8">
        <v>103030101</v>
      </c>
      <c r="C8">
        <f t="shared" si="0"/>
        <v>0</v>
      </c>
    </row>
    <row r="9" spans="1:3" x14ac:dyDescent="0.3">
      <c r="A9">
        <v>103040101</v>
      </c>
      <c r="B9">
        <v>103040101</v>
      </c>
      <c r="C9">
        <f t="shared" si="0"/>
        <v>0</v>
      </c>
    </row>
    <row r="10" spans="1:3" x14ac:dyDescent="0.3">
      <c r="A10">
        <v>103040102</v>
      </c>
      <c r="B10">
        <v>103040102</v>
      </c>
      <c r="C10">
        <f t="shared" si="0"/>
        <v>0</v>
      </c>
    </row>
    <row r="11" spans="1:3" x14ac:dyDescent="0.3">
      <c r="A11" s="234">
        <v>103040201</v>
      </c>
      <c r="B11" s="234"/>
      <c r="C11" s="234">
        <f t="shared" si="0"/>
        <v>103040201</v>
      </c>
    </row>
    <row r="12" spans="1:3" x14ac:dyDescent="0.3">
      <c r="A12" s="234">
        <v>103040202</v>
      </c>
      <c r="B12" s="234"/>
      <c r="C12" s="234">
        <f t="shared" si="0"/>
        <v>103040202</v>
      </c>
    </row>
    <row r="13" spans="1:3" x14ac:dyDescent="0.3">
      <c r="A13">
        <v>103040203</v>
      </c>
      <c r="B13">
        <v>103040203</v>
      </c>
      <c r="C13">
        <f t="shared" si="0"/>
        <v>0</v>
      </c>
    </row>
    <row r="14" spans="1:3" x14ac:dyDescent="0.3">
      <c r="A14">
        <v>103040205</v>
      </c>
      <c r="B14">
        <v>103040205</v>
      </c>
      <c r="C14">
        <f t="shared" si="0"/>
        <v>0</v>
      </c>
    </row>
    <row r="15" spans="1:3" x14ac:dyDescent="0.3">
      <c r="A15">
        <v>103050104</v>
      </c>
      <c r="B15">
        <v>103050104</v>
      </c>
      <c r="C15">
        <f t="shared" si="0"/>
        <v>0</v>
      </c>
    </row>
    <row r="16" spans="1:3" x14ac:dyDescent="0.3">
      <c r="A16">
        <v>103080104</v>
      </c>
      <c r="B16">
        <v>103080104</v>
      </c>
      <c r="C16">
        <f t="shared" si="0"/>
        <v>0</v>
      </c>
    </row>
    <row r="17" spans="1:3" x14ac:dyDescent="0.3">
      <c r="A17">
        <v>103080107</v>
      </c>
      <c r="B17">
        <v>103080107</v>
      </c>
      <c r="C17">
        <f t="shared" si="0"/>
        <v>0</v>
      </c>
    </row>
    <row r="18" spans="1:3" x14ac:dyDescent="0.3">
      <c r="A18">
        <v>103090104</v>
      </c>
      <c r="B18">
        <v>103090104</v>
      </c>
      <c r="C18">
        <f t="shared" si="0"/>
        <v>0</v>
      </c>
    </row>
    <row r="19" spans="1:3" x14ac:dyDescent="0.3">
      <c r="A19" s="234">
        <v>10309020101</v>
      </c>
      <c r="B19" s="234">
        <v>103090201</v>
      </c>
      <c r="C19" s="234">
        <f t="shared" si="0"/>
        <v>10205929900</v>
      </c>
    </row>
    <row r="20" spans="1:3" x14ac:dyDescent="0.3">
      <c r="A20">
        <v>103090301</v>
      </c>
      <c r="B20">
        <v>103090301</v>
      </c>
      <c r="C20">
        <f t="shared" si="0"/>
        <v>0</v>
      </c>
    </row>
    <row r="21" spans="1:3" x14ac:dyDescent="0.3">
      <c r="A21">
        <v>104010103</v>
      </c>
      <c r="B21">
        <v>104010103</v>
      </c>
      <c r="C21">
        <f t="shared" si="0"/>
        <v>0</v>
      </c>
    </row>
    <row r="22" spans="1:3" x14ac:dyDescent="0.3">
      <c r="A22">
        <v>105020105</v>
      </c>
      <c r="B22">
        <v>105020105</v>
      </c>
      <c r="C22">
        <f t="shared" si="0"/>
        <v>0</v>
      </c>
    </row>
    <row r="23" spans="1:3" x14ac:dyDescent="0.3">
      <c r="A23">
        <v>105020201</v>
      </c>
      <c r="B23">
        <v>105020201</v>
      </c>
      <c r="C23">
        <f t="shared" si="0"/>
        <v>0</v>
      </c>
    </row>
    <row r="24" spans="1:3" x14ac:dyDescent="0.3">
      <c r="A24">
        <v>105020209</v>
      </c>
      <c r="B24">
        <v>105020209</v>
      </c>
      <c r="C24">
        <f t="shared" si="0"/>
        <v>0</v>
      </c>
    </row>
    <row r="25" spans="1:3" x14ac:dyDescent="0.3">
      <c r="A25">
        <v>105020304</v>
      </c>
      <c r="B25">
        <v>105020304</v>
      </c>
      <c r="C25">
        <f t="shared" si="0"/>
        <v>0</v>
      </c>
    </row>
    <row r="26" spans="1:3" x14ac:dyDescent="0.3">
      <c r="A26">
        <v>105020401</v>
      </c>
      <c r="B26">
        <v>105020401</v>
      </c>
      <c r="C26">
        <f t="shared" si="0"/>
        <v>0</v>
      </c>
    </row>
    <row r="27" spans="1:3" x14ac:dyDescent="0.3">
      <c r="A27">
        <v>105020502</v>
      </c>
      <c r="B27">
        <v>105020502</v>
      </c>
      <c r="C27">
        <f t="shared" si="0"/>
        <v>0</v>
      </c>
    </row>
    <row r="28" spans="1:3" x14ac:dyDescent="0.3">
      <c r="A28">
        <v>105020508</v>
      </c>
      <c r="B28">
        <v>105020508</v>
      </c>
      <c r="C28">
        <f t="shared" si="0"/>
        <v>0</v>
      </c>
    </row>
    <row r="29" spans="1:3" x14ac:dyDescent="0.3">
      <c r="A29">
        <v>105020509</v>
      </c>
      <c r="B29">
        <v>105020509</v>
      </c>
      <c r="C29">
        <f t="shared" si="0"/>
        <v>0</v>
      </c>
    </row>
    <row r="30" spans="1:3" x14ac:dyDescent="0.3">
      <c r="A30">
        <v>105020510</v>
      </c>
      <c r="B30">
        <v>105020510</v>
      </c>
      <c r="C30">
        <f t="shared" si="0"/>
        <v>0</v>
      </c>
    </row>
    <row r="31" spans="1:3" x14ac:dyDescent="0.3">
      <c r="A31">
        <v>105020511</v>
      </c>
      <c r="B31">
        <v>105020511</v>
      </c>
      <c r="C31">
        <f t="shared" si="0"/>
        <v>0</v>
      </c>
    </row>
    <row r="32" spans="1:3" x14ac:dyDescent="0.3">
      <c r="A32">
        <v>105020601</v>
      </c>
      <c r="B32">
        <v>105020601</v>
      </c>
      <c r="C32">
        <f t="shared" si="0"/>
        <v>0</v>
      </c>
    </row>
    <row r="33" spans="1:3" x14ac:dyDescent="0.3">
      <c r="A33">
        <v>105020602</v>
      </c>
      <c r="B33">
        <v>105020602</v>
      </c>
      <c r="C33">
        <f t="shared" si="0"/>
        <v>0</v>
      </c>
    </row>
    <row r="34" spans="1:3" x14ac:dyDescent="0.3">
      <c r="A34">
        <v>105020603</v>
      </c>
      <c r="B34">
        <v>105020603</v>
      </c>
      <c r="C34">
        <f t="shared" si="0"/>
        <v>0</v>
      </c>
    </row>
    <row r="35" spans="1:3" x14ac:dyDescent="0.3">
      <c r="A35">
        <v>105020606</v>
      </c>
      <c r="B35">
        <v>105020606</v>
      </c>
      <c r="C35">
        <f t="shared" si="0"/>
        <v>0</v>
      </c>
    </row>
    <row r="36" spans="1:3" x14ac:dyDescent="0.3">
      <c r="A36">
        <v>105020608</v>
      </c>
      <c r="B36">
        <v>105020608</v>
      </c>
      <c r="C36">
        <f t="shared" si="0"/>
        <v>0</v>
      </c>
    </row>
    <row r="37" spans="1:3" x14ac:dyDescent="0.3">
      <c r="A37">
        <v>105020609</v>
      </c>
      <c r="B37">
        <v>105020609</v>
      </c>
      <c r="C37">
        <f t="shared" si="0"/>
        <v>0</v>
      </c>
    </row>
    <row r="38" spans="1:3" x14ac:dyDescent="0.3">
      <c r="A38">
        <v>107010101</v>
      </c>
      <c r="B38">
        <v>107010101</v>
      </c>
      <c r="C38">
        <f t="shared" si="0"/>
        <v>0</v>
      </c>
    </row>
    <row r="39" spans="1:3" x14ac:dyDescent="0.3">
      <c r="A39">
        <v>107010102</v>
      </c>
      <c r="B39">
        <v>107010102</v>
      </c>
      <c r="C39">
        <f t="shared" si="0"/>
        <v>0</v>
      </c>
    </row>
    <row r="40" spans="1:3" x14ac:dyDescent="0.3">
      <c r="A40">
        <v>107010103</v>
      </c>
      <c r="B40">
        <v>107010103</v>
      </c>
      <c r="C40">
        <f t="shared" si="0"/>
        <v>0</v>
      </c>
    </row>
    <row r="41" spans="1:3" x14ac:dyDescent="0.3">
      <c r="A41" s="234">
        <v>107010105</v>
      </c>
      <c r="B41" s="234"/>
      <c r="C41" s="234">
        <f t="shared" si="0"/>
        <v>107010105</v>
      </c>
    </row>
    <row r="42" spans="1:3" x14ac:dyDescent="0.3">
      <c r="A42" s="234">
        <v>107010108</v>
      </c>
      <c r="B42" s="234"/>
      <c r="C42" s="234">
        <f t="shared" si="0"/>
        <v>107010108</v>
      </c>
    </row>
    <row r="43" spans="1:3" x14ac:dyDescent="0.3">
      <c r="A43">
        <v>107020101</v>
      </c>
      <c r="B43">
        <v>107020101</v>
      </c>
      <c r="C43">
        <f t="shared" si="0"/>
        <v>0</v>
      </c>
    </row>
    <row r="44" spans="1:3" x14ac:dyDescent="0.3">
      <c r="A44" s="234">
        <v>107020103</v>
      </c>
      <c r="B44" s="234"/>
      <c r="C44" s="234">
        <f t="shared" si="0"/>
        <v>107020103</v>
      </c>
    </row>
    <row r="45" spans="1:3" x14ac:dyDescent="0.3">
      <c r="A45">
        <v>107020102</v>
      </c>
      <c r="B45">
        <v>107020102</v>
      </c>
      <c r="C45">
        <f t="shared" si="0"/>
        <v>0</v>
      </c>
    </row>
    <row r="46" spans="1:3" x14ac:dyDescent="0.3">
      <c r="A46" s="234"/>
      <c r="B46" s="234">
        <v>107020103</v>
      </c>
      <c r="C46" s="234">
        <f t="shared" si="0"/>
        <v>-107020103</v>
      </c>
    </row>
    <row r="47" spans="1:3" x14ac:dyDescent="0.3">
      <c r="A47">
        <v>107020104</v>
      </c>
      <c r="B47">
        <v>107020104</v>
      </c>
      <c r="C47">
        <f t="shared" si="0"/>
        <v>0</v>
      </c>
    </row>
    <row r="48" spans="1:3" x14ac:dyDescent="0.3">
      <c r="A48">
        <v>107020105</v>
      </c>
      <c r="B48">
        <v>107020105</v>
      </c>
      <c r="C48">
        <f t="shared" si="0"/>
        <v>0</v>
      </c>
    </row>
    <row r="49" spans="1:3" x14ac:dyDescent="0.3">
      <c r="A49">
        <v>107020106</v>
      </c>
      <c r="B49">
        <v>107020106</v>
      </c>
      <c r="C49">
        <f t="shared" si="0"/>
        <v>0</v>
      </c>
    </row>
    <row r="50" spans="1:3" x14ac:dyDescent="0.3">
      <c r="A50">
        <v>107040101</v>
      </c>
      <c r="B50">
        <v>107040101</v>
      </c>
      <c r="C50">
        <f t="shared" si="0"/>
        <v>0</v>
      </c>
    </row>
    <row r="51" spans="1:3" x14ac:dyDescent="0.3">
      <c r="A51">
        <v>108010101</v>
      </c>
      <c r="B51">
        <v>108010101</v>
      </c>
      <c r="C51">
        <f t="shared" si="0"/>
        <v>0</v>
      </c>
    </row>
    <row r="52" spans="1:3" x14ac:dyDescent="0.3">
      <c r="A52">
        <v>108010102</v>
      </c>
      <c r="B52">
        <v>108010102</v>
      </c>
      <c r="C52">
        <f t="shared" si="0"/>
        <v>0</v>
      </c>
    </row>
    <row r="53" spans="1:3" x14ac:dyDescent="0.3">
      <c r="A53">
        <v>108010201</v>
      </c>
      <c r="B53">
        <v>108010201</v>
      </c>
      <c r="C53">
        <f t="shared" si="0"/>
        <v>0</v>
      </c>
    </row>
    <row r="54" spans="1:3" x14ac:dyDescent="0.3">
      <c r="A54">
        <v>108010301</v>
      </c>
      <c r="B54">
        <v>108010301</v>
      </c>
      <c r="C54">
        <f t="shared" si="0"/>
        <v>0</v>
      </c>
    </row>
    <row r="55" spans="1:3" x14ac:dyDescent="0.3">
      <c r="A55">
        <v>108020101</v>
      </c>
      <c r="B55">
        <v>108020101</v>
      </c>
      <c r="C55">
        <f t="shared" si="0"/>
        <v>0</v>
      </c>
    </row>
    <row r="56" spans="1:3" x14ac:dyDescent="0.3">
      <c r="A56">
        <v>108030103</v>
      </c>
      <c r="B56">
        <v>108030103</v>
      </c>
      <c r="C56">
        <f t="shared" si="0"/>
        <v>0</v>
      </c>
    </row>
    <row r="57" spans="1:3" x14ac:dyDescent="0.3">
      <c r="A57">
        <v>108040101</v>
      </c>
      <c r="B57">
        <v>108040101</v>
      </c>
      <c r="C57">
        <f t="shared" si="0"/>
        <v>0</v>
      </c>
    </row>
    <row r="58" spans="1:3" x14ac:dyDescent="0.3">
      <c r="A58">
        <v>108050103</v>
      </c>
      <c r="B58">
        <v>108050103</v>
      </c>
      <c r="C58">
        <f t="shared" si="0"/>
        <v>0</v>
      </c>
    </row>
    <row r="59" spans="1:3" x14ac:dyDescent="0.3">
      <c r="A59">
        <v>201010101</v>
      </c>
      <c r="B59">
        <v>201010101</v>
      </c>
      <c r="C59">
        <f t="shared" si="0"/>
        <v>0</v>
      </c>
    </row>
    <row r="60" spans="1:3" x14ac:dyDescent="0.3">
      <c r="A60">
        <v>201010102</v>
      </c>
      <c r="B60">
        <v>201010102</v>
      </c>
      <c r="C60">
        <f t="shared" si="0"/>
        <v>0</v>
      </c>
    </row>
    <row r="61" spans="1:3" x14ac:dyDescent="0.3">
      <c r="A61">
        <v>201030101</v>
      </c>
      <c r="B61">
        <v>201030101</v>
      </c>
      <c r="C61">
        <f t="shared" si="0"/>
        <v>0</v>
      </c>
    </row>
    <row r="62" spans="1:3" x14ac:dyDescent="0.3">
      <c r="A62">
        <v>201030102</v>
      </c>
      <c r="B62">
        <v>201030102</v>
      </c>
      <c r="C62">
        <f t="shared" si="0"/>
        <v>0</v>
      </c>
    </row>
    <row r="63" spans="1:3" x14ac:dyDescent="0.3">
      <c r="A63">
        <v>201030103</v>
      </c>
      <c r="B63">
        <v>201030103</v>
      </c>
      <c r="C63">
        <f t="shared" si="0"/>
        <v>0</v>
      </c>
    </row>
    <row r="64" spans="1:3" x14ac:dyDescent="0.3">
      <c r="A64">
        <v>201030104</v>
      </c>
      <c r="B64">
        <v>201030104</v>
      </c>
      <c r="C64">
        <f t="shared" si="0"/>
        <v>0</v>
      </c>
    </row>
    <row r="65" spans="1:3" x14ac:dyDescent="0.3">
      <c r="A65">
        <v>201030105</v>
      </c>
      <c r="B65">
        <v>201030105</v>
      </c>
      <c r="C65">
        <f t="shared" si="0"/>
        <v>0</v>
      </c>
    </row>
    <row r="66" spans="1:3" x14ac:dyDescent="0.3">
      <c r="A66">
        <v>201040108</v>
      </c>
      <c r="B66">
        <v>201040108</v>
      </c>
      <c r="C66">
        <f t="shared" si="0"/>
        <v>0</v>
      </c>
    </row>
    <row r="67" spans="1:3" x14ac:dyDescent="0.3">
      <c r="A67">
        <v>201040109</v>
      </c>
      <c r="B67">
        <v>201040109</v>
      </c>
      <c r="C67">
        <f t="shared" ref="C67:C130" si="1">A67-B67</f>
        <v>0</v>
      </c>
    </row>
    <row r="68" spans="1:3" x14ac:dyDescent="0.3">
      <c r="A68">
        <v>201040110</v>
      </c>
      <c r="B68">
        <v>201040110</v>
      </c>
      <c r="C68">
        <f t="shared" si="1"/>
        <v>0</v>
      </c>
    </row>
    <row r="69" spans="1:3" x14ac:dyDescent="0.3">
      <c r="A69">
        <v>201040113</v>
      </c>
      <c r="B69">
        <v>201040113</v>
      </c>
      <c r="C69">
        <f t="shared" si="1"/>
        <v>0</v>
      </c>
    </row>
    <row r="70" spans="1:3" x14ac:dyDescent="0.3">
      <c r="A70">
        <v>201040114</v>
      </c>
      <c r="B70">
        <v>201040114</v>
      </c>
      <c r="C70">
        <f t="shared" si="1"/>
        <v>0</v>
      </c>
    </row>
    <row r="71" spans="1:3" x14ac:dyDescent="0.3">
      <c r="A71">
        <v>201050101</v>
      </c>
      <c r="B71">
        <v>201050101</v>
      </c>
      <c r="C71">
        <f t="shared" si="1"/>
        <v>0</v>
      </c>
    </row>
    <row r="72" spans="1:3" x14ac:dyDescent="0.3">
      <c r="A72">
        <v>201050102</v>
      </c>
      <c r="B72">
        <v>201050102</v>
      </c>
      <c r="C72">
        <f t="shared" si="1"/>
        <v>0</v>
      </c>
    </row>
    <row r="73" spans="1:3" x14ac:dyDescent="0.3">
      <c r="A73">
        <v>201050201</v>
      </c>
      <c r="B73">
        <v>201050201</v>
      </c>
      <c r="C73">
        <f t="shared" si="1"/>
        <v>0</v>
      </c>
    </row>
    <row r="74" spans="1:3" x14ac:dyDescent="0.3">
      <c r="A74">
        <v>201050202</v>
      </c>
      <c r="B74">
        <v>201050202</v>
      </c>
      <c r="C74">
        <f t="shared" si="1"/>
        <v>0</v>
      </c>
    </row>
    <row r="75" spans="1:3" x14ac:dyDescent="0.3">
      <c r="A75">
        <v>201050203</v>
      </c>
      <c r="B75">
        <v>201050203</v>
      </c>
      <c r="C75">
        <f t="shared" si="1"/>
        <v>0</v>
      </c>
    </row>
    <row r="76" spans="1:3" x14ac:dyDescent="0.3">
      <c r="A76">
        <v>202010104</v>
      </c>
      <c r="B76">
        <v>202010104</v>
      </c>
      <c r="C76">
        <f t="shared" si="1"/>
        <v>0</v>
      </c>
    </row>
    <row r="77" spans="1:3" x14ac:dyDescent="0.3">
      <c r="A77">
        <v>202010105</v>
      </c>
      <c r="B77">
        <v>202010105</v>
      </c>
      <c r="C77">
        <f t="shared" si="1"/>
        <v>0</v>
      </c>
    </row>
    <row r="78" spans="1:3" x14ac:dyDescent="0.3">
      <c r="A78">
        <v>202010106</v>
      </c>
      <c r="B78">
        <v>202010106</v>
      </c>
      <c r="C78">
        <f t="shared" si="1"/>
        <v>0</v>
      </c>
    </row>
    <row r="79" spans="1:3" x14ac:dyDescent="0.3">
      <c r="A79">
        <v>202010107</v>
      </c>
      <c r="B79">
        <v>202010107</v>
      </c>
      <c r="C79">
        <f t="shared" si="1"/>
        <v>0</v>
      </c>
    </row>
    <row r="80" spans="1:3" x14ac:dyDescent="0.3">
      <c r="A80">
        <v>202010108</v>
      </c>
      <c r="B80">
        <v>202010108</v>
      </c>
      <c r="C80">
        <f t="shared" si="1"/>
        <v>0</v>
      </c>
    </row>
    <row r="81" spans="1:3" x14ac:dyDescent="0.3">
      <c r="A81">
        <v>202010109</v>
      </c>
      <c r="B81">
        <v>202010109</v>
      </c>
      <c r="C81">
        <f t="shared" si="1"/>
        <v>0</v>
      </c>
    </row>
    <row r="82" spans="1:3" x14ac:dyDescent="0.3">
      <c r="A82">
        <v>202010110</v>
      </c>
      <c r="B82">
        <v>202010110</v>
      </c>
      <c r="C82">
        <f t="shared" si="1"/>
        <v>0</v>
      </c>
    </row>
    <row r="83" spans="1:3" x14ac:dyDescent="0.3">
      <c r="A83">
        <v>202010111</v>
      </c>
      <c r="B83">
        <v>202010111</v>
      </c>
      <c r="C83">
        <f t="shared" si="1"/>
        <v>0</v>
      </c>
    </row>
    <row r="84" spans="1:3" x14ac:dyDescent="0.3">
      <c r="A84">
        <v>202010112</v>
      </c>
      <c r="B84">
        <v>202010112</v>
      </c>
      <c r="C84">
        <f t="shared" si="1"/>
        <v>0</v>
      </c>
    </row>
    <row r="85" spans="1:3" x14ac:dyDescent="0.3">
      <c r="A85">
        <v>202010113</v>
      </c>
      <c r="B85">
        <v>202010113</v>
      </c>
      <c r="C85">
        <f t="shared" si="1"/>
        <v>0</v>
      </c>
    </row>
    <row r="86" spans="1:3" x14ac:dyDescent="0.3">
      <c r="A86">
        <v>202010115</v>
      </c>
      <c r="B86">
        <v>202010115</v>
      </c>
      <c r="C86">
        <f t="shared" si="1"/>
        <v>0</v>
      </c>
    </row>
    <row r="87" spans="1:3" x14ac:dyDescent="0.3">
      <c r="A87">
        <v>202020101</v>
      </c>
      <c r="B87">
        <v>202020101</v>
      </c>
      <c r="C87">
        <f t="shared" si="1"/>
        <v>0</v>
      </c>
    </row>
    <row r="88" spans="1:3" x14ac:dyDescent="0.3">
      <c r="A88">
        <v>202020102</v>
      </c>
      <c r="B88">
        <v>202020102</v>
      </c>
      <c r="C88">
        <f t="shared" si="1"/>
        <v>0</v>
      </c>
    </row>
    <row r="89" spans="1:3" x14ac:dyDescent="0.3">
      <c r="A89">
        <v>202030105</v>
      </c>
      <c r="B89">
        <v>202030105</v>
      </c>
      <c r="C89">
        <f t="shared" si="1"/>
        <v>0</v>
      </c>
    </row>
    <row r="90" spans="1:3" x14ac:dyDescent="0.3">
      <c r="A90">
        <v>202030107</v>
      </c>
      <c r="B90">
        <v>202030107</v>
      </c>
      <c r="C90">
        <f t="shared" si="1"/>
        <v>0</v>
      </c>
    </row>
    <row r="91" spans="1:3" x14ac:dyDescent="0.3">
      <c r="A91">
        <v>202030108</v>
      </c>
      <c r="B91">
        <v>202030108</v>
      </c>
      <c r="C91">
        <f t="shared" si="1"/>
        <v>0</v>
      </c>
    </row>
    <row r="92" spans="1:3" x14ac:dyDescent="0.3">
      <c r="A92">
        <v>202030110</v>
      </c>
      <c r="B92">
        <v>202030110</v>
      </c>
      <c r="C92">
        <f t="shared" si="1"/>
        <v>0</v>
      </c>
    </row>
    <row r="93" spans="1:3" x14ac:dyDescent="0.3">
      <c r="A93">
        <v>202050101</v>
      </c>
      <c r="B93">
        <v>202050101</v>
      </c>
      <c r="C93">
        <f t="shared" si="1"/>
        <v>0</v>
      </c>
    </row>
    <row r="94" spans="1:3" x14ac:dyDescent="0.3">
      <c r="A94">
        <v>202050104</v>
      </c>
      <c r="B94">
        <v>202050104</v>
      </c>
      <c r="C94">
        <f t="shared" si="1"/>
        <v>0</v>
      </c>
    </row>
    <row r="95" spans="1:3" x14ac:dyDescent="0.3">
      <c r="A95">
        <v>202060101</v>
      </c>
      <c r="B95">
        <v>202060101</v>
      </c>
      <c r="C95">
        <f t="shared" si="1"/>
        <v>0</v>
      </c>
    </row>
    <row r="96" spans="1:3" x14ac:dyDescent="0.3">
      <c r="A96">
        <v>202060102</v>
      </c>
      <c r="B96">
        <v>202060102</v>
      </c>
      <c r="C96">
        <f t="shared" si="1"/>
        <v>0</v>
      </c>
    </row>
    <row r="97" spans="1:3" x14ac:dyDescent="0.3">
      <c r="A97">
        <v>202060103</v>
      </c>
      <c r="B97">
        <v>202060103</v>
      </c>
      <c r="C97">
        <f t="shared" si="1"/>
        <v>0</v>
      </c>
    </row>
    <row r="98" spans="1:3" x14ac:dyDescent="0.3">
      <c r="A98">
        <v>202060104</v>
      </c>
      <c r="B98">
        <v>202060104</v>
      </c>
      <c r="C98">
        <f t="shared" si="1"/>
        <v>0</v>
      </c>
    </row>
    <row r="99" spans="1:3" x14ac:dyDescent="0.3">
      <c r="A99">
        <v>202060105</v>
      </c>
      <c r="B99">
        <v>202060105</v>
      </c>
      <c r="C99">
        <f t="shared" si="1"/>
        <v>0</v>
      </c>
    </row>
    <row r="100" spans="1:3" x14ac:dyDescent="0.3">
      <c r="A100">
        <v>202060106</v>
      </c>
      <c r="B100">
        <v>202060106</v>
      </c>
      <c r="C100">
        <f t="shared" si="1"/>
        <v>0</v>
      </c>
    </row>
    <row r="101" spans="1:3" x14ac:dyDescent="0.3">
      <c r="A101">
        <v>203010101</v>
      </c>
      <c r="B101">
        <v>203010101</v>
      </c>
      <c r="C101">
        <f t="shared" si="1"/>
        <v>0</v>
      </c>
    </row>
    <row r="102" spans="1:3" x14ac:dyDescent="0.3">
      <c r="A102">
        <v>203010102</v>
      </c>
      <c r="B102">
        <v>203010102</v>
      </c>
      <c r="C102">
        <f t="shared" si="1"/>
        <v>0</v>
      </c>
    </row>
    <row r="103" spans="1:3" x14ac:dyDescent="0.3">
      <c r="A103">
        <v>203010108</v>
      </c>
      <c r="B103">
        <v>203010108</v>
      </c>
      <c r="C103">
        <f t="shared" si="1"/>
        <v>0</v>
      </c>
    </row>
    <row r="104" spans="1:3" x14ac:dyDescent="0.3">
      <c r="A104">
        <v>203010109</v>
      </c>
      <c r="B104">
        <v>203010109</v>
      </c>
      <c r="C104">
        <f t="shared" si="1"/>
        <v>0</v>
      </c>
    </row>
    <row r="105" spans="1:3" x14ac:dyDescent="0.3">
      <c r="A105">
        <v>203020115</v>
      </c>
      <c r="B105">
        <v>203020115</v>
      </c>
      <c r="C105">
        <f t="shared" si="1"/>
        <v>0</v>
      </c>
    </row>
    <row r="106" spans="1:3" x14ac:dyDescent="0.3">
      <c r="A106">
        <v>204010101</v>
      </c>
      <c r="B106">
        <v>204010101</v>
      </c>
      <c r="C106">
        <f t="shared" si="1"/>
        <v>0</v>
      </c>
    </row>
    <row r="107" spans="1:3" x14ac:dyDescent="0.3">
      <c r="A107">
        <v>204010102</v>
      </c>
      <c r="B107">
        <v>204010102</v>
      </c>
      <c r="C107">
        <f t="shared" si="1"/>
        <v>0</v>
      </c>
    </row>
    <row r="108" spans="1:3" x14ac:dyDescent="0.3">
      <c r="A108">
        <v>204010103</v>
      </c>
      <c r="B108">
        <v>204010103</v>
      </c>
      <c r="C108">
        <f t="shared" si="1"/>
        <v>0</v>
      </c>
    </row>
    <row r="109" spans="1:3" x14ac:dyDescent="0.3">
      <c r="A109">
        <v>204020101</v>
      </c>
      <c r="B109">
        <v>204020101</v>
      </c>
      <c r="C109">
        <f t="shared" si="1"/>
        <v>0</v>
      </c>
    </row>
    <row r="110" spans="1:3" x14ac:dyDescent="0.3">
      <c r="A110">
        <v>204040102</v>
      </c>
      <c r="B110">
        <v>204040102</v>
      </c>
      <c r="C110">
        <f t="shared" si="1"/>
        <v>0</v>
      </c>
    </row>
    <row r="111" spans="1:3" x14ac:dyDescent="0.3">
      <c r="A111">
        <v>205010110</v>
      </c>
      <c r="B111">
        <v>205010110</v>
      </c>
      <c r="C111">
        <f t="shared" si="1"/>
        <v>0</v>
      </c>
    </row>
    <row r="112" spans="1:3" x14ac:dyDescent="0.3">
      <c r="A112">
        <v>205020105</v>
      </c>
      <c r="B112">
        <v>205020105</v>
      </c>
      <c r="C112">
        <f t="shared" si="1"/>
        <v>0</v>
      </c>
    </row>
    <row r="113" spans="1:3" x14ac:dyDescent="0.3">
      <c r="A113">
        <v>205030105</v>
      </c>
      <c r="B113">
        <v>205030105</v>
      </c>
      <c r="C113">
        <f t="shared" si="1"/>
        <v>0</v>
      </c>
    </row>
    <row r="114" spans="1:3" x14ac:dyDescent="0.3">
      <c r="A114">
        <v>205050101</v>
      </c>
      <c r="B114">
        <v>205050101</v>
      </c>
      <c r="C114">
        <f t="shared" si="1"/>
        <v>0</v>
      </c>
    </row>
    <row r="115" spans="1:3" x14ac:dyDescent="0.3">
      <c r="A115">
        <v>205050102</v>
      </c>
      <c r="B115">
        <v>205050102</v>
      </c>
      <c r="C115">
        <f t="shared" si="1"/>
        <v>0</v>
      </c>
    </row>
    <row r="116" spans="1:3" x14ac:dyDescent="0.3">
      <c r="A116">
        <v>205060301</v>
      </c>
      <c r="B116">
        <v>205060301</v>
      </c>
      <c r="C116">
        <f t="shared" si="1"/>
        <v>0</v>
      </c>
    </row>
    <row r="117" spans="1:3" x14ac:dyDescent="0.3">
      <c r="A117">
        <v>205060302</v>
      </c>
      <c r="B117">
        <v>205060302</v>
      </c>
      <c r="C117">
        <f t="shared" si="1"/>
        <v>0</v>
      </c>
    </row>
    <row r="118" spans="1:3" x14ac:dyDescent="0.3">
      <c r="A118">
        <v>206050101</v>
      </c>
      <c r="B118">
        <v>206050101</v>
      </c>
      <c r="C118">
        <f t="shared" si="1"/>
        <v>0</v>
      </c>
    </row>
    <row r="119" spans="1:3" x14ac:dyDescent="0.3">
      <c r="A119">
        <v>206050102</v>
      </c>
      <c r="B119">
        <v>206050102</v>
      </c>
      <c r="C119">
        <f t="shared" si="1"/>
        <v>0</v>
      </c>
    </row>
    <row r="120" spans="1:3" x14ac:dyDescent="0.3">
      <c r="A120">
        <v>206050103</v>
      </c>
      <c r="B120">
        <v>206050103</v>
      </c>
      <c r="C120">
        <f t="shared" si="1"/>
        <v>0</v>
      </c>
    </row>
    <row r="121" spans="1:3" x14ac:dyDescent="0.3">
      <c r="A121">
        <v>206050104</v>
      </c>
      <c r="B121">
        <v>206050104</v>
      </c>
      <c r="C121">
        <f t="shared" si="1"/>
        <v>0</v>
      </c>
    </row>
    <row r="122" spans="1:3" x14ac:dyDescent="0.3">
      <c r="A122">
        <v>206050105</v>
      </c>
      <c r="B122">
        <v>206050105</v>
      </c>
      <c r="C122">
        <f t="shared" si="1"/>
        <v>0</v>
      </c>
    </row>
    <row r="123" spans="1:3" x14ac:dyDescent="0.3">
      <c r="A123">
        <v>206070101</v>
      </c>
      <c r="B123">
        <v>206070101</v>
      </c>
      <c r="C123">
        <f t="shared" si="1"/>
        <v>0</v>
      </c>
    </row>
    <row r="124" spans="1:3" x14ac:dyDescent="0.3">
      <c r="A124">
        <v>206070102</v>
      </c>
      <c r="B124">
        <v>206070102</v>
      </c>
      <c r="C124">
        <f t="shared" si="1"/>
        <v>0</v>
      </c>
    </row>
    <row r="125" spans="1:3" x14ac:dyDescent="0.3">
      <c r="A125">
        <v>206080104</v>
      </c>
      <c r="B125">
        <v>206080104</v>
      </c>
      <c r="C125">
        <f t="shared" si="1"/>
        <v>0</v>
      </c>
    </row>
    <row r="126" spans="1:3" x14ac:dyDescent="0.3">
      <c r="A126">
        <v>206080105</v>
      </c>
      <c r="B126">
        <v>206080105</v>
      </c>
      <c r="C126">
        <f t="shared" si="1"/>
        <v>0</v>
      </c>
    </row>
    <row r="127" spans="1:3" x14ac:dyDescent="0.3">
      <c r="A127">
        <v>206080106</v>
      </c>
      <c r="B127">
        <v>206080106</v>
      </c>
      <c r="C127">
        <f t="shared" si="1"/>
        <v>0</v>
      </c>
    </row>
    <row r="128" spans="1:3" x14ac:dyDescent="0.3">
      <c r="A128">
        <v>206080202</v>
      </c>
      <c r="B128">
        <v>206080202</v>
      </c>
      <c r="C128">
        <f t="shared" si="1"/>
        <v>0</v>
      </c>
    </row>
    <row r="129" spans="1:3" x14ac:dyDescent="0.3">
      <c r="A129">
        <v>206080203</v>
      </c>
      <c r="B129">
        <v>206080203</v>
      </c>
      <c r="C129">
        <f t="shared" si="1"/>
        <v>0</v>
      </c>
    </row>
    <row r="130" spans="1:3" x14ac:dyDescent="0.3">
      <c r="A130">
        <v>206080204</v>
      </c>
      <c r="B130">
        <v>206080204</v>
      </c>
      <c r="C130">
        <f t="shared" si="1"/>
        <v>0</v>
      </c>
    </row>
    <row r="131" spans="1:3" x14ac:dyDescent="0.3">
      <c r="A131">
        <v>206080301</v>
      </c>
      <c r="B131">
        <v>206080301</v>
      </c>
      <c r="C131">
        <f t="shared" ref="C131:C193" si="2">A131-B131</f>
        <v>0</v>
      </c>
    </row>
    <row r="132" spans="1:3" x14ac:dyDescent="0.3">
      <c r="A132">
        <v>206080302</v>
      </c>
      <c r="B132">
        <v>206080302</v>
      </c>
      <c r="C132">
        <f t="shared" si="2"/>
        <v>0</v>
      </c>
    </row>
    <row r="133" spans="1:3" x14ac:dyDescent="0.3">
      <c r="A133">
        <v>206080401</v>
      </c>
      <c r="B133">
        <v>206080401</v>
      </c>
      <c r="C133">
        <f t="shared" si="2"/>
        <v>0</v>
      </c>
    </row>
    <row r="134" spans="1:3" x14ac:dyDescent="0.3">
      <c r="A134">
        <v>206080402</v>
      </c>
      <c r="B134">
        <v>206080402</v>
      </c>
      <c r="C134">
        <f t="shared" si="2"/>
        <v>0</v>
      </c>
    </row>
    <row r="135" spans="1:3" x14ac:dyDescent="0.3">
      <c r="A135">
        <v>206080403</v>
      </c>
      <c r="B135">
        <v>206080403</v>
      </c>
      <c r="C135">
        <f t="shared" si="2"/>
        <v>0</v>
      </c>
    </row>
    <row r="136" spans="1:3" x14ac:dyDescent="0.3">
      <c r="A136">
        <v>206080406</v>
      </c>
      <c r="B136">
        <v>206080406</v>
      </c>
      <c r="C136">
        <f t="shared" si="2"/>
        <v>0</v>
      </c>
    </row>
    <row r="137" spans="1:3" x14ac:dyDescent="0.3">
      <c r="A137">
        <v>206080501</v>
      </c>
      <c r="B137">
        <v>206080501</v>
      </c>
      <c r="C137">
        <f t="shared" si="2"/>
        <v>0</v>
      </c>
    </row>
    <row r="138" spans="1:3" x14ac:dyDescent="0.3">
      <c r="A138">
        <v>206080502</v>
      </c>
      <c r="B138">
        <v>206080502</v>
      </c>
      <c r="C138">
        <f t="shared" si="2"/>
        <v>0</v>
      </c>
    </row>
    <row r="139" spans="1:3" x14ac:dyDescent="0.3">
      <c r="A139">
        <v>206080503</v>
      </c>
      <c r="B139">
        <v>206080503</v>
      </c>
      <c r="C139">
        <f t="shared" si="2"/>
        <v>0</v>
      </c>
    </row>
    <row r="140" spans="1:3" x14ac:dyDescent="0.3">
      <c r="A140">
        <v>206080504</v>
      </c>
      <c r="B140">
        <v>206080504</v>
      </c>
      <c r="C140">
        <f t="shared" si="2"/>
        <v>0</v>
      </c>
    </row>
    <row r="141" spans="1:3" x14ac:dyDescent="0.3">
      <c r="A141">
        <v>206080505</v>
      </c>
      <c r="B141">
        <v>206080505</v>
      </c>
      <c r="C141">
        <f t="shared" si="2"/>
        <v>0</v>
      </c>
    </row>
    <row r="142" spans="1:3" x14ac:dyDescent="0.3">
      <c r="A142">
        <v>206080602</v>
      </c>
      <c r="B142">
        <v>206080602</v>
      </c>
      <c r="C142">
        <f t="shared" si="2"/>
        <v>0</v>
      </c>
    </row>
    <row r="143" spans="1:3" x14ac:dyDescent="0.3">
      <c r="A143">
        <v>206080603</v>
      </c>
      <c r="B143">
        <v>206080603</v>
      </c>
      <c r="C143">
        <f t="shared" si="2"/>
        <v>0</v>
      </c>
    </row>
    <row r="144" spans="1:3" x14ac:dyDescent="0.3">
      <c r="A144">
        <v>206080604</v>
      </c>
      <c r="B144">
        <v>206080604</v>
      </c>
      <c r="C144">
        <f t="shared" si="2"/>
        <v>0</v>
      </c>
    </row>
    <row r="145" spans="1:3" x14ac:dyDescent="0.3">
      <c r="A145">
        <v>301010101</v>
      </c>
      <c r="B145">
        <v>301010101</v>
      </c>
      <c r="C145">
        <f t="shared" si="2"/>
        <v>0</v>
      </c>
    </row>
    <row r="146" spans="1:3" x14ac:dyDescent="0.3">
      <c r="A146">
        <v>301010102</v>
      </c>
      <c r="B146">
        <v>301010102</v>
      </c>
      <c r="C146">
        <f t="shared" si="2"/>
        <v>0</v>
      </c>
    </row>
    <row r="147" spans="1:3" x14ac:dyDescent="0.3">
      <c r="A147">
        <v>301010103</v>
      </c>
      <c r="B147">
        <v>301010103</v>
      </c>
      <c r="C147">
        <f t="shared" si="2"/>
        <v>0</v>
      </c>
    </row>
    <row r="148" spans="1:3" x14ac:dyDescent="0.3">
      <c r="A148">
        <v>301010104</v>
      </c>
      <c r="B148">
        <v>301010104</v>
      </c>
      <c r="C148">
        <f t="shared" si="2"/>
        <v>0</v>
      </c>
    </row>
    <row r="149" spans="1:3" x14ac:dyDescent="0.3">
      <c r="A149">
        <v>301010105</v>
      </c>
      <c r="B149">
        <v>301010105</v>
      </c>
      <c r="C149">
        <f t="shared" si="2"/>
        <v>0</v>
      </c>
    </row>
    <row r="150" spans="1:3" x14ac:dyDescent="0.3">
      <c r="A150">
        <v>301010106</v>
      </c>
      <c r="B150">
        <v>301010106</v>
      </c>
      <c r="C150">
        <f t="shared" si="2"/>
        <v>0</v>
      </c>
    </row>
    <row r="151" spans="1:3" x14ac:dyDescent="0.3">
      <c r="A151">
        <v>301010107</v>
      </c>
      <c r="B151">
        <v>301010107</v>
      </c>
      <c r="C151">
        <f t="shared" si="2"/>
        <v>0</v>
      </c>
    </row>
    <row r="152" spans="1:3" x14ac:dyDescent="0.3">
      <c r="A152">
        <v>301020106</v>
      </c>
      <c r="B152">
        <v>301020106</v>
      </c>
      <c r="C152">
        <f t="shared" si="2"/>
        <v>0</v>
      </c>
    </row>
    <row r="153" spans="1:3" x14ac:dyDescent="0.3">
      <c r="A153">
        <v>301020107</v>
      </c>
      <c r="B153">
        <v>301020107</v>
      </c>
      <c r="C153">
        <f t="shared" si="2"/>
        <v>0</v>
      </c>
    </row>
    <row r="154" spans="1:3" x14ac:dyDescent="0.3">
      <c r="A154">
        <v>301020109</v>
      </c>
      <c r="B154">
        <v>301020109</v>
      </c>
      <c r="C154">
        <f t="shared" si="2"/>
        <v>0</v>
      </c>
    </row>
    <row r="155" spans="1:3" x14ac:dyDescent="0.3">
      <c r="A155">
        <v>301020301</v>
      </c>
      <c r="B155">
        <v>301020301</v>
      </c>
      <c r="C155">
        <f t="shared" si="2"/>
        <v>0</v>
      </c>
    </row>
    <row r="156" spans="1:3" x14ac:dyDescent="0.3">
      <c r="A156">
        <v>301020302</v>
      </c>
      <c r="B156">
        <v>301020302</v>
      </c>
      <c r="C156">
        <f t="shared" si="2"/>
        <v>0</v>
      </c>
    </row>
    <row r="157" spans="1:3" x14ac:dyDescent="0.3">
      <c r="A157">
        <v>301020303</v>
      </c>
      <c r="B157">
        <v>301020303</v>
      </c>
      <c r="C157">
        <f t="shared" si="2"/>
        <v>0</v>
      </c>
    </row>
    <row r="158" spans="1:3" x14ac:dyDescent="0.3">
      <c r="A158">
        <v>302010101</v>
      </c>
      <c r="B158">
        <v>302010101</v>
      </c>
      <c r="C158">
        <f t="shared" si="2"/>
        <v>0</v>
      </c>
    </row>
    <row r="159" spans="1:3" x14ac:dyDescent="0.3">
      <c r="A159">
        <v>302010103</v>
      </c>
      <c r="B159">
        <v>302010103</v>
      </c>
      <c r="C159">
        <f t="shared" si="2"/>
        <v>0</v>
      </c>
    </row>
    <row r="160" spans="1:3" x14ac:dyDescent="0.3">
      <c r="A160">
        <v>302010203</v>
      </c>
      <c r="B160">
        <v>302010203</v>
      </c>
      <c r="C160">
        <f t="shared" si="2"/>
        <v>0</v>
      </c>
    </row>
    <row r="161" spans="1:3" x14ac:dyDescent="0.3">
      <c r="A161">
        <v>302010302</v>
      </c>
      <c r="B161">
        <v>302010302</v>
      </c>
      <c r="C161">
        <f t="shared" si="2"/>
        <v>0</v>
      </c>
    </row>
    <row r="162" spans="1:3" x14ac:dyDescent="0.3">
      <c r="A162">
        <v>302010304</v>
      </c>
      <c r="B162">
        <v>302010304</v>
      </c>
      <c r="C162">
        <f t="shared" si="2"/>
        <v>0</v>
      </c>
    </row>
    <row r="163" spans="1:3" x14ac:dyDescent="0.3">
      <c r="A163">
        <v>302010404</v>
      </c>
      <c r="B163">
        <v>302010404</v>
      </c>
      <c r="C163">
        <f t="shared" si="2"/>
        <v>0</v>
      </c>
    </row>
    <row r="164" spans="1:3" x14ac:dyDescent="0.3">
      <c r="A164">
        <v>302020102</v>
      </c>
      <c r="B164">
        <v>302020102</v>
      </c>
      <c r="C164">
        <f t="shared" si="2"/>
        <v>0</v>
      </c>
    </row>
    <row r="165" spans="1:3" x14ac:dyDescent="0.3">
      <c r="A165">
        <v>302020103</v>
      </c>
      <c r="B165">
        <v>302020103</v>
      </c>
      <c r="C165">
        <f t="shared" si="2"/>
        <v>0</v>
      </c>
    </row>
    <row r="166" spans="1:3" x14ac:dyDescent="0.3">
      <c r="A166">
        <v>302020104</v>
      </c>
      <c r="B166">
        <v>302020104</v>
      </c>
      <c r="C166">
        <f t="shared" si="2"/>
        <v>0</v>
      </c>
    </row>
    <row r="167" spans="1:3" x14ac:dyDescent="0.3">
      <c r="A167">
        <v>302020105</v>
      </c>
      <c r="B167">
        <v>302020105</v>
      </c>
      <c r="C167">
        <f t="shared" si="2"/>
        <v>0</v>
      </c>
    </row>
    <row r="168" spans="1:3" x14ac:dyDescent="0.3">
      <c r="A168">
        <v>302020107</v>
      </c>
      <c r="B168">
        <v>302020107</v>
      </c>
      <c r="C168">
        <f t="shared" si="2"/>
        <v>0</v>
      </c>
    </row>
    <row r="169" spans="1:3" x14ac:dyDescent="0.3">
      <c r="A169">
        <v>302060101</v>
      </c>
      <c r="B169">
        <v>302060101</v>
      </c>
      <c r="C169">
        <f t="shared" si="2"/>
        <v>0</v>
      </c>
    </row>
    <row r="170" spans="1:3" x14ac:dyDescent="0.3">
      <c r="A170">
        <v>303050101</v>
      </c>
      <c r="B170">
        <v>303050101</v>
      </c>
      <c r="C170">
        <f t="shared" si="2"/>
        <v>0</v>
      </c>
    </row>
    <row r="171" spans="1:3" x14ac:dyDescent="0.3">
      <c r="A171">
        <v>303050102</v>
      </c>
      <c r="B171">
        <v>303050102</v>
      </c>
      <c r="C171">
        <f t="shared" si="2"/>
        <v>0</v>
      </c>
    </row>
    <row r="172" spans="1:3" x14ac:dyDescent="0.3">
      <c r="A172">
        <v>303050103</v>
      </c>
      <c r="B172">
        <v>303050103</v>
      </c>
      <c r="C172">
        <f t="shared" si="2"/>
        <v>0</v>
      </c>
    </row>
    <row r="173" spans="1:3" x14ac:dyDescent="0.3">
      <c r="A173">
        <v>303050104</v>
      </c>
      <c r="B173">
        <v>303050104</v>
      </c>
      <c r="C173">
        <f t="shared" si="2"/>
        <v>0</v>
      </c>
    </row>
    <row r="174" spans="1:3" x14ac:dyDescent="0.3">
      <c r="A174">
        <v>303050105</v>
      </c>
      <c r="B174">
        <v>303050105</v>
      </c>
      <c r="C174">
        <f t="shared" si="2"/>
        <v>0</v>
      </c>
    </row>
    <row r="175" spans="1:3" x14ac:dyDescent="0.3">
      <c r="A175">
        <v>304020102</v>
      </c>
      <c r="B175">
        <v>304020102</v>
      </c>
      <c r="C175">
        <f t="shared" si="2"/>
        <v>0</v>
      </c>
    </row>
    <row r="176" spans="1:3" x14ac:dyDescent="0.3">
      <c r="A176">
        <v>304020103</v>
      </c>
      <c r="B176">
        <v>304020103</v>
      </c>
      <c r="C176">
        <f t="shared" si="2"/>
        <v>0</v>
      </c>
    </row>
    <row r="177" spans="1:3" x14ac:dyDescent="0.3">
      <c r="A177">
        <v>304020104</v>
      </c>
      <c r="B177">
        <v>304020104</v>
      </c>
      <c r="C177">
        <f t="shared" si="2"/>
        <v>0</v>
      </c>
    </row>
    <row r="178" spans="1:3" x14ac:dyDescent="0.3">
      <c r="A178">
        <v>305010111</v>
      </c>
      <c r="B178">
        <v>305010111</v>
      </c>
      <c r="C178">
        <f t="shared" si="2"/>
        <v>0</v>
      </c>
    </row>
    <row r="179" spans="1:3" x14ac:dyDescent="0.3">
      <c r="A179">
        <v>305010305</v>
      </c>
      <c r="B179">
        <v>305010305</v>
      </c>
      <c r="C179">
        <f t="shared" si="2"/>
        <v>0</v>
      </c>
    </row>
    <row r="180" spans="1:3" x14ac:dyDescent="0.3">
      <c r="A180">
        <v>305010310</v>
      </c>
      <c r="B180">
        <v>305010310</v>
      </c>
      <c r="C180">
        <f t="shared" si="2"/>
        <v>0</v>
      </c>
    </row>
    <row r="181" spans="1:3" x14ac:dyDescent="0.3">
      <c r="A181">
        <v>305010321</v>
      </c>
      <c r="B181">
        <v>305010321</v>
      </c>
      <c r="C181">
        <f t="shared" si="2"/>
        <v>0</v>
      </c>
    </row>
    <row r="182" spans="1:3" x14ac:dyDescent="0.3">
      <c r="A182">
        <v>305010322</v>
      </c>
      <c r="B182">
        <v>305010322</v>
      </c>
      <c r="C182">
        <f t="shared" si="2"/>
        <v>0</v>
      </c>
    </row>
    <row r="183" spans="1:3" x14ac:dyDescent="0.3">
      <c r="A183">
        <v>307010101</v>
      </c>
      <c r="B183">
        <v>307010101</v>
      </c>
      <c r="C183">
        <f t="shared" si="2"/>
        <v>0</v>
      </c>
    </row>
    <row r="184" spans="1:3" x14ac:dyDescent="0.3">
      <c r="A184">
        <v>307010102</v>
      </c>
      <c r="B184">
        <v>307010102</v>
      </c>
      <c r="C184">
        <f t="shared" si="2"/>
        <v>0</v>
      </c>
    </row>
    <row r="185" spans="1:3" x14ac:dyDescent="0.3">
      <c r="A185">
        <v>308010101</v>
      </c>
      <c r="B185">
        <v>308010101</v>
      </c>
      <c r="C185">
        <f t="shared" si="2"/>
        <v>0</v>
      </c>
    </row>
    <row r="186" spans="1:3" x14ac:dyDescent="0.3">
      <c r="A186">
        <v>309030102</v>
      </c>
      <c r="B186">
        <v>309030102</v>
      </c>
      <c r="C186">
        <f t="shared" si="2"/>
        <v>0</v>
      </c>
    </row>
    <row r="187" spans="1:3" x14ac:dyDescent="0.3">
      <c r="A187">
        <v>309030104</v>
      </c>
      <c r="B187">
        <v>309030104</v>
      </c>
      <c r="C187">
        <f t="shared" si="2"/>
        <v>0</v>
      </c>
    </row>
    <row r="188" spans="1:3" x14ac:dyDescent="0.3">
      <c r="A188">
        <v>401010104</v>
      </c>
      <c r="B188">
        <v>401010104</v>
      </c>
      <c r="C188">
        <f t="shared" si="2"/>
        <v>0</v>
      </c>
    </row>
    <row r="189" spans="1:3" x14ac:dyDescent="0.3">
      <c r="A189">
        <v>401010105</v>
      </c>
      <c r="B189">
        <v>401010105</v>
      </c>
      <c r="C189">
        <f t="shared" si="2"/>
        <v>0</v>
      </c>
    </row>
    <row r="190" spans="1:3" x14ac:dyDescent="0.3">
      <c r="A190">
        <v>402010103</v>
      </c>
      <c r="B190">
        <v>402010103</v>
      </c>
      <c r="C190">
        <f t="shared" si="2"/>
        <v>0</v>
      </c>
    </row>
    <row r="191" spans="1:3" x14ac:dyDescent="0.3">
      <c r="A191">
        <v>402010104</v>
      </c>
      <c r="B191">
        <v>402010104</v>
      </c>
      <c r="C191">
        <f t="shared" si="2"/>
        <v>0</v>
      </c>
    </row>
    <row r="192" spans="1:3" x14ac:dyDescent="0.3">
      <c r="A192" s="234">
        <v>404010101</v>
      </c>
      <c r="B192" s="234"/>
      <c r="C192" s="234">
        <f t="shared" si="2"/>
        <v>404010101</v>
      </c>
    </row>
    <row r="193" spans="1:3" x14ac:dyDescent="0.3">
      <c r="A193" s="234">
        <v>404010102</v>
      </c>
      <c r="B193" s="234"/>
      <c r="C193" s="234">
        <f t="shared" si="2"/>
        <v>404010102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5C668-B6F5-429A-96B5-416E1BF755E8}">
  <dimension ref="A1:D733"/>
  <sheetViews>
    <sheetView topLeftCell="A6" zoomScale="175" zoomScaleNormal="175" workbookViewId="0">
      <selection activeCell="C375" sqref="C375:C379"/>
    </sheetView>
  </sheetViews>
  <sheetFormatPr baseColWidth="10" defaultRowHeight="14.4" x14ac:dyDescent="0.3"/>
  <cols>
    <col min="4" max="4" width="255.5546875" customWidth="1"/>
  </cols>
  <sheetData>
    <row r="1" spans="1:4" ht="17.25" customHeight="1" thickBot="1" x14ac:dyDescent="0.35">
      <c r="A1">
        <v>1111</v>
      </c>
      <c r="B1" s="211">
        <v>1111</v>
      </c>
      <c r="C1" s="232">
        <f>A1-B1</f>
        <v>0</v>
      </c>
      <c r="D1" s="212" t="s">
        <v>1890</v>
      </c>
    </row>
    <row r="2" spans="1:4" ht="17.25" customHeight="1" thickBot="1" x14ac:dyDescent="0.35">
      <c r="A2">
        <v>1121</v>
      </c>
      <c r="B2" s="211">
        <v>1121</v>
      </c>
      <c r="C2" s="232">
        <f t="shared" ref="C2:C65" si="0">A2-B2</f>
        <v>0</v>
      </c>
      <c r="D2" s="212" t="s">
        <v>1891</v>
      </c>
    </row>
    <row r="3" spans="1:4" ht="17.25" customHeight="1" thickBot="1" x14ac:dyDescent="0.35">
      <c r="A3">
        <v>1131</v>
      </c>
      <c r="B3" s="211">
        <v>1131</v>
      </c>
      <c r="C3" s="232">
        <f t="shared" si="0"/>
        <v>0</v>
      </c>
      <c r="D3" s="215" t="s">
        <v>2461</v>
      </c>
    </row>
    <row r="4" spans="1:4" ht="17.25" customHeight="1" thickBot="1" x14ac:dyDescent="0.35">
      <c r="A4">
        <v>1132</v>
      </c>
      <c r="B4" s="220">
        <v>1132</v>
      </c>
      <c r="C4" s="232">
        <f t="shared" si="0"/>
        <v>0</v>
      </c>
      <c r="D4" s="217" t="s">
        <v>2456</v>
      </c>
    </row>
    <row r="5" spans="1:4" ht="17.25" customHeight="1" thickBot="1" x14ac:dyDescent="0.35">
      <c r="A5">
        <v>1133</v>
      </c>
      <c r="B5" s="229">
        <v>1133</v>
      </c>
      <c r="C5" s="232">
        <f t="shared" si="0"/>
        <v>0</v>
      </c>
      <c r="D5" s="212" t="s">
        <v>1892</v>
      </c>
    </row>
    <row r="6" spans="1:4" ht="17.25" customHeight="1" thickBot="1" x14ac:dyDescent="0.35">
      <c r="A6">
        <v>1134</v>
      </c>
      <c r="B6" s="211">
        <v>1134</v>
      </c>
      <c r="C6" s="232">
        <f t="shared" si="0"/>
        <v>0</v>
      </c>
      <c r="D6" s="212" t="s">
        <v>1893</v>
      </c>
    </row>
    <row r="7" spans="1:4" ht="17.25" customHeight="1" thickBot="1" x14ac:dyDescent="0.35">
      <c r="A7">
        <v>1135</v>
      </c>
      <c r="B7" s="211">
        <v>1135</v>
      </c>
      <c r="C7" s="232">
        <f t="shared" si="0"/>
        <v>0</v>
      </c>
      <c r="D7" s="212" t="s">
        <v>1894</v>
      </c>
    </row>
    <row r="8" spans="1:4" ht="17.25" customHeight="1" thickBot="1" x14ac:dyDescent="0.35">
      <c r="A8">
        <v>1141</v>
      </c>
      <c r="B8" s="211">
        <v>1141</v>
      </c>
      <c r="C8" s="232">
        <f t="shared" si="0"/>
        <v>0</v>
      </c>
      <c r="D8" s="215" t="s">
        <v>2462</v>
      </c>
    </row>
    <row r="9" spans="1:4" ht="17.25" customHeight="1" thickBot="1" x14ac:dyDescent="0.35">
      <c r="A9">
        <v>1211</v>
      </c>
      <c r="B9" s="211">
        <v>1211</v>
      </c>
      <c r="C9" s="232">
        <f t="shared" si="0"/>
        <v>0</v>
      </c>
      <c r="D9" s="212" t="s">
        <v>1895</v>
      </c>
    </row>
    <row r="10" spans="1:4" ht="17.25" customHeight="1" thickBot="1" x14ac:dyDescent="0.35">
      <c r="A10">
        <v>1221</v>
      </c>
      <c r="B10" s="211">
        <v>1221</v>
      </c>
      <c r="C10" s="232">
        <f t="shared" si="0"/>
        <v>0</v>
      </c>
      <c r="D10" s="220" t="s">
        <v>1896</v>
      </c>
    </row>
    <row r="11" spans="1:4" ht="17.25" customHeight="1" thickBot="1" x14ac:dyDescent="0.35">
      <c r="A11">
        <v>1222</v>
      </c>
      <c r="B11" s="211">
        <v>1222</v>
      </c>
      <c r="C11" s="232">
        <f t="shared" si="0"/>
        <v>0</v>
      </c>
      <c r="D11" s="220" t="s">
        <v>1897</v>
      </c>
    </row>
    <row r="12" spans="1:4" ht="17.25" customHeight="1" thickBot="1" x14ac:dyDescent="0.35">
      <c r="A12">
        <v>1223</v>
      </c>
      <c r="B12" s="229">
        <v>1223</v>
      </c>
      <c r="C12" s="232">
        <f t="shared" si="0"/>
        <v>0</v>
      </c>
      <c r="D12" s="220" t="s">
        <v>1898</v>
      </c>
    </row>
    <row r="13" spans="1:4" ht="17.25" customHeight="1" thickBot="1" x14ac:dyDescent="0.35">
      <c r="A13">
        <v>1231</v>
      </c>
      <c r="B13" s="211">
        <v>1231</v>
      </c>
      <c r="C13" s="232">
        <f t="shared" si="0"/>
        <v>0</v>
      </c>
      <c r="D13" s="212" t="s">
        <v>1899</v>
      </c>
    </row>
    <row r="14" spans="1:4" ht="17.25" customHeight="1" thickBot="1" x14ac:dyDescent="0.35">
      <c r="A14">
        <v>1241</v>
      </c>
      <c r="B14" s="211">
        <v>1241</v>
      </c>
      <c r="C14" s="232">
        <f t="shared" si="0"/>
        <v>0</v>
      </c>
      <c r="D14" s="212" t="s">
        <v>1900</v>
      </c>
    </row>
    <row r="15" spans="1:4" ht="17.25" customHeight="1" thickBot="1" x14ac:dyDescent="0.35">
      <c r="A15">
        <v>1311</v>
      </c>
      <c r="B15" s="211">
        <v>1311</v>
      </c>
      <c r="C15" s="232">
        <f t="shared" si="0"/>
        <v>0</v>
      </c>
      <c r="D15" s="212" t="s">
        <v>1901</v>
      </c>
    </row>
    <row r="16" spans="1:4" ht="17.25" customHeight="1" thickBot="1" x14ac:dyDescent="0.35">
      <c r="A16">
        <v>1312</v>
      </c>
      <c r="B16" s="211">
        <v>1312</v>
      </c>
      <c r="C16" s="232">
        <f t="shared" si="0"/>
        <v>0</v>
      </c>
      <c r="D16" s="212" t="s">
        <v>1902</v>
      </c>
    </row>
    <row r="17" spans="1:4" ht="17.25" customHeight="1" thickBot="1" x14ac:dyDescent="0.35">
      <c r="A17">
        <v>1313</v>
      </c>
      <c r="B17" s="211">
        <v>1313</v>
      </c>
      <c r="C17" s="232">
        <f t="shared" si="0"/>
        <v>0</v>
      </c>
      <c r="D17" s="212" t="s">
        <v>1903</v>
      </c>
    </row>
    <row r="18" spans="1:4" ht="17.25" customHeight="1" thickBot="1" x14ac:dyDescent="0.35">
      <c r="A18">
        <v>1321</v>
      </c>
      <c r="B18" s="211">
        <v>1321</v>
      </c>
      <c r="C18" s="232">
        <f t="shared" si="0"/>
        <v>0</v>
      </c>
      <c r="D18" s="215" t="s">
        <v>2463</v>
      </c>
    </row>
    <row r="19" spans="1:4" ht="17.25" customHeight="1" thickBot="1" x14ac:dyDescent="0.35">
      <c r="A19">
        <v>1322</v>
      </c>
      <c r="B19" s="211">
        <v>1322</v>
      </c>
      <c r="C19" s="232">
        <f t="shared" si="0"/>
        <v>0</v>
      </c>
      <c r="D19" s="217" t="s">
        <v>2464</v>
      </c>
    </row>
    <row r="20" spans="1:4" ht="17.25" customHeight="1" thickBot="1" x14ac:dyDescent="0.35">
      <c r="A20">
        <v>1323</v>
      </c>
      <c r="B20" s="211">
        <v>1323</v>
      </c>
      <c r="C20" s="232">
        <f t="shared" si="0"/>
        <v>0</v>
      </c>
      <c r="D20" s="212" t="s">
        <v>1904</v>
      </c>
    </row>
    <row r="21" spans="1:4" ht="17.25" customHeight="1" thickBot="1" x14ac:dyDescent="0.35">
      <c r="A21">
        <v>1324</v>
      </c>
      <c r="B21" s="211">
        <v>1324</v>
      </c>
      <c r="C21" s="232">
        <f t="shared" si="0"/>
        <v>0</v>
      </c>
      <c r="D21" s="212" t="s">
        <v>1905</v>
      </c>
    </row>
    <row r="22" spans="1:4" ht="17.25" customHeight="1" thickBot="1" x14ac:dyDescent="0.35">
      <c r="A22">
        <v>1325</v>
      </c>
      <c r="B22" s="211">
        <v>1325</v>
      </c>
      <c r="C22" s="232">
        <f t="shared" si="0"/>
        <v>0</v>
      </c>
      <c r="D22" s="212" t="s">
        <v>1906</v>
      </c>
    </row>
    <row r="23" spans="1:4" ht="17.25" customHeight="1" thickBot="1" x14ac:dyDescent="0.35">
      <c r="A23">
        <v>1331</v>
      </c>
      <c r="B23" s="220">
        <v>1331</v>
      </c>
      <c r="C23" s="232">
        <f t="shared" si="0"/>
        <v>0</v>
      </c>
      <c r="D23" s="217" t="s">
        <v>2465</v>
      </c>
    </row>
    <row r="24" spans="1:4" ht="17.25" customHeight="1" thickBot="1" x14ac:dyDescent="0.35">
      <c r="A24">
        <v>1341</v>
      </c>
      <c r="B24" s="229">
        <v>1341</v>
      </c>
      <c r="C24" s="232">
        <f t="shared" si="0"/>
        <v>0</v>
      </c>
      <c r="D24" s="212" t="s">
        <v>1907</v>
      </c>
    </row>
    <row r="25" spans="1:4" ht="17.25" customHeight="1" thickBot="1" x14ac:dyDescent="0.35">
      <c r="A25">
        <v>1342</v>
      </c>
      <c r="B25" s="211">
        <v>1342</v>
      </c>
      <c r="C25" s="232">
        <f t="shared" si="0"/>
        <v>0</v>
      </c>
      <c r="D25" s="220" t="s">
        <v>1908</v>
      </c>
    </row>
    <row r="26" spans="1:4" ht="17.25" customHeight="1" thickBot="1" x14ac:dyDescent="0.35">
      <c r="A26">
        <v>1343</v>
      </c>
      <c r="B26" s="211">
        <v>1343</v>
      </c>
      <c r="C26" s="232">
        <f t="shared" si="0"/>
        <v>0</v>
      </c>
      <c r="D26" s="212" t="s">
        <v>1909</v>
      </c>
    </row>
    <row r="27" spans="1:4" ht="17.25" customHeight="1" thickBot="1" x14ac:dyDescent="0.35">
      <c r="A27">
        <v>1344</v>
      </c>
      <c r="B27" s="211">
        <v>1344</v>
      </c>
      <c r="C27" s="232">
        <f t="shared" si="0"/>
        <v>0</v>
      </c>
      <c r="D27" s="212" t="s">
        <v>1910</v>
      </c>
    </row>
    <row r="28" spans="1:4" ht="17.25" customHeight="1" thickBot="1" x14ac:dyDescent="0.35">
      <c r="A28">
        <v>1345</v>
      </c>
      <c r="B28" s="211">
        <v>1345</v>
      </c>
      <c r="C28" s="232">
        <f t="shared" si="0"/>
        <v>0</v>
      </c>
      <c r="D28" s="212" t="s">
        <v>1911</v>
      </c>
    </row>
    <row r="29" spans="1:4" ht="17.25" customHeight="1" thickBot="1" x14ac:dyDescent="0.35">
      <c r="A29">
        <v>1346</v>
      </c>
      <c r="B29" s="211">
        <v>1346</v>
      </c>
      <c r="C29" s="232">
        <f t="shared" si="0"/>
        <v>0</v>
      </c>
      <c r="D29" s="220" t="s">
        <v>1912</v>
      </c>
    </row>
    <row r="30" spans="1:4" ht="17.25" customHeight="1" thickBot="1" x14ac:dyDescent="0.35">
      <c r="A30">
        <v>1347</v>
      </c>
      <c r="B30" s="211">
        <v>1347</v>
      </c>
      <c r="C30" s="232">
        <f t="shared" si="0"/>
        <v>0</v>
      </c>
      <c r="D30" s="212" t="s">
        <v>1913</v>
      </c>
    </row>
    <row r="31" spans="1:4" ht="17.25" customHeight="1" thickBot="1" x14ac:dyDescent="0.35">
      <c r="A31">
        <v>1348</v>
      </c>
      <c r="B31" s="211">
        <v>1348</v>
      </c>
      <c r="C31" s="232">
        <f t="shared" si="0"/>
        <v>0</v>
      </c>
      <c r="D31" s="212" t="s">
        <v>1914</v>
      </c>
    </row>
    <row r="32" spans="1:4" ht="17.25" customHeight="1" thickBot="1" x14ac:dyDescent="0.35">
      <c r="A32">
        <v>1349</v>
      </c>
      <c r="B32" s="211">
        <v>1349</v>
      </c>
      <c r="C32" s="232">
        <f t="shared" si="0"/>
        <v>0</v>
      </c>
      <c r="D32" s="212" t="s">
        <v>1915</v>
      </c>
    </row>
    <row r="33" spans="1:4" ht="17.25" customHeight="1" thickBot="1" x14ac:dyDescent="0.35">
      <c r="A33">
        <v>1351</v>
      </c>
      <c r="B33" s="211">
        <v>1351</v>
      </c>
      <c r="C33" s="232">
        <f t="shared" si="0"/>
        <v>0</v>
      </c>
      <c r="D33" s="212" t="s">
        <v>1916</v>
      </c>
    </row>
    <row r="34" spans="1:4" ht="17.25" customHeight="1" thickBot="1" x14ac:dyDescent="0.35">
      <c r="A34">
        <v>1361</v>
      </c>
      <c r="B34" s="214">
        <v>1361</v>
      </c>
      <c r="C34" s="232">
        <f t="shared" si="0"/>
        <v>0</v>
      </c>
      <c r="D34" s="215" t="s">
        <v>2466</v>
      </c>
    </row>
    <row r="35" spans="1:4" ht="17.25" customHeight="1" thickBot="1" x14ac:dyDescent="0.35">
      <c r="A35">
        <v>1371</v>
      </c>
      <c r="B35" s="214">
        <v>1371</v>
      </c>
      <c r="C35" s="232">
        <f t="shared" si="0"/>
        <v>0</v>
      </c>
      <c r="D35" s="215" t="s">
        <v>2467</v>
      </c>
    </row>
    <row r="36" spans="1:4" ht="17.25" customHeight="1" thickBot="1" x14ac:dyDescent="0.35">
      <c r="A36">
        <v>1381</v>
      </c>
      <c r="B36" s="211">
        <v>1381</v>
      </c>
      <c r="C36" s="232">
        <f t="shared" si="0"/>
        <v>0</v>
      </c>
      <c r="D36" s="212" t="s">
        <v>1917</v>
      </c>
    </row>
    <row r="37" spans="1:4" ht="17.25" customHeight="1" thickBot="1" x14ac:dyDescent="0.35">
      <c r="A37">
        <v>1411</v>
      </c>
      <c r="B37" s="211">
        <v>1411</v>
      </c>
      <c r="C37" s="232">
        <f t="shared" si="0"/>
        <v>0</v>
      </c>
      <c r="D37" s="212" t="s">
        <v>1918</v>
      </c>
    </row>
    <row r="38" spans="1:4" ht="17.25" customHeight="1" thickBot="1" x14ac:dyDescent="0.35">
      <c r="A38">
        <v>1412</v>
      </c>
      <c r="B38" s="211">
        <v>1412</v>
      </c>
      <c r="C38" s="232">
        <f t="shared" si="0"/>
        <v>0</v>
      </c>
      <c r="D38" s="212" t="s">
        <v>1919</v>
      </c>
    </row>
    <row r="39" spans="1:4" ht="17.25" customHeight="1" thickBot="1" x14ac:dyDescent="0.35">
      <c r="A39">
        <v>1413</v>
      </c>
      <c r="B39" s="211">
        <v>1413</v>
      </c>
      <c r="C39" s="232">
        <f t="shared" si="0"/>
        <v>0</v>
      </c>
      <c r="D39" s="212" t="s">
        <v>1920</v>
      </c>
    </row>
    <row r="40" spans="1:4" ht="17.25" customHeight="1" thickBot="1" x14ac:dyDescent="0.35">
      <c r="A40">
        <v>1414</v>
      </c>
      <c r="B40" s="211">
        <v>1414</v>
      </c>
      <c r="C40" s="232">
        <f t="shared" si="0"/>
        <v>0</v>
      </c>
      <c r="D40" s="212" t="s">
        <v>1921</v>
      </c>
    </row>
    <row r="41" spans="1:4" ht="17.25" customHeight="1" thickBot="1" x14ac:dyDescent="0.35">
      <c r="A41">
        <v>1415</v>
      </c>
      <c r="B41" s="211">
        <v>1415</v>
      </c>
      <c r="C41" s="232">
        <f t="shared" si="0"/>
        <v>0</v>
      </c>
      <c r="D41" s="220" t="s">
        <v>1922</v>
      </c>
    </row>
    <row r="42" spans="1:4" ht="17.25" customHeight="1" thickBot="1" x14ac:dyDescent="0.35">
      <c r="A42">
        <v>1416</v>
      </c>
      <c r="B42" s="211">
        <v>1416</v>
      </c>
      <c r="C42" s="232">
        <f t="shared" si="0"/>
        <v>0</v>
      </c>
      <c r="D42" s="212" t="s">
        <v>1923</v>
      </c>
    </row>
    <row r="43" spans="1:4" ht="17.25" customHeight="1" thickBot="1" x14ac:dyDescent="0.35">
      <c r="A43">
        <v>1417</v>
      </c>
      <c r="B43" s="211">
        <v>1417</v>
      </c>
      <c r="C43" s="232">
        <f t="shared" si="0"/>
        <v>0</v>
      </c>
      <c r="D43" s="220" t="s">
        <v>1924</v>
      </c>
    </row>
    <row r="44" spans="1:4" ht="17.25" customHeight="1" thickBot="1" x14ac:dyDescent="0.35">
      <c r="A44">
        <v>1421</v>
      </c>
      <c r="B44" s="211">
        <v>1421</v>
      </c>
      <c r="C44" s="232">
        <f t="shared" si="0"/>
        <v>0</v>
      </c>
      <c r="D44" s="212" t="s">
        <v>1925</v>
      </c>
    </row>
    <row r="45" spans="1:4" ht="17.25" customHeight="1" thickBot="1" x14ac:dyDescent="0.35">
      <c r="A45">
        <v>1431</v>
      </c>
      <c r="B45" s="214">
        <v>1431</v>
      </c>
      <c r="C45" s="232">
        <f t="shared" si="0"/>
        <v>0</v>
      </c>
      <c r="D45" s="220" t="s">
        <v>1926</v>
      </c>
    </row>
    <row r="46" spans="1:4" ht="17.25" customHeight="1" thickBot="1" x14ac:dyDescent="0.35">
      <c r="A46">
        <v>1441</v>
      </c>
      <c r="B46" s="211">
        <v>1441</v>
      </c>
      <c r="C46" s="232">
        <f t="shared" si="0"/>
        <v>0</v>
      </c>
      <c r="D46" s="212" t="s">
        <v>1927</v>
      </c>
    </row>
    <row r="47" spans="1:4" ht="17.25" customHeight="1" thickBot="1" x14ac:dyDescent="0.35">
      <c r="A47">
        <v>1511</v>
      </c>
      <c r="B47" s="211">
        <v>1511</v>
      </c>
      <c r="C47" s="232">
        <f t="shared" si="0"/>
        <v>0</v>
      </c>
      <c r="D47" s="212" t="s">
        <v>1928</v>
      </c>
    </row>
    <row r="48" spans="1:4" ht="17.25" customHeight="1" thickBot="1" x14ac:dyDescent="0.35">
      <c r="A48">
        <v>1512</v>
      </c>
      <c r="B48" s="211">
        <v>1512</v>
      </c>
      <c r="C48" s="232">
        <f t="shared" si="0"/>
        <v>0</v>
      </c>
      <c r="D48" s="212" t="s">
        <v>1929</v>
      </c>
    </row>
    <row r="49" spans="1:4" ht="17.25" customHeight="1" thickBot="1" x14ac:dyDescent="0.35">
      <c r="A49">
        <v>1521</v>
      </c>
      <c r="B49" s="211">
        <v>1521</v>
      </c>
      <c r="C49" s="232">
        <f t="shared" si="0"/>
        <v>0</v>
      </c>
      <c r="D49" s="212" t="s">
        <v>1930</v>
      </c>
    </row>
    <row r="50" spans="1:4" ht="17.25" customHeight="1" thickBot="1" x14ac:dyDescent="0.35">
      <c r="A50">
        <v>1522</v>
      </c>
      <c r="B50" s="211">
        <v>1522</v>
      </c>
      <c r="C50" s="232">
        <f t="shared" si="0"/>
        <v>0</v>
      </c>
      <c r="D50" s="217" t="s">
        <v>2468</v>
      </c>
    </row>
    <row r="51" spans="1:4" ht="17.25" customHeight="1" thickBot="1" x14ac:dyDescent="0.35">
      <c r="A51">
        <v>1531</v>
      </c>
      <c r="B51" s="211">
        <v>1531</v>
      </c>
      <c r="C51" s="232">
        <f t="shared" si="0"/>
        <v>0</v>
      </c>
      <c r="D51" s="212" t="s">
        <v>1931</v>
      </c>
    </row>
    <row r="52" spans="1:4" ht="17.25" customHeight="1" thickBot="1" x14ac:dyDescent="0.35">
      <c r="A52">
        <v>1541</v>
      </c>
      <c r="B52" s="211">
        <v>1541</v>
      </c>
      <c r="C52" s="232">
        <f t="shared" si="0"/>
        <v>0</v>
      </c>
      <c r="D52" s="212" t="s">
        <v>1932</v>
      </c>
    </row>
    <row r="53" spans="1:4" ht="17.25" customHeight="1" thickBot="1" x14ac:dyDescent="0.35">
      <c r="A53">
        <v>1542</v>
      </c>
      <c r="B53" s="211">
        <v>1542</v>
      </c>
      <c r="C53" s="232">
        <f t="shared" si="0"/>
        <v>0</v>
      </c>
      <c r="D53" s="220" t="s">
        <v>1933</v>
      </c>
    </row>
    <row r="54" spans="1:4" ht="17.25" customHeight="1" thickBot="1" x14ac:dyDescent="0.35">
      <c r="A54">
        <v>1543</v>
      </c>
      <c r="B54" s="211">
        <v>1543</v>
      </c>
      <c r="C54" s="232">
        <f t="shared" si="0"/>
        <v>0</v>
      </c>
      <c r="D54" s="220" t="s">
        <v>1934</v>
      </c>
    </row>
    <row r="55" spans="1:4" ht="17.25" customHeight="1" thickBot="1" x14ac:dyDescent="0.35">
      <c r="A55">
        <v>1544</v>
      </c>
      <c r="B55" s="211">
        <v>1544</v>
      </c>
      <c r="C55" s="232">
        <f t="shared" si="0"/>
        <v>0</v>
      </c>
      <c r="D55" s="212" t="s">
        <v>1935</v>
      </c>
    </row>
    <row r="56" spans="1:4" ht="17.25" customHeight="1" thickBot="1" x14ac:dyDescent="0.35">
      <c r="A56">
        <v>1545</v>
      </c>
      <c r="B56" s="211">
        <v>1545</v>
      </c>
      <c r="C56" s="232">
        <f t="shared" si="0"/>
        <v>0</v>
      </c>
      <c r="D56" s="212" t="s">
        <v>1936</v>
      </c>
    </row>
    <row r="57" spans="1:4" ht="17.25" customHeight="1" thickBot="1" x14ac:dyDescent="0.35">
      <c r="A57">
        <v>1546</v>
      </c>
      <c r="B57" s="211">
        <v>1546</v>
      </c>
      <c r="C57" s="232">
        <f t="shared" si="0"/>
        <v>0</v>
      </c>
      <c r="D57" s="220" t="s">
        <v>1937</v>
      </c>
    </row>
    <row r="58" spans="1:4" ht="17.25" customHeight="1" thickBot="1" x14ac:dyDescent="0.35">
      <c r="A58">
        <v>1547</v>
      </c>
      <c r="B58" s="211">
        <v>1547</v>
      </c>
      <c r="C58" s="232">
        <f t="shared" si="0"/>
        <v>0</v>
      </c>
      <c r="D58" s="212" t="s">
        <v>1938</v>
      </c>
    </row>
    <row r="59" spans="1:4" ht="17.25" customHeight="1" thickBot="1" x14ac:dyDescent="0.35">
      <c r="A59">
        <v>1551</v>
      </c>
      <c r="B59" s="211">
        <v>1551</v>
      </c>
      <c r="C59" s="232">
        <f t="shared" si="0"/>
        <v>0</v>
      </c>
      <c r="D59" s="212" t="s">
        <v>1939</v>
      </c>
    </row>
    <row r="60" spans="1:4" ht="17.25" customHeight="1" thickBot="1" x14ac:dyDescent="0.35">
      <c r="A60">
        <v>1552</v>
      </c>
      <c r="B60" s="211">
        <v>1552</v>
      </c>
      <c r="C60" s="232">
        <f t="shared" si="0"/>
        <v>0</v>
      </c>
      <c r="D60" s="217" t="s">
        <v>2469</v>
      </c>
    </row>
    <row r="61" spans="1:4" ht="17.25" customHeight="1" thickBot="1" x14ac:dyDescent="0.35">
      <c r="A61">
        <v>1591</v>
      </c>
      <c r="B61" s="211">
        <v>1591</v>
      </c>
      <c r="C61" s="232">
        <f t="shared" si="0"/>
        <v>0</v>
      </c>
      <c r="D61" s="212" t="s">
        <v>1940</v>
      </c>
    </row>
    <row r="62" spans="1:4" ht="17.25" customHeight="1" thickBot="1" x14ac:dyDescent="0.35">
      <c r="A62">
        <v>1592</v>
      </c>
      <c r="B62" s="211">
        <v>1592</v>
      </c>
      <c r="C62" s="232">
        <f t="shared" si="0"/>
        <v>0</v>
      </c>
      <c r="D62" s="212" t="s">
        <v>1941</v>
      </c>
    </row>
    <row r="63" spans="1:4" ht="17.25" customHeight="1" thickBot="1" x14ac:dyDescent="0.35">
      <c r="A63">
        <v>1593</v>
      </c>
      <c r="B63" s="211">
        <v>1593</v>
      </c>
      <c r="C63" s="232">
        <f t="shared" si="0"/>
        <v>0</v>
      </c>
      <c r="D63" s="220" t="s">
        <v>1942</v>
      </c>
    </row>
    <row r="64" spans="1:4" ht="17.25" customHeight="1" thickBot="1" x14ac:dyDescent="0.35">
      <c r="A64">
        <v>1594</v>
      </c>
      <c r="B64" s="211">
        <v>1594</v>
      </c>
      <c r="C64" s="232">
        <f t="shared" si="0"/>
        <v>0</v>
      </c>
      <c r="D64" s="212" t="s">
        <v>1943</v>
      </c>
    </row>
    <row r="65" spans="1:4" ht="17.25" customHeight="1" thickBot="1" x14ac:dyDescent="0.35">
      <c r="A65">
        <v>1595</v>
      </c>
      <c r="B65" s="211">
        <v>1595</v>
      </c>
      <c r="C65" s="232">
        <f t="shared" si="0"/>
        <v>0</v>
      </c>
      <c r="D65" s="212" t="s">
        <v>1944</v>
      </c>
    </row>
    <row r="66" spans="1:4" ht="17.25" customHeight="1" thickBot="1" x14ac:dyDescent="0.35">
      <c r="A66">
        <v>1611</v>
      </c>
      <c r="B66" s="211">
        <v>1611</v>
      </c>
      <c r="C66" s="232">
        <f t="shared" ref="C66:C128" si="1">A66-B66</f>
        <v>0</v>
      </c>
      <c r="D66" s="220" t="s">
        <v>1945</v>
      </c>
    </row>
    <row r="67" spans="1:4" ht="17.25" customHeight="1" thickBot="1" x14ac:dyDescent="0.35">
      <c r="A67">
        <v>1711</v>
      </c>
      <c r="B67" s="211">
        <v>1711</v>
      </c>
      <c r="C67" s="232">
        <f t="shared" si="1"/>
        <v>0</v>
      </c>
      <c r="D67" s="212" t="s">
        <v>1946</v>
      </c>
    </row>
    <row r="68" spans="1:4" ht="17.25" customHeight="1" thickBot="1" x14ac:dyDescent="0.35">
      <c r="A68">
        <v>1712</v>
      </c>
      <c r="B68" s="211">
        <v>1712</v>
      </c>
      <c r="C68" s="232">
        <f t="shared" si="1"/>
        <v>0</v>
      </c>
      <c r="D68" s="212" t="s">
        <v>1947</v>
      </c>
    </row>
    <row r="69" spans="1:4" ht="17.25" customHeight="1" thickBot="1" x14ac:dyDescent="0.35">
      <c r="A69">
        <v>1721</v>
      </c>
      <c r="B69" s="211">
        <v>1721</v>
      </c>
      <c r="C69" s="232">
        <f t="shared" si="1"/>
        <v>0</v>
      </c>
      <c r="D69" s="212" t="s">
        <v>1948</v>
      </c>
    </row>
    <row r="70" spans="1:4" ht="17.25" customHeight="1" thickBot="1" x14ac:dyDescent="0.35">
      <c r="A70">
        <v>2111</v>
      </c>
      <c r="B70" s="211">
        <v>2111</v>
      </c>
      <c r="C70" s="232">
        <f t="shared" si="1"/>
        <v>0</v>
      </c>
      <c r="D70" s="212" t="s">
        <v>1949</v>
      </c>
    </row>
    <row r="71" spans="1:4" ht="17.25" customHeight="1" thickBot="1" x14ac:dyDescent="0.35">
      <c r="A71">
        <v>2112</v>
      </c>
      <c r="B71" s="220">
        <v>2112</v>
      </c>
      <c r="C71" s="232">
        <f t="shared" si="1"/>
        <v>0</v>
      </c>
      <c r="D71" s="217" t="s">
        <v>2470</v>
      </c>
    </row>
    <row r="72" spans="1:4" ht="17.25" customHeight="1" thickBot="1" x14ac:dyDescent="0.35">
      <c r="A72">
        <v>2121</v>
      </c>
      <c r="B72" s="229">
        <v>2121</v>
      </c>
      <c r="C72" s="232">
        <f t="shared" si="1"/>
        <v>0</v>
      </c>
      <c r="D72" s="212" t="s">
        <v>1950</v>
      </c>
    </row>
    <row r="73" spans="1:4" ht="17.25" customHeight="1" thickBot="1" x14ac:dyDescent="0.35">
      <c r="A73">
        <v>2122</v>
      </c>
      <c r="B73" s="211">
        <v>2122</v>
      </c>
      <c r="C73" s="232">
        <f t="shared" si="1"/>
        <v>0</v>
      </c>
      <c r="D73" s="212" t="s">
        <v>1951</v>
      </c>
    </row>
    <row r="74" spans="1:4" ht="17.25" customHeight="1" thickBot="1" x14ac:dyDescent="0.35">
      <c r="A74">
        <v>2131</v>
      </c>
      <c r="B74" s="214">
        <v>2131</v>
      </c>
      <c r="C74" s="232">
        <f t="shared" si="1"/>
        <v>0</v>
      </c>
      <c r="D74" s="215" t="s">
        <v>2471</v>
      </c>
    </row>
    <row r="75" spans="1:4" ht="17.25" customHeight="1" thickBot="1" x14ac:dyDescent="0.35">
      <c r="A75">
        <v>2141</v>
      </c>
      <c r="B75" s="214">
        <v>2141</v>
      </c>
      <c r="C75" s="232">
        <f t="shared" si="1"/>
        <v>0</v>
      </c>
      <c r="D75" s="220" t="s">
        <v>1952</v>
      </c>
    </row>
    <row r="76" spans="1:4" ht="17.25" customHeight="1" thickBot="1" x14ac:dyDescent="0.35">
      <c r="A76">
        <v>2151</v>
      </c>
      <c r="B76" s="211">
        <v>2151</v>
      </c>
      <c r="C76" s="232">
        <f t="shared" si="1"/>
        <v>0</v>
      </c>
      <c r="D76" s="215" t="s">
        <v>2472</v>
      </c>
    </row>
    <row r="77" spans="1:4" ht="17.25" customHeight="1" thickBot="1" x14ac:dyDescent="0.35">
      <c r="A77">
        <v>2161</v>
      </c>
      <c r="B77" s="211">
        <v>2161</v>
      </c>
      <c r="C77" s="232">
        <f t="shared" si="1"/>
        <v>0</v>
      </c>
      <c r="D77" s="212" t="s">
        <v>1953</v>
      </c>
    </row>
    <row r="78" spans="1:4" ht="17.25" customHeight="1" thickBot="1" x14ac:dyDescent="0.35">
      <c r="A78">
        <v>2171</v>
      </c>
      <c r="B78" s="211">
        <v>2171</v>
      </c>
      <c r="C78" s="232">
        <f t="shared" si="1"/>
        <v>0</v>
      </c>
      <c r="D78" s="215" t="s">
        <v>2473</v>
      </c>
    </row>
    <row r="79" spans="1:4" ht="17.25" customHeight="1" thickBot="1" x14ac:dyDescent="0.35">
      <c r="A79">
        <v>2181</v>
      </c>
      <c r="B79" s="220">
        <v>2181</v>
      </c>
      <c r="C79" s="232">
        <f t="shared" si="1"/>
        <v>0</v>
      </c>
      <c r="D79" s="217" t="s">
        <v>2474</v>
      </c>
    </row>
    <row r="80" spans="1:4" ht="17.25" customHeight="1" thickBot="1" x14ac:dyDescent="0.35">
      <c r="A80">
        <v>2211</v>
      </c>
      <c r="B80" s="214">
        <v>2211</v>
      </c>
      <c r="C80" s="232">
        <f t="shared" si="1"/>
        <v>0</v>
      </c>
      <c r="D80" s="215" t="s">
        <v>2475</v>
      </c>
    </row>
    <row r="81" spans="1:4" ht="17.25" customHeight="1" thickBot="1" x14ac:dyDescent="0.35">
      <c r="A81">
        <v>2221</v>
      </c>
      <c r="B81" s="220">
        <v>2221</v>
      </c>
      <c r="C81" s="232">
        <f t="shared" si="1"/>
        <v>0</v>
      </c>
      <c r="D81" s="217" t="s">
        <v>2476</v>
      </c>
    </row>
    <row r="82" spans="1:4" ht="17.25" customHeight="1" thickBot="1" x14ac:dyDescent="0.35">
      <c r="A82">
        <v>2222</v>
      </c>
      <c r="B82" s="229">
        <v>2222</v>
      </c>
      <c r="C82" s="232">
        <f t="shared" si="1"/>
        <v>0</v>
      </c>
      <c r="D82" s="216" t="s">
        <v>1954</v>
      </c>
    </row>
    <row r="83" spans="1:4" ht="17.25" customHeight="1" thickBot="1" x14ac:dyDescent="0.35">
      <c r="A83">
        <v>2231</v>
      </c>
      <c r="B83" s="214">
        <v>2231</v>
      </c>
      <c r="C83" s="232">
        <f t="shared" si="1"/>
        <v>0</v>
      </c>
      <c r="D83" s="220" t="s">
        <v>1955</v>
      </c>
    </row>
    <row r="84" spans="1:4" ht="17.25" customHeight="1" thickBot="1" x14ac:dyDescent="0.35">
      <c r="A84">
        <v>2311</v>
      </c>
      <c r="B84" s="211">
        <v>2311</v>
      </c>
      <c r="C84" s="232">
        <f t="shared" si="1"/>
        <v>0</v>
      </c>
      <c r="D84" s="215" t="s">
        <v>2478</v>
      </c>
    </row>
    <row r="85" spans="1:4" ht="17.25" customHeight="1" thickBot="1" x14ac:dyDescent="0.35">
      <c r="A85">
        <v>2321</v>
      </c>
      <c r="B85" s="211">
        <v>2321</v>
      </c>
      <c r="C85" s="232">
        <f t="shared" si="1"/>
        <v>0</v>
      </c>
      <c r="D85" s="212" t="s">
        <v>1956</v>
      </c>
    </row>
    <row r="86" spans="1:4" ht="17.25" customHeight="1" thickBot="1" x14ac:dyDescent="0.35">
      <c r="A86">
        <v>2331</v>
      </c>
      <c r="B86" s="220">
        <v>2331</v>
      </c>
      <c r="C86" s="232">
        <f t="shared" si="1"/>
        <v>0</v>
      </c>
      <c r="D86" s="217" t="s">
        <v>2477</v>
      </c>
    </row>
    <row r="87" spans="1:4" ht="17.25" customHeight="1" thickBot="1" x14ac:dyDescent="0.35">
      <c r="A87">
        <v>2341</v>
      </c>
      <c r="B87" s="220">
        <v>2341</v>
      </c>
      <c r="C87" s="232">
        <f t="shared" si="1"/>
        <v>0</v>
      </c>
      <c r="D87" s="217" t="s">
        <v>2479</v>
      </c>
    </row>
    <row r="88" spans="1:4" ht="17.25" customHeight="1" thickBot="1" x14ac:dyDescent="0.35">
      <c r="A88">
        <v>2351</v>
      </c>
      <c r="B88" s="211">
        <v>2351</v>
      </c>
      <c r="C88" s="232">
        <f t="shared" si="1"/>
        <v>0</v>
      </c>
      <c r="D88" s="221" t="s">
        <v>2480</v>
      </c>
    </row>
    <row r="89" spans="1:4" ht="17.25" customHeight="1" thickBot="1" x14ac:dyDescent="0.35">
      <c r="A89">
        <v>2361</v>
      </c>
      <c r="B89" s="211">
        <v>2361</v>
      </c>
      <c r="C89" s="232">
        <f t="shared" si="1"/>
        <v>0</v>
      </c>
      <c r="D89" s="220" t="s">
        <v>1957</v>
      </c>
    </row>
    <row r="90" spans="1:4" ht="17.25" customHeight="1" thickBot="1" x14ac:dyDescent="0.35">
      <c r="A90">
        <v>2371</v>
      </c>
      <c r="B90" s="211">
        <v>2371</v>
      </c>
      <c r="C90" s="232">
        <f t="shared" si="1"/>
        <v>0</v>
      </c>
      <c r="D90" s="216" t="s">
        <v>1958</v>
      </c>
    </row>
    <row r="91" spans="1:4" ht="17.25" customHeight="1" thickBot="1" x14ac:dyDescent="0.35">
      <c r="A91">
        <v>2381</v>
      </c>
      <c r="B91" s="220">
        <v>2381</v>
      </c>
      <c r="C91" s="232">
        <f t="shared" si="1"/>
        <v>0</v>
      </c>
      <c r="D91" s="217" t="s">
        <v>2481</v>
      </c>
    </row>
    <row r="92" spans="1:4" ht="17.25" customHeight="1" thickBot="1" x14ac:dyDescent="0.35">
      <c r="A92">
        <v>2391</v>
      </c>
      <c r="B92" s="220">
        <v>2391</v>
      </c>
      <c r="C92" s="232">
        <f t="shared" si="1"/>
        <v>0</v>
      </c>
      <c r="D92" s="217" t="s">
        <v>2482</v>
      </c>
    </row>
    <row r="93" spans="1:4" ht="17.25" customHeight="1" thickBot="1" x14ac:dyDescent="0.35">
      <c r="A93">
        <v>2411</v>
      </c>
      <c r="B93" s="211">
        <v>2411</v>
      </c>
      <c r="C93" s="232">
        <f t="shared" si="1"/>
        <v>0</v>
      </c>
      <c r="D93" s="220" t="s">
        <v>1959</v>
      </c>
    </row>
    <row r="94" spans="1:4" ht="17.25" customHeight="1" thickBot="1" x14ac:dyDescent="0.35">
      <c r="A94">
        <v>2421</v>
      </c>
      <c r="B94" s="211">
        <v>2421</v>
      </c>
      <c r="C94" s="232">
        <f t="shared" si="1"/>
        <v>0</v>
      </c>
      <c r="D94" s="212" t="s">
        <v>1960</v>
      </c>
    </row>
    <row r="95" spans="1:4" ht="17.25" customHeight="1" thickBot="1" x14ac:dyDescent="0.35">
      <c r="A95">
        <v>2431</v>
      </c>
      <c r="B95" s="211">
        <v>2431</v>
      </c>
      <c r="C95" s="232">
        <f t="shared" si="1"/>
        <v>0</v>
      </c>
      <c r="D95" s="216" t="s">
        <v>1961</v>
      </c>
    </row>
    <row r="96" spans="1:4" ht="17.25" customHeight="1" thickBot="1" x14ac:dyDescent="0.35">
      <c r="A96">
        <v>2441</v>
      </c>
      <c r="B96" s="211">
        <v>2441</v>
      </c>
      <c r="C96" s="232">
        <f t="shared" si="1"/>
        <v>0</v>
      </c>
      <c r="D96" s="212" t="s">
        <v>1962</v>
      </c>
    </row>
    <row r="97" spans="1:4" ht="17.25" customHeight="1" thickBot="1" x14ac:dyDescent="0.35">
      <c r="A97">
        <v>2451</v>
      </c>
      <c r="B97" s="211">
        <v>2451</v>
      </c>
      <c r="C97" s="232">
        <f t="shared" si="1"/>
        <v>0</v>
      </c>
      <c r="D97" s="212" t="s">
        <v>1963</v>
      </c>
    </row>
    <row r="98" spans="1:4" ht="17.25" customHeight="1" thickBot="1" x14ac:dyDescent="0.35">
      <c r="A98">
        <v>2461</v>
      </c>
      <c r="B98" s="211">
        <v>2461</v>
      </c>
      <c r="C98" s="232">
        <f t="shared" si="1"/>
        <v>0</v>
      </c>
      <c r="D98" s="215" t="s">
        <v>2483</v>
      </c>
    </row>
    <row r="99" spans="1:4" ht="17.25" customHeight="1" thickBot="1" x14ac:dyDescent="0.35">
      <c r="A99">
        <v>2471</v>
      </c>
      <c r="B99" s="211">
        <v>2471</v>
      </c>
      <c r="C99" s="232">
        <f t="shared" si="1"/>
        <v>0</v>
      </c>
      <c r="D99" s="215" t="s">
        <v>2484</v>
      </c>
    </row>
    <row r="100" spans="1:4" ht="17.25" customHeight="1" thickBot="1" x14ac:dyDescent="0.35">
      <c r="A100">
        <v>2481</v>
      </c>
      <c r="B100" s="211">
        <v>2481</v>
      </c>
      <c r="C100" s="232">
        <f t="shared" si="1"/>
        <v>0</v>
      </c>
      <c r="D100" s="212" t="s">
        <v>1964</v>
      </c>
    </row>
    <row r="101" spans="1:4" ht="17.25" customHeight="1" thickBot="1" x14ac:dyDescent="0.35">
      <c r="A101">
        <v>2482</v>
      </c>
      <c r="B101" s="211">
        <v>2482</v>
      </c>
      <c r="C101" s="232">
        <f t="shared" si="1"/>
        <v>0</v>
      </c>
      <c r="D101" s="212" t="s">
        <v>1965</v>
      </c>
    </row>
    <row r="102" spans="1:4" ht="17.25" customHeight="1" thickBot="1" x14ac:dyDescent="0.35">
      <c r="A102">
        <v>2483</v>
      </c>
      <c r="B102" s="211">
        <v>2483</v>
      </c>
      <c r="C102" s="232">
        <f t="shared" si="1"/>
        <v>0</v>
      </c>
      <c r="D102" s="212" t="s">
        <v>1966</v>
      </c>
    </row>
    <row r="103" spans="1:4" ht="17.25" customHeight="1" thickBot="1" x14ac:dyDescent="0.35">
      <c r="A103">
        <v>2491</v>
      </c>
      <c r="B103" s="220">
        <v>2491</v>
      </c>
      <c r="C103" s="232">
        <f t="shared" si="1"/>
        <v>0</v>
      </c>
      <c r="D103" s="217" t="s">
        <v>2485</v>
      </c>
    </row>
    <row r="104" spans="1:4" ht="17.25" customHeight="1" thickBot="1" x14ac:dyDescent="0.35">
      <c r="A104">
        <v>2492</v>
      </c>
      <c r="B104" s="211">
        <v>2492</v>
      </c>
      <c r="C104" s="232">
        <f t="shared" si="1"/>
        <v>0</v>
      </c>
      <c r="D104" s="217" t="s">
        <v>2486</v>
      </c>
    </row>
    <row r="105" spans="1:4" ht="17.25" customHeight="1" thickBot="1" x14ac:dyDescent="0.35">
      <c r="A105">
        <v>2511</v>
      </c>
      <c r="B105" s="211">
        <v>2511</v>
      </c>
      <c r="C105" s="232">
        <f t="shared" si="1"/>
        <v>0</v>
      </c>
      <c r="D105" s="212" t="s">
        <v>1967</v>
      </c>
    </row>
    <row r="106" spans="1:4" ht="17.25" customHeight="1" thickBot="1" x14ac:dyDescent="0.35">
      <c r="A106">
        <v>2521</v>
      </c>
      <c r="B106" s="220">
        <v>2521</v>
      </c>
      <c r="C106" s="232">
        <f t="shared" si="1"/>
        <v>0</v>
      </c>
      <c r="D106" s="217" t="s">
        <v>2487</v>
      </c>
    </row>
    <row r="107" spans="1:4" ht="17.25" customHeight="1" thickBot="1" x14ac:dyDescent="0.35">
      <c r="A107">
        <v>2531</v>
      </c>
      <c r="B107" s="220">
        <v>2531</v>
      </c>
      <c r="C107" s="232">
        <f t="shared" si="1"/>
        <v>0</v>
      </c>
      <c r="D107" s="217" t="s">
        <v>2488</v>
      </c>
    </row>
    <row r="108" spans="1:4" ht="17.25" customHeight="1" thickBot="1" x14ac:dyDescent="0.35">
      <c r="A108">
        <v>2541</v>
      </c>
      <c r="B108" s="211">
        <v>2541</v>
      </c>
      <c r="C108" s="232">
        <f t="shared" si="1"/>
        <v>0</v>
      </c>
      <c r="D108" s="215" t="s">
        <v>2489</v>
      </c>
    </row>
    <row r="109" spans="1:4" ht="17.25" customHeight="1" thickBot="1" x14ac:dyDescent="0.35">
      <c r="A109">
        <v>2551</v>
      </c>
      <c r="B109" s="229">
        <v>2551</v>
      </c>
      <c r="C109" s="232">
        <f t="shared" si="1"/>
        <v>0</v>
      </c>
      <c r="D109" s="215" t="s">
        <v>2490</v>
      </c>
    </row>
    <row r="110" spans="1:4" ht="17.25" customHeight="1" thickBot="1" x14ac:dyDescent="0.35">
      <c r="A110">
        <v>2561</v>
      </c>
      <c r="B110" s="211">
        <v>2561</v>
      </c>
      <c r="C110" s="232">
        <f t="shared" si="1"/>
        <v>0</v>
      </c>
      <c r="D110" s="220" t="s">
        <v>1968</v>
      </c>
    </row>
    <row r="111" spans="1:4" ht="17.25" customHeight="1" thickBot="1" x14ac:dyDescent="0.35">
      <c r="A111">
        <v>2591</v>
      </c>
      <c r="B111" s="211">
        <v>2591</v>
      </c>
      <c r="C111" s="232">
        <f t="shared" si="1"/>
        <v>0</v>
      </c>
      <c r="D111" s="215" t="s">
        <v>2491</v>
      </c>
    </row>
    <row r="112" spans="1:4" ht="17.25" customHeight="1" thickBot="1" x14ac:dyDescent="0.35">
      <c r="A112">
        <v>2611</v>
      </c>
      <c r="B112" s="229">
        <v>2611</v>
      </c>
      <c r="C112" s="232">
        <f t="shared" si="1"/>
        <v>0</v>
      </c>
      <c r="D112" s="217" t="s">
        <v>2492</v>
      </c>
    </row>
    <row r="113" spans="1:4" ht="17.25" customHeight="1" thickBot="1" x14ac:dyDescent="0.35">
      <c r="A113">
        <v>2621</v>
      </c>
      <c r="B113" s="229">
        <v>2621</v>
      </c>
      <c r="C113" s="232">
        <f t="shared" si="1"/>
        <v>0</v>
      </c>
      <c r="D113" s="212" t="s">
        <v>1970</v>
      </c>
    </row>
    <row r="114" spans="1:4" ht="17.25" customHeight="1" thickBot="1" x14ac:dyDescent="0.35">
      <c r="A114">
        <v>2711</v>
      </c>
      <c r="B114" s="220">
        <v>2711</v>
      </c>
      <c r="C114" s="232">
        <f t="shared" si="1"/>
        <v>0</v>
      </c>
      <c r="D114" s="217" t="s">
        <v>2493</v>
      </c>
    </row>
    <row r="115" spans="1:4" ht="17.25" customHeight="1" thickBot="1" x14ac:dyDescent="0.35">
      <c r="A115">
        <v>2721</v>
      </c>
      <c r="B115" s="220">
        <v>2721</v>
      </c>
      <c r="C115" s="232">
        <f t="shared" si="1"/>
        <v>0</v>
      </c>
      <c r="D115" s="217" t="s">
        <v>2494</v>
      </c>
    </row>
    <row r="116" spans="1:4" ht="17.25" customHeight="1" thickBot="1" x14ac:dyDescent="0.35">
      <c r="A116">
        <v>2731</v>
      </c>
      <c r="B116" s="211">
        <v>2731</v>
      </c>
      <c r="C116" s="232">
        <f t="shared" si="1"/>
        <v>0</v>
      </c>
      <c r="D116" s="212" t="s">
        <v>1971</v>
      </c>
    </row>
    <row r="117" spans="1:4" ht="17.25" customHeight="1" thickBot="1" x14ac:dyDescent="0.35">
      <c r="A117">
        <v>2741</v>
      </c>
      <c r="B117" s="220">
        <v>2741</v>
      </c>
      <c r="C117" s="232">
        <f t="shared" si="1"/>
        <v>0</v>
      </c>
      <c r="D117" s="217" t="s">
        <v>2495</v>
      </c>
    </row>
    <row r="118" spans="1:4" ht="17.25" customHeight="1" thickBot="1" x14ac:dyDescent="0.35">
      <c r="A118">
        <v>2751</v>
      </c>
      <c r="B118" s="229">
        <v>2751</v>
      </c>
      <c r="C118" s="232">
        <f t="shared" si="1"/>
        <v>0</v>
      </c>
      <c r="D118" s="212" t="s">
        <v>1972</v>
      </c>
    </row>
    <row r="119" spans="1:4" ht="17.25" customHeight="1" thickBot="1" x14ac:dyDescent="0.35">
      <c r="A119">
        <v>2811</v>
      </c>
      <c r="B119" s="229">
        <v>2811</v>
      </c>
      <c r="C119" s="232">
        <f t="shared" si="1"/>
        <v>0</v>
      </c>
      <c r="D119" s="216" t="s">
        <v>1973</v>
      </c>
    </row>
    <row r="120" spans="1:4" ht="17.25" customHeight="1" thickBot="1" x14ac:dyDescent="0.35">
      <c r="A120">
        <v>2821</v>
      </c>
      <c r="B120" s="220">
        <v>2821</v>
      </c>
      <c r="C120" s="232">
        <f t="shared" si="1"/>
        <v>0</v>
      </c>
      <c r="D120" s="217" t="s">
        <v>2496</v>
      </c>
    </row>
    <row r="121" spans="1:4" ht="17.25" customHeight="1" thickBot="1" x14ac:dyDescent="0.35">
      <c r="A121">
        <v>2831</v>
      </c>
      <c r="B121" s="211">
        <v>2831</v>
      </c>
      <c r="C121" s="232">
        <f t="shared" si="1"/>
        <v>0</v>
      </c>
      <c r="D121" s="215" t="s">
        <v>2497</v>
      </c>
    </row>
    <row r="122" spans="1:4" ht="17.25" customHeight="1" thickBot="1" x14ac:dyDescent="0.35">
      <c r="A122">
        <v>2911</v>
      </c>
      <c r="B122" s="211">
        <v>2911</v>
      </c>
      <c r="C122" s="232">
        <f t="shared" si="1"/>
        <v>0</v>
      </c>
      <c r="D122" s="217" t="s">
        <v>2498</v>
      </c>
    </row>
    <row r="123" spans="1:4" ht="17.25" customHeight="1" thickBot="1" x14ac:dyDescent="0.35">
      <c r="A123">
        <v>2921</v>
      </c>
      <c r="B123" s="211">
        <v>2921</v>
      </c>
      <c r="C123" s="232">
        <f t="shared" si="1"/>
        <v>0</v>
      </c>
      <c r="D123" s="212" t="s">
        <v>1974</v>
      </c>
    </row>
    <row r="124" spans="1:4" ht="17.25" customHeight="1" thickBot="1" x14ac:dyDescent="0.35">
      <c r="A124">
        <v>2931</v>
      </c>
      <c r="B124" s="211">
        <v>2931</v>
      </c>
      <c r="C124" s="232">
        <f t="shared" si="1"/>
        <v>0</v>
      </c>
      <c r="D124" s="215" t="s">
        <v>2719</v>
      </c>
    </row>
    <row r="125" spans="1:4" ht="17.25" customHeight="1" thickBot="1" x14ac:dyDescent="0.35">
      <c r="A125">
        <v>2941</v>
      </c>
      <c r="B125" s="211">
        <v>2941</v>
      </c>
      <c r="C125" s="232">
        <f t="shared" si="1"/>
        <v>0</v>
      </c>
      <c r="D125" s="217" t="s">
        <v>2499</v>
      </c>
    </row>
    <row r="126" spans="1:4" ht="17.25" customHeight="1" thickBot="1" x14ac:dyDescent="0.35">
      <c r="A126">
        <v>2951</v>
      </c>
      <c r="B126" s="211">
        <v>2951</v>
      </c>
      <c r="C126" s="232">
        <f t="shared" si="1"/>
        <v>0</v>
      </c>
      <c r="D126" s="212" t="s">
        <v>1975</v>
      </c>
    </row>
    <row r="127" spans="1:4" ht="17.25" customHeight="1" thickBot="1" x14ac:dyDescent="0.35">
      <c r="A127">
        <v>2961</v>
      </c>
      <c r="B127" s="214">
        <v>2961</v>
      </c>
      <c r="C127" s="232">
        <f t="shared" si="1"/>
        <v>0</v>
      </c>
      <c r="D127" s="215" t="s">
        <v>2500</v>
      </c>
    </row>
    <row r="128" spans="1:4" ht="17.25" customHeight="1" thickBot="1" x14ac:dyDescent="0.35">
      <c r="A128">
        <v>2971</v>
      </c>
      <c r="B128" s="211">
        <v>2971</v>
      </c>
      <c r="C128" s="232">
        <f t="shared" si="1"/>
        <v>0</v>
      </c>
      <c r="D128" s="212" t="s">
        <v>1976</v>
      </c>
    </row>
    <row r="129" spans="1:4" ht="17.25" customHeight="1" thickBot="1" x14ac:dyDescent="0.35">
      <c r="A129">
        <v>2972</v>
      </c>
      <c r="B129" s="211">
        <v>2972</v>
      </c>
      <c r="C129" s="232">
        <f t="shared" ref="C129:C192" si="2">A129-B129</f>
        <v>0</v>
      </c>
      <c r="D129" s="212" t="s">
        <v>1977</v>
      </c>
    </row>
    <row r="130" spans="1:4" ht="17.25" customHeight="1" thickBot="1" x14ac:dyDescent="0.35">
      <c r="A130">
        <v>2981</v>
      </c>
      <c r="B130" s="220">
        <v>2981</v>
      </c>
      <c r="C130" s="232">
        <f t="shared" si="2"/>
        <v>0</v>
      </c>
      <c r="D130" s="217" t="s">
        <v>1978</v>
      </c>
    </row>
    <row r="131" spans="1:4" ht="17.25" customHeight="1" thickBot="1" x14ac:dyDescent="0.35">
      <c r="A131">
        <v>2991</v>
      </c>
      <c r="B131" s="211">
        <v>2991</v>
      </c>
      <c r="C131" s="232">
        <f t="shared" si="2"/>
        <v>0</v>
      </c>
      <c r="D131" s="212" t="s">
        <v>1979</v>
      </c>
    </row>
    <row r="132" spans="1:4" ht="17.25" customHeight="1" thickBot="1" x14ac:dyDescent="0.35">
      <c r="A132">
        <v>2992</v>
      </c>
      <c r="B132" s="211">
        <v>2992</v>
      </c>
      <c r="C132" s="232">
        <f t="shared" si="2"/>
        <v>0</v>
      </c>
      <c r="D132" s="212" t="s">
        <v>1980</v>
      </c>
    </row>
    <row r="133" spans="1:4" ht="17.25" customHeight="1" thickBot="1" x14ac:dyDescent="0.35">
      <c r="A133">
        <v>3111</v>
      </c>
      <c r="B133" s="211">
        <v>3111</v>
      </c>
      <c r="C133" s="232">
        <f t="shared" si="2"/>
        <v>0</v>
      </c>
      <c r="D133" s="212" t="s">
        <v>1981</v>
      </c>
    </row>
    <row r="134" spans="1:4" ht="17.25" customHeight="1" thickBot="1" x14ac:dyDescent="0.35">
      <c r="A134">
        <v>3112</v>
      </c>
      <c r="B134" s="211">
        <v>3112</v>
      </c>
      <c r="C134" s="232">
        <f t="shared" si="2"/>
        <v>0</v>
      </c>
      <c r="D134" s="212" t="s">
        <v>1982</v>
      </c>
    </row>
    <row r="135" spans="1:4" ht="17.25" customHeight="1" thickBot="1" x14ac:dyDescent="0.35">
      <c r="A135">
        <v>3121</v>
      </c>
      <c r="B135" s="211">
        <v>3121</v>
      </c>
      <c r="C135" s="232">
        <f t="shared" si="2"/>
        <v>0</v>
      </c>
      <c r="D135" s="212" t="s">
        <v>1983</v>
      </c>
    </row>
    <row r="136" spans="1:4" ht="17.25" customHeight="1" thickBot="1" x14ac:dyDescent="0.35">
      <c r="A136">
        <v>3131</v>
      </c>
      <c r="B136" s="211">
        <v>3131</v>
      </c>
      <c r="C136" s="232">
        <f t="shared" si="2"/>
        <v>0</v>
      </c>
      <c r="D136" s="212" t="s">
        <v>1984</v>
      </c>
    </row>
    <row r="137" spans="1:4" ht="17.25" customHeight="1" thickBot="1" x14ac:dyDescent="0.35">
      <c r="A137">
        <v>3132</v>
      </c>
      <c r="B137" s="211">
        <v>3132</v>
      </c>
      <c r="C137" s="232">
        <f t="shared" si="2"/>
        <v>0</v>
      </c>
      <c r="D137" s="212" t="s">
        <v>1985</v>
      </c>
    </row>
    <row r="138" spans="1:4" ht="17.25" customHeight="1" thickBot="1" x14ac:dyDescent="0.35">
      <c r="A138">
        <v>3141</v>
      </c>
      <c r="B138" s="211">
        <v>3141</v>
      </c>
      <c r="C138" s="232">
        <f t="shared" si="2"/>
        <v>0</v>
      </c>
      <c r="D138" s="212" t="s">
        <v>1986</v>
      </c>
    </row>
    <row r="139" spans="1:4" ht="17.25" customHeight="1" thickBot="1" x14ac:dyDescent="0.35">
      <c r="A139">
        <v>3151</v>
      </c>
      <c r="B139" s="211">
        <v>3151</v>
      </c>
      <c r="C139" s="232">
        <f t="shared" si="2"/>
        <v>0</v>
      </c>
      <c r="D139" s="212" t="s">
        <v>1987</v>
      </c>
    </row>
    <row r="140" spans="1:4" ht="17.25" customHeight="1" thickBot="1" x14ac:dyDescent="0.35">
      <c r="A140">
        <v>3161</v>
      </c>
      <c r="B140" s="211">
        <v>3161</v>
      </c>
      <c r="C140" s="232">
        <f t="shared" si="2"/>
        <v>0</v>
      </c>
      <c r="D140" s="215" t="s">
        <v>2501</v>
      </c>
    </row>
    <row r="141" spans="1:4" ht="17.25" customHeight="1" thickBot="1" x14ac:dyDescent="0.35">
      <c r="A141">
        <v>3162</v>
      </c>
      <c r="B141" s="211">
        <v>3162</v>
      </c>
      <c r="C141" s="232">
        <f t="shared" si="2"/>
        <v>0</v>
      </c>
      <c r="D141" s="216" t="s">
        <v>1988</v>
      </c>
    </row>
    <row r="142" spans="1:4" ht="17.25" customHeight="1" thickBot="1" x14ac:dyDescent="0.35">
      <c r="A142">
        <v>3171</v>
      </c>
      <c r="B142" s="220">
        <v>3171</v>
      </c>
      <c r="C142" s="232">
        <f t="shared" si="2"/>
        <v>0</v>
      </c>
      <c r="D142" s="217" t="s">
        <v>2502</v>
      </c>
    </row>
    <row r="143" spans="1:4" ht="17.25" customHeight="1" thickBot="1" x14ac:dyDescent="0.35">
      <c r="A143">
        <v>3181</v>
      </c>
      <c r="B143" s="211">
        <v>3181</v>
      </c>
      <c r="C143" s="232">
        <f t="shared" si="2"/>
        <v>0</v>
      </c>
      <c r="D143" s="212" t="s">
        <v>1989</v>
      </c>
    </row>
    <row r="144" spans="1:4" ht="17.25" customHeight="1" thickBot="1" x14ac:dyDescent="0.35">
      <c r="A144">
        <v>3191</v>
      </c>
      <c r="B144" s="220">
        <v>3191</v>
      </c>
      <c r="C144" s="232">
        <f t="shared" si="2"/>
        <v>0</v>
      </c>
      <c r="D144" s="217" t="s">
        <v>2503</v>
      </c>
    </row>
    <row r="145" spans="1:4" ht="17.25" customHeight="1" thickBot="1" x14ac:dyDescent="0.35">
      <c r="A145">
        <v>3192</v>
      </c>
      <c r="B145" s="220">
        <v>3192</v>
      </c>
      <c r="C145" s="232">
        <f t="shared" si="2"/>
        <v>0</v>
      </c>
      <c r="D145" s="217" t="s">
        <v>2504</v>
      </c>
    </row>
    <row r="146" spans="1:4" ht="17.25" customHeight="1" thickBot="1" x14ac:dyDescent="0.35">
      <c r="A146">
        <v>3211</v>
      </c>
      <c r="B146" s="229">
        <v>3211</v>
      </c>
      <c r="C146" s="232">
        <f t="shared" si="2"/>
        <v>0</v>
      </c>
      <c r="D146" s="212" t="s">
        <v>1990</v>
      </c>
    </row>
    <row r="147" spans="1:4" ht="17.25" customHeight="1" thickBot="1" x14ac:dyDescent="0.35">
      <c r="A147">
        <v>3221</v>
      </c>
      <c r="B147" s="229">
        <v>3221</v>
      </c>
      <c r="C147" s="232">
        <f t="shared" si="2"/>
        <v>0</v>
      </c>
      <c r="D147" s="212" t="s">
        <v>1991</v>
      </c>
    </row>
    <row r="148" spans="1:4" ht="17.25" customHeight="1" thickBot="1" x14ac:dyDescent="0.35">
      <c r="A148">
        <v>3231</v>
      </c>
      <c r="B148" s="229">
        <v>3231</v>
      </c>
      <c r="C148" s="232">
        <f t="shared" si="2"/>
        <v>0</v>
      </c>
      <c r="D148" s="212" t="s">
        <v>1992</v>
      </c>
    </row>
    <row r="149" spans="1:4" ht="17.25" customHeight="1" thickBot="1" x14ac:dyDescent="0.35">
      <c r="A149">
        <v>3241</v>
      </c>
      <c r="B149" s="229">
        <v>3241</v>
      </c>
      <c r="C149" s="232">
        <f t="shared" si="2"/>
        <v>0</v>
      </c>
      <c r="D149" s="212" t="s">
        <v>1993</v>
      </c>
    </row>
    <row r="150" spans="1:4" ht="17.25" customHeight="1" thickBot="1" x14ac:dyDescent="0.35">
      <c r="A150">
        <v>3251</v>
      </c>
      <c r="B150" s="211">
        <v>3251</v>
      </c>
      <c r="C150" s="232">
        <f t="shared" si="2"/>
        <v>0</v>
      </c>
      <c r="D150" s="212" t="s">
        <v>1994</v>
      </c>
    </row>
    <row r="151" spans="1:4" ht="17.25" customHeight="1" thickBot="1" x14ac:dyDescent="0.35">
      <c r="A151">
        <v>3261</v>
      </c>
      <c r="B151" s="211">
        <v>3261</v>
      </c>
      <c r="C151" s="232">
        <f t="shared" si="2"/>
        <v>0</v>
      </c>
      <c r="D151" s="212" t="s">
        <v>1995</v>
      </c>
    </row>
    <row r="152" spans="1:4" ht="17.25" customHeight="1" thickBot="1" x14ac:dyDescent="0.35">
      <c r="A152">
        <v>3271</v>
      </c>
      <c r="B152" s="220">
        <v>3271</v>
      </c>
      <c r="C152" s="232">
        <f t="shared" si="2"/>
        <v>0</v>
      </c>
      <c r="D152" s="217" t="s">
        <v>2505</v>
      </c>
    </row>
    <row r="153" spans="1:4" ht="17.25" customHeight="1" thickBot="1" x14ac:dyDescent="0.35">
      <c r="A153">
        <v>3281</v>
      </c>
      <c r="B153" s="211">
        <v>3281</v>
      </c>
      <c r="C153" s="232">
        <f t="shared" si="2"/>
        <v>0</v>
      </c>
      <c r="D153" s="212" t="s">
        <v>1996</v>
      </c>
    </row>
    <row r="154" spans="1:4" ht="17.25" customHeight="1" thickBot="1" x14ac:dyDescent="0.35">
      <c r="A154">
        <v>3291</v>
      </c>
      <c r="B154" s="222">
        <v>3291</v>
      </c>
      <c r="C154" s="232">
        <f t="shared" si="2"/>
        <v>0</v>
      </c>
      <c r="D154" s="212" t="s">
        <v>1997</v>
      </c>
    </row>
    <row r="155" spans="1:4" ht="17.25" customHeight="1" thickBot="1" x14ac:dyDescent="0.35">
      <c r="A155">
        <v>3311</v>
      </c>
      <c r="B155" s="229">
        <v>3311</v>
      </c>
      <c r="C155" s="232">
        <f t="shared" si="2"/>
        <v>0</v>
      </c>
      <c r="D155" s="215" t="s">
        <v>2549</v>
      </c>
    </row>
    <row r="156" spans="1:4" ht="17.25" customHeight="1" thickBot="1" x14ac:dyDescent="0.35">
      <c r="A156">
        <v>3321</v>
      </c>
      <c r="B156" s="211">
        <v>3321</v>
      </c>
      <c r="C156" s="232">
        <f t="shared" si="2"/>
        <v>0</v>
      </c>
      <c r="D156" s="215" t="s">
        <v>2550</v>
      </c>
    </row>
    <row r="157" spans="1:4" ht="17.25" customHeight="1" thickBot="1" x14ac:dyDescent="0.35">
      <c r="A157">
        <v>3331</v>
      </c>
      <c r="B157" s="211">
        <v>3331</v>
      </c>
      <c r="C157" s="232">
        <f t="shared" si="2"/>
        <v>0</v>
      </c>
      <c r="D157" s="217" t="s">
        <v>2551</v>
      </c>
    </row>
    <row r="158" spans="1:4" ht="17.25" customHeight="1" thickBot="1" x14ac:dyDescent="0.35">
      <c r="A158">
        <v>3341</v>
      </c>
      <c r="B158" s="229">
        <v>3341</v>
      </c>
      <c r="C158" s="232">
        <f t="shared" si="2"/>
        <v>0</v>
      </c>
      <c r="D158" s="220" t="s">
        <v>1998</v>
      </c>
    </row>
    <row r="159" spans="1:4" ht="17.25" customHeight="1" thickBot="1" x14ac:dyDescent="0.35">
      <c r="A159">
        <v>3351</v>
      </c>
      <c r="B159" s="229">
        <v>3351</v>
      </c>
      <c r="C159" s="232">
        <f t="shared" si="2"/>
        <v>0</v>
      </c>
      <c r="D159" s="216" t="s">
        <v>1999</v>
      </c>
    </row>
    <row r="160" spans="1:4" ht="17.25" customHeight="1" thickBot="1" x14ac:dyDescent="0.35">
      <c r="A160">
        <v>3361</v>
      </c>
      <c r="B160" s="211">
        <v>3361</v>
      </c>
      <c r="C160" s="232">
        <f t="shared" si="2"/>
        <v>0</v>
      </c>
      <c r="D160" s="217" t="s">
        <v>2720</v>
      </c>
    </row>
    <row r="161" spans="1:4" ht="17.25" customHeight="1" thickBot="1" x14ac:dyDescent="0.35">
      <c r="A161">
        <v>3362</v>
      </c>
      <c r="B161" s="211">
        <v>3362</v>
      </c>
      <c r="C161" s="232">
        <f t="shared" si="2"/>
        <v>0</v>
      </c>
      <c r="D161" s="215" t="s">
        <v>2721</v>
      </c>
    </row>
    <row r="162" spans="1:4" ht="17.25" customHeight="1" thickBot="1" x14ac:dyDescent="0.35">
      <c r="A162">
        <v>3363</v>
      </c>
      <c r="B162" s="211">
        <v>3363</v>
      </c>
      <c r="C162" s="232">
        <f t="shared" si="2"/>
        <v>0</v>
      </c>
      <c r="D162" s="223" t="s">
        <v>2722</v>
      </c>
    </row>
    <row r="163" spans="1:4" ht="17.25" customHeight="1" thickBot="1" x14ac:dyDescent="0.35">
      <c r="A163">
        <v>3371</v>
      </c>
      <c r="B163" s="211">
        <v>3371</v>
      </c>
      <c r="C163" s="232">
        <f t="shared" si="2"/>
        <v>0</v>
      </c>
      <c r="D163" s="215" t="s">
        <v>2723</v>
      </c>
    </row>
    <row r="164" spans="1:4" ht="17.25" customHeight="1" thickBot="1" x14ac:dyDescent="0.35">
      <c r="A164">
        <v>3381</v>
      </c>
      <c r="B164" s="214"/>
      <c r="C164" s="232">
        <f t="shared" si="2"/>
        <v>3381</v>
      </c>
      <c r="D164" s="215"/>
    </row>
    <row r="165" spans="1:4" ht="17.25" customHeight="1" thickBot="1" x14ac:dyDescent="0.35">
      <c r="A165">
        <v>3391</v>
      </c>
      <c r="C165" s="232">
        <f t="shared" si="2"/>
        <v>3391</v>
      </c>
      <c r="D165" s="218"/>
    </row>
    <row r="166" spans="1:4" ht="17.25" customHeight="1" thickBot="1" x14ac:dyDescent="0.35">
      <c r="A166">
        <v>3411</v>
      </c>
      <c r="B166" s="214"/>
      <c r="C166" s="232">
        <f t="shared" si="2"/>
        <v>3411</v>
      </c>
      <c r="D166" s="217" t="s">
        <v>2000</v>
      </c>
    </row>
    <row r="167" spans="1:4" ht="17.25" customHeight="1" thickBot="1" x14ac:dyDescent="0.35">
      <c r="A167">
        <v>3421</v>
      </c>
      <c r="B167" s="211">
        <v>3381</v>
      </c>
      <c r="C167" s="232">
        <f t="shared" si="2"/>
        <v>40</v>
      </c>
      <c r="D167" s="212" t="s">
        <v>2001</v>
      </c>
    </row>
    <row r="168" spans="1:4" ht="17.25" customHeight="1" thickBot="1" x14ac:dyDescent="0.35">
      <c r="A168">
        <v>3431</v>
      </c>
      <c r="B168" s="211">
        <v>3391</v>
      </c>
      <c r="C168" s="232">
        <f t="shared" si="2"/>
        <v>40</v>
      </c>
      <c r="D168" s="216" t="s">
        <v>2002</v>
      </c>
    </row>
    <row r="169" spans="1:4" ht="17.25" customHeight="1" thickBot="1" x14ac:dyDescent="0.35">
      <c r="A169">
        <v>3441</v>
      </c>
      <c r="B169" s="214"/>
      <c r="C169" s="232">
        <f t="shared" si="2"/>
        <v>3441</v>
      </c>
      <c r="D169" s="215" t="s">
        <v>2003</v>
      </c>
    </row>
    <row r="170" spans="1:4" ht="17.25" customHeight="1" thickBot="1" x14ac:dyDescent="0.35">
      <c r="A170">
        <v>3451</v>
      </c>
      <c r="B170" s="211">
        <v>3411</v>
      </c>
      <c r="C170" s="232">
        <f t="shared" si="2"/>
        <v>40</v>
      </c>
      <c r="D170" s="216" t="s">
        <v>2004</v>
      </c>
    </row>
    <row r="171" spans="1:4" ht="17.25" customHeight="1" thickBot="1" x14ac:dyDescent="0.35">
      <c r="A171">
        <v>3461</v>
      </c>
      <c r="B171" s="211">
        <v>3421</v>
      </c>
      <c r="C171" s="232">
        <f t="shared" si="2"/>
        <v>40</v>
      </c>
      <c r="D171" s="212" t="s">
        <v>2005</v>
      </c>
    </row>
    <row r="172" spans="1:4" ht="17.25" customHeight="1" thickBot="1" x14ac:dyDescent="0.35">
      <c r="A172">
        <v>3471</v>
      </c>
      <c r="B172" s="211">
        <v>3431</v>
      </c>
      <c r="C172" s="232">
        <f t="shared" si="2"/>
        <v>40</v>
      </c>
      <c r="D172" s="212" t="s">
        <v>2006</v>
      </c>
    </row>
    <row r="173" spans="1:4" ht="17.25" customHeight="1" thickBot="1" x14ac:dyDescent="0.35">
      <c r="A173">
        <v>3481</v>
      </c>
      <c r="B173" s="214"/>
      <c r="C173" s="232">
        <f t="shared" si="2"/>
        <v>3481</v>
      </c>
      <c r="D173" s="401" t="s">
        <v>2007</v>
      </c>
    </row>
    <row r="174" spans="1:4" ht="17.25" customHeight="1" thickBot="1" x14ac:dyDescent="0.35">
      <c r="A174">
        <v>3491</v>
      </c>
      <c r="B174" s="214"/>
      <c r="C174" s="232">
        <f t="shared" si="2"/>
        <v>3491</v>
      </c>
      <c r="D174" s="403"/>
    </row>
    <row r="175" spans="1:4" ht="17.25" customHeight="1" thickBot="1" x14ac:dyDescent="0.35">
      <c r="A175">
        <v>3511</v>
      </c>
      <c r="B175" s="214"/>
      <c r="C175" s="232">
        <f t="shared" si="2"/>
        <v>3511</v>
      </c>
      <c r="D175" s="403"/>
    </row>
    <row r="176" spans="1:4" ht="17.25" customHeight="1" thickBot="1" x14ac:dyDescent="0.35">
      <c r="A176">
        <v>3512</v>
      </c>
      <c r="B176" s="211">
        <v>3441</v>
      </c>
      <c r="C176" s="232">
        <f t="shared" si="2"/>
        <v>71</v>
      </c>
      <c r="D176" s="402"/>
    </row>
    <row r="177" spans="1:4" ht="17.25" customHeight="1" thickBot="1" x14ac:dyDescent="0.35">
      <c r="A177">
        <v>3521</v>
      </c>
      <c r="B177" s="220"/>
      <c r="C177" s="232">
        <f t="shared" si="2"/>
        <v>3521</v>
      </c>
      <c r="D177" s="223" t="s">
        <v>2008</v>
      </c>
    </row>
    <row r="178" spans="1:4" ht="17.25" customHeight="1" thickBot="1" x14ac:dyDescent="0.35">
      <c r="A178">
        <v>3531</v>
      </c>
      <c r="B178" s="211">
        <v>3451</v>
      </c>
      <c r="C178" s="232">
        <f t="shared" si="2"/>
        <v>80</v>
      </c>
      <c r="D178" s="212" t="s">
        <v>2009</v>
      </c>
    </row>
    <row r="179" spans="1:4" ht="17.25" customHeight="1" thickBot="1" x14ac:dyDescent="0.35">
      <c r="A179">
        <v>3532</v>
      </c>
      <c r="B179" s="211">
        <v>3461</v>
      </c>
      <c r="C179" s="232">
        <f t="shared" si="2"/>
        <v>71</v>
      </c>
      <c r="D179" s="212" t="s">
        <v>2010</v>
      </c>
    </row>
    <row r="180" spans="1:4" ht="17.25" customHeight="1" thickBot="1" x14ac:dyDescent="0.35">
      <c r="A180">
        <v>3541</v>
      </c>
      <c r="B180" s="229">
        <v>3471</v>
      </c>
      <c r="C180" s="232">
        <f t="shared" si="2"/>
        <v>70</v>
      </c>
      <c r="D180" s="212" t="s">
        <v>2011</v>
      </c>
    </row>
    <row r="181" spans="1:4" ht="17.25" customHeight="1" thickBot="1" x14ac:dyDescent="0.35">
      <c r="A181">
        <v>3551</v>
      </c>
      <c r="B181" s="214"/>
      <c r="C181" s="232">
        <f t="shared" si="2"/>
        <v>3551</v>
      </c>
      <c r="D181" s="401" t="s">
        <v>2012</v>
      </c>
    </row>
    <row r="182" spans="1:4" ht="17.25" customHeight="1" thickBot="1" x14ac:dyDescent="0.35">
      <c r="A182">
        <v>3561</v>
      </c>
      <c r="B182" s="229">
        <v>3481</v>
      </c>
      <c r="C182" s="232">
        <f t="shared" si="2"/>
        <v>80</v>
      </c>
      <c r="D182" s="402"/>
    </row>
    <row r="183" spans="1:4" ht="17.25" customHeight="1" thickBot="1" x14ac:dyDescent="0.35">
      <c r="A183">
        <v>3571</v>
      </c>
      <c r="B183" s="214"/>
      <c r="C183" s="232">
        <f t="shared" si="2"/>
        <v>3571</v>
      </c>
      <c r="D183" s="215" t="s">
        <v>2013</v>
      </c>
    </row>
    <row r="184" spans="1:4" ht="17.25" customHeight="1" thickBot="1" x14ac:dyDescent="0.35">
      <c r="A184">
        <v>3581</v>
      </c>
      <c r="B184" s="214"/>
      <c r="C184" s="232">
        <f t="shared" si="2"/>
        <v>3581</v>
      </c>
      <c r="D184" s="215" t="s">
        <v>2014</v>
      </c>
    </row>
    <row r="185" spans="1:4" ht="17.25" customHeight="1" thickBot="1" x14ac:dyDescent="0.35">
      <c r="A185">
        <v>3591</v>
      </c>
      <c r="B185" s="211">
        <v>3491</v>
      </c>
      <c r="C185" s="232">
        <f t="shared" si="2"/>
        <v>100</v>
      </c>
      <c r="D185" s="218"/>
    </row>
    <row r="186" spans="1:4" ht="17.25" customHeight="1" thickBot="1" x14ac:dyDescent="0.35">
      <c r="A186">
        <v>3611</v>
      </c>
      <c r="B186" s="214"/>
      <c r="C186" s="232">
        <f t="shared" si="2"/>
        <v>3611</v>
      </c>
      <c r="D186" s="401" t="s">
        <v>2015</v>
      </c>
    </row>
    <row r="187" spans="1:4" ht="17.25" customHeight="1" thickBot="1" x14ac:dyDescent="0.35">
      <c r="A187">
        <v>3612</v>
      </c>
      <c r="B187" s="214"/>
      <c r="C187" s="232">
        <f t="shared" si="2"/>
        <v>3612</v>
      </c>
      <c r="D187" s="403"/>
    </row>
    <row r="188" spans="1:4" ht="17.25" customHeight="1" thickBot="1" x14ac:dyDescent="0.35">
      <c r="A188">
        <v>3613</v>
      </c>
      <c r="B188" s="229">
        <v>3511</v>
      </c>
      <c r="C188" s="232">
        <f t="shared" si="2"/>
        <v>102</v>
      </c>
      <c r="D188" s="402"/>
    </row>
    <row r="189" spans="1:4" ht="17.25" customHeight="1" thickBot="1" x14ac:dyDescent="0.35">
      <c r="A189">
        <v>3621</v>
      </c>
      <c r="B189" s="214"/>
      <c r="C189" s="232">
        <f t="shared" si="2"/>
        <v>3621</v>
      </c>
      <c r="D189" s="401" t="s">
        <v>2016</v>
      </c>
    </row>
    <row r="190" spans="1:4" ht="17.25" customHeight="1" thickBot="1" x14ac:dyDescent="0.35">
      <c r="A190">
        <v>3631</v>
      </c>
      <c r="B190" s="211">
        <v>3512</v>
      </c>
      <c r="C190" s="232">
        <f t="shared" si="2"/>
        <v>119</v>
      </c>
      <c r="D190" s="402"/>
    </row>
    <row r="191" spans="1:4" ht="17.25" customHeight="1" thickBot="1" x14ac:dyDescent="0.35">
      <c r="A191">
        <v>3641</v>
      </c>
      <c r="B191" s="214"/>
      <c r="C191" s="232">
        <f t="shared" si="2"/>
        <v>3641</v>
      </c>
      <c r="D191" s="217" t="s">
        <v>2017</v>
      </c>
    </row>
    <row r="192" spans="1:4" ht="17.25" customHeight="1" thickBot="1" x14ac:dyDescent="0.35">
      <c r="A192">
        <v>3651</v>
      </c>
      <c r="B192" s="211">
        <v>3521</v>
      </c>
      <c r="C192" s="232">
        <f t="shared" si="2"/>
        <v>130</v>
      </c>
      <c r="D192" s="212" t="s">
        <v>2018</v>
      </c>
    </row>
    <row r="193" spans="1:4" ht="17.25" customHeight="1" thickBot="1" x14ac:dyDescent="0.35">
      <c r="A193">
        <v>3661</v>
      </c>
      <c r="B193" s="214"/>
      <c r="C193" s="232">
        <f t="shared" ref="C193:C256" si="3">A193-B193</f>
        <v>3661</v>
      </c>
      <c r="D193" s="215" t="s">
        <v>2019</v>
      </c>
    </row>
    <row r="194" spans="1:4" ht="17.25" customHeight="1" thickBot="1" x14ac:dyDescent="0.35">
      <c r="A194">
        <v>3691</v>
      </c>
      <c r="B194" s="214"/>
      <c r="C194" s="232">
        <f t="shared" si="3"/>
        <v>3691</v>
      </c>
      <c r="D194" s="215" t="s">
        <v>2020</v>
      </c>
    </row>
    <row r="195" spans="1:4" ht="17.25" customHeight="1" thickBot="1" x14ac:dyDescent="0.35">
      <c r="A195">
        <v>3711</v>
      </c>
      <c r="B195" s="211">
        <v>3531</v>
      </c>
      <c r="C195" s="232">
        <f t="shared" si="3"/>
        <v>180</v>
      </c>
      <c r="D195" s="218"/>
    </row>
    <row r="196" spans="1:4" ht="17.25" customHeight="1" thickBot="1" x14ac:dyDescent="0.35">
      <c r="A196">
        <v>3721</v>
      </c>
      <c r="C196" s="232">
        <f t="shared" si="3"/>
        <v>3721</v>
      </c>
    </row>
    <row r="197" spans="1:4" ht="17.25" customHeight="1" thickBot="1" x14ac:dyDescent="0.35">
      <c r="A197">
        <v>3731</v>
      </c>
      <c r="B197" s="213"/>
      <c r="C197" s="232">
        <f t="shared" si="3"/>
        <v>3731</v>
      </c>
    </row>
    <row r="198" spans="1:4" ht="17.25" customHeight="1" thickBot="1" x14ac:dyDescent="0.35">
      <c r="A198">
        <v>3741</v>
      </c>
      <c r="B198" s="224">
        <v>3532</v>
      </c>
      <c r="C198" s="232">
        <f t="shared" si="3"/>
        <v>209</v>
      </c>
      <c r="D198" s="225" t="s">
        <v>2021</v>
      </c>
    </row>
    <row r="199" spans="1:4" ht="17.25" customHeight="1" thickBot="1" x14ac:dyDescent="0.35">
      <c r="A199">
        <v>3751</v>
      </c>
      <c r="B199" s="211">
        <v>3541</v>
      </c>
      <c r="C199" s="232">
        <f t="shared" si="3"/>
        <v>210</v>
      </c>
      <c r="D199" s="216" t="s">
        <v>2022</v>
      </c>
    </row>
    <row r="200" spans="1:4" ht="17.25" customHeight="1" thickBot="1" x14ac:dyDescent="0.35">
      <c r="A200">
        <v>3752</v>
      </c>
      <c r="B200" s="211">
        <v>3551</v>
      </c>
      <c r="C200" s="232">
        <f t="shared" si="3"/>
        <v>201</v>
      </c>
      <c r="D200" s="212" t="s">
        <v>2023</v>
      </c>
    </row>
    <row r="201" spans="1:4" ht="17.25" customHeight="1" thickBot="1" x14ac:dyDescent="0.35">
      <c r="A201">
        <v>3753</v>
      </c>
      <c r="B201" s="220">
        <v>3561</v>
      </c>
      <c r="C201" s="232">
        <f t="shared" si="3"/>
        <v>192</v>
      </c>
      <c r="D201" s="217" t="s">
        <v>2024</v>
      </c>
    </row>
    <row r="202" spans="1:4" ht="17.25" customHeight="1" thickBot="1" x14ac:dyDescent="0.35">
      <c r="A202">
        <v>3761</v>
      </c>
      <c r="B202" s="229"/>
      <c r="C202" s="232">
        <f t="shared" si="3"/>
        <v>3761</v>
      </c>
      <c r="D202" s="212" t="s">
        <v>2025</v>
      </c>
    </row>
    <row r="203" spans="1:4" ht="17.25" customHeight="1" thickBot="1" x14ac:dyDescent="0.35">
      <c r="A203">
        <v>3762</v>
      </c>
      <c r="B203" s="214"/>
      <c r="C203" s="232">
        <f t="shared" si="3"/>
        <v>3762</v>
      </c>
      <c r="D203" s="217" t="s">
        <v>2026</v>
      </c>
    </row>
    <row r="204" spans="1:4" ht="17.25" customHeight="1" thickBot="1" x14ac:dyDescent="0.35">
      <c r="A204">
        <v>3763</v>
      </c>
      <c r="B204" s="211">
        <v>3571</v>
      </c>
      <c r="C204" s="232">
        <f t="shared" si="3"/>
        <v>192</v>
      </c>
      <c r="D204" s="212" t="s">
        <v>2027</v>
      </c>
    </row>
    <row r="205" spans="1:4" ht="17.25" customHeight="1" thickBot="1" x14ac:dyDescent="0.35">
      <c r="A205">
        <v>3771</v>
      </c>
      <c r="B205" s="214"/>
      <c r="C205" s="232">
        <f t="shared" si="3"/>
        <v>3771</v>
      </c>
      <c r="D205" s="215" t="s">
        <v>2028</v>
      </c>
    </row>
    <row r="206" spans="1:4" ht="17.25" customHeight="1" thickBot="1" x14ac:dyDescent="0.35">
      <c r="A206">
        <v>3781</v>
      </c>
      <c r="B206" s="211">
        <v>3581</v>
      </c>
      <c r="C206" s="232">
        <f t="shared" si="3"/>
        <v>200</v>
      </c>
      <c r="D206" s="216" t="s">
        <v>2029</v>
      </c>
    </row>
    <row r="207" spans="1:4" ht="17.25" customHeight="1" thickBot="1" x14ac:dyDescent="0.35">
      <c r="A207">
        <v>3791</v>
      </c>
      <c r="B207" s="211">
        <v>3591</v>
      </c>
      <c r="C207" s="232">
        <f t="shared" si="3"/>
        <v>200</v>
      </c>
      <c r="D207" s="212" t="s">
        <v>2030</v>
      </c>
    </row>
    <row r="208" spans="1:4" ht="17.25" customHeight="1" thickBot="1" x14ac:dyDescent="0.35">
      <c r="A208">
        <v>3811</v>
      </c>
      <c r="B208" s="214"/>
      <c r="C208" s="232">
        <f t="shared" si="3"/>
        <v>3811</v>
      </c>
      <c r="D208" s="217" t="s">
        <v>2031</v>
      </c>
    </row>
    <row r="209" spans="1:4" ht="17.25" customHeight="1" thickBot="1" x14ac:dyDescent="0.35">
      <c r="A209">
        <v>3821</v>
      </c>
      <c r="B209" s="211">
        <v>3611</v>
      </c>
      <c r="C209" s="232">
        <f t="shared" si="3"/>
        <v>210</v>
      </c>
      <c r="D209" s="212" t="s">
        <v>2032</v>
      </c>
    </row>
    <row r="210" spans="1:4" ht="17.25" customHeight="1" thickBot="1" x14ac:dyDescent="0.35">
      <c r="A210">
        <v>3822</v>
      </c>
      <c r="B210" s="214"/>
      <c r="C210" s="232">
        <f t="shared" si="3"/>
        <v>3822</v>
      </c>
      <c r="D210" s="215" t="s">
        <v>2033</v>
      </c>
    </row>
    <row r="211" spans="1:4" ht="17.25" customHeight="1" thickBot="1" x14ac:dyDescent="0.35">
      <c r="A211">
        <v>3831</v>
      </c>
      <c r="B211" s="214"/>
      <c r="C211" s="232">
        <f t="shared" si="3"/>
        <v>3831</v>
      </c>
      <c r="D211" s="215" t="s">
        <v>2034</v>
      </c>
    </row>
    <row r="212" spans="1:4" ht="17.25" customHeight="1" thickBot="1" x14ac:dyDescent="0.35">
      <c r="A212">
        <v>3841</v>
      </c>
      <c r="B212" s="211">
        <v>3612</v>
      </c>
      <c r="C212" s="232">
        <f t="shared" si="3"/>
        <v>229</v>
      </c>
      <c r="D212" s="218"/>
    </row>
    <row r="213" spans="1:4" ht="17.25" customHeight="1" thickBot="1" x14ac:dyDescent="0.35">
      <c r="A213">
        <v>3851</v>
      </c>
      <c r="B213" s="211">
        <v>3613</v>
      </c>
      <c r="C213" s="232">
        <f t="shared" si="3"/>
        <v>238</v>
      </c>
      <c r="D213" s="216" t="s">
        <v>2035</v>
      </c>
    </row>
    <row r="214" spans="1:4" ht="17.25" customHeight="1" thickBot="1" x14ac:dyDescent="0.35">
      <c r="A214">
        <v>3911</v>
      </c>
      <c r="B214" s="211">
        <v>3621</v>
      </c>
      <c r="C214" s="232">
        <f t="shared" si="3"/>
        <v>290</v>
      </c>
      <c r="D214" s="212" t="s">
        <v>2036</v>
      </c>
    </row>
    <row r="215" spans="1:4" ht="17.25" customHeight="1" thickBot="1" x14ac:dyDescent="0.35">
      <c r="A215">
        <v>3921</v>
      </c>
      <c r="B215" s="211">
        <v>3631</v>
      </c>
      <c r="C215" s="232">
        <f t="shared" si="3"/>
        <v>290</v>
      </c>
      <c r="D215" s="212" t="s">
        <v>2037</v>
      </c>
    </row>
    <row r="216" spans="1:4" ht="17.25" customHeight="1" thickBot="1" x14ac:dyDescent="0.35">
      <c r="A216">
        <v>3922</v>
      </c>
      <c r="B216" s="211">
        <v>3641</v>
      </c>
      <c r="C216" s="232">
        <f t="shared" si="3"/>
        <v>281</v>
      </c>
      <c r="D216" s="212" t="s">
        <v>2038</v>
      </c>
    </row>
    <row r="217" spans="1:4" ht="17.25" customHeight="1" thickBot="1" x14ac:dyDescent="0.35">
      <c r="A217">
        <v>3931</v>
      </c>
      <c r="B217" s="211">
        <v>3651</v>
      </c>
      <c r="C217" s="232">
        <f t="shared" si="3"/>
        <v>280</v>
      </c>
      <c r="D217" s="212" t="s">
        <v>2039</v>
      </c>
    </row>
    <row r="218" spans="1:4" ht="17.25" customHeight="1" thickBot="1" x14ac:dyDescent="0.35">
      <c r="A218">
        <v>3941</v>
      </c>
      <c r="B218" s="211">
        <v>3661</v>
      </c>
      <c r="C218" s="232">
        <f t="shared" si="3"/>
        <v>280</v>
      </c>
      <c r="D218" s="212" t="s">
        <v>2040</v>
      </c>
    </row>
    <row r="219" spans="1:4" ht="17.25" customHeight="1" thickBot="1" x14ac:dyDescent="0.35">
      <c r="A219">
        <v>3942</v>
      </c>
      <c r="B219" s="220">
        <v>3691</v>
      </c>
      <c r="C219" s="232">
        <f t="shared" si="3"/>
        <v>251</v>
      </c>
      <c r="D219" s="217" t="s">
        <v>2041</v>
      </c>
    </row>
    <row r="220" spans="1:4" ht="17.25" customHeight="1" thickBot="1" x14ac:dyDescent="0.35">
      <c r="A220">
        <v>3951</v>
      </c>
      <c r="B220" s="229"/>
      <c r="C220" s="232">
        <f t="shared" si="3"/>
        <v>3951</v>
      </c>
      <c r="D220" s="212" t="s">
        <v>2042</v>
      </c>
    </row>
    <row r="221" spans="1:4" ht="17.25" customHeight="1" thickBot="1" x14ac:dyDescent="0.35">
      <c r="A221">
        <v>3961</v>
      </c>
      <c r="B221" s="220">
        <v>3711</v>
      </c>
      <c r="C221" s="232">
        <f t="shared" si="3"/>
        <v>250</v>
      </c>
      <c r="D221" s="217" t="s">
        <v>2043</v>
      </c>
    </row>
    <row r="222" spans="1:4" ht="17.25" customHeight="1" thickBot="1" x14ac:dyDescent="0.35">
      <c r="A222">
        <v>3971</v>
      </c>
      <c r="B222" s="229"/>
      <c r="C222" s="232">
        <f t="shared" si="3"/>
        <v>3971</v>
      </c>
      <c r="D222" s="212" t="s">
        <v>2044</v>
      </c>
    </row>
    <row r="223" spans="1:4" ht="17.25" customHeight="1" thickBot="1" x14ac:dyDescent="0.35">
      <c r="A223">
        <v>3981</v>
      </c>
      <c r="B223" s="211">
        <v>3721</v>
      </c>
      <c r="C223" s="232">
        <f t="shared" si="3"/>
        <v>260</v>
      </c>
      <c r="D223" s="212" t="s">
        <v>2045</v>
      </c>
    </row>
    <row r="224" spans="1:4" ht="17.25" customHeight="1" thickBot="1" x14ac:dyDescent="0.35">
      <c r="A224">
        <v>3982</v>
      </c>
      <c r="B224" s="220">
        <v>3731</v>
      </c>
      <c r="C224" s="232">
        <f t="shared" si="3"/>
        <v>251</v>
      </c>
      <c r="D224" s="217" t="s">
        <v>2046</v>
      </c>
    </row>
    <row r="225" spans="1:4" ht="17.25" customHeight="1" thickBot="1" x14ac:dyDescent="0.35">
      <c r="A225">
        <v>3983</v>
      </c>
      <c r="B225" s="229"/>
      <c r="C225" s="232">
        <f t="shared" si="3"/>
        <v>3983</v>
      </c>
      <c r="D225" s="212" t="s">
        <v>2047</v>
      </c>
    </row>
    <row r="226" spans="1:4" ht="17.25" customHeight="1" thickBot="1" x14ac:dyDescent="0.35">
      <c r="A226">
        <v>3991</v>
      </c>
      <c r="B226" s="220">
        <v>3741</v>
      </c>
      <c r="C226" s="232">
        <f t="shared" si="3"/>
        <v>250</v>
      </c>
      <c r="D226" s="217" t="s">
        <v>2048</v>
      </c>
    </row>
    <row r="227" spans="1:4" ht="17.25" customHeight="1" thickBot="1" x14ac:dyDescent="0.35">
      <c r="A227">
        <v>3992</v>
      </c>
      <c r="B227" s="229"/>
      <c r="C227" s="232">
        <f t="shared" si="3"/>
        <v>3992</v>
      </c>
      <c r="D227" s="212" t="s">
        <v>2049</v>
      </c>
    </row>
    <row r="228" spans="1:4" ht="17.25" customHeight="1" thickBot="1" x14ac:dyDescent="0.35">
      <c r="A228">
        <v>3993</v>
      </c>
      <c r="B228" s="220">
        <v>3751</v>
      </c>
      <c r="C228" s="232">
        <f t="shared" si="3"/>
        <v>242</v>
      </c>
      <c r="D228" s="217" t="s">
        <v>2050</v>
      </c>
    </row>
    <row r="229" spans="1:4" ht="17.25" customHeight="1" thickBot="1" x14ac:dyDescent="0.35">
      <c r="A229">
        <v>3994</v>
      </c>
      <c r="B229" s="229"/>
      <c r="C229" s="232">
        <f t="shared" si="3"/>
        <v>3994</v>
      </c>
      <c r="D229" s="212" t="s">
        <v>2051</v>
      </c>
    </row>
    <row r="230" spans="1:4" ht="17.25" customHeight="1" thickBot="1" x14ac:dyDescent="0.35">
      <c r="A230">
        <v>3995</v>
      </c>
      <c r="B230" s="211">
        <v>3752</v>
      </c>
      <c r="C230" s="232">
        <f t="shared" si="3"/>
        <v>243</v>
      </c>
      <c r="D230" s="212" t="s">
        <v>2052</v>
      </c>
    </row>
    <row r="231" spans="1:4" ht="17.25" customHeight="1" thickBot="1" x14ac:dyDescent="0.35">
      <c r="A231">
        <v>3996</v>
      </c>
      <c r="B231" s="211">
        <v>3753</v>
      </c>
      <c r="C231" s="232">
        <f t="shared" si="3"/>
        <v>243</v>
      </c>
      <c r="D231" s="216" t="s">
        <v>2053</v>
      </c>
    </row>
    <row r="232" spans="1:4" ht="17.25" customHeight="1" thickBot="1" x14ac:dyDescent="0.35">
      <c r="A232">
        <v>3997</v>
      </c>
      <c r="B232" s="214"/>
      <c r="C232" s="232">
        <f t="shared" si="3"/>
        <v>3997</v>
      </c>
      <c r="D232" s="217" t="s">
        <v>2054</v>
      </c>
    </row>
    <row r="233" spans="1:4" ht="17.25" customHeight="1" thickBot="1" x14ac:dyDescent="0.35">
      <c r="A233">
        <v>3998</v>
      </c>
      <c r="B233" s="211">
        <v>3761</v>
      </c>
      <c r="C233" s="232">
        <f t="shared" si="3"/>
        <v>237</v>
      </c>
      <c r="D233" s="212" t="s">
        <v>2055</v>
      </c>
    </row>
    <row r="234" spans="1:4" ht="17.25" customHeight="1" thickBot="1" x14ac:dyDescent="0.35">
      <c r="A234">
        <v>4111</v>
      </c>
      <c r="B234" s="214"/>
      <c r="C234" s="232">
        <f t="shared" si="3"/>
        <v>4111</v>
      </c>
      <c r="D234" s="217" t="s">
        <v>2056</v>
      </c>
    </row>
    <row r="235" spans="1:4" ht="17.25" customHeight="1" thickBot="1" x14ac:dyDescent="0.35">
      <c r="A235">
        <v>4121</v>
      </c>
      <c r="B235" s="211">
        <v>3762</v>
      </c>
      <c r="C235" s="232">
        <f t="shared" si="3"/>
        <v>359</v>
      </c>
      <c r="D235" s="212" t="s">
        <v>2057</v>
      </c>
    </row>
    <row r="236" spans="1:4" ht="17.25" customHeight="1" thickBot="1" x14ac:dyDescent="0.35">
      <c r="A236">
        <v>4131</v>
      </c>
      <c r="B236" s="220">
        <v>3763</v>
      </c>
      <c r="C236" s="232">
        <f t="shared" si="3"/>
        <v>368</v>
      </c>
      <c r="D236" s="217" t="s">
        <v>2058</v>
      </c>
    </row>
    <row r="237" spans="1:4" ht="17.25" customHeight="1" thickBot="1" x14ac:dyDescent="0.35">
      <c r="A237">
        <v>4141</v>
      </c>
      <c r="B237" s="229"/>
      <c r="C237" s="232">
        <f t="shared" si="3"/>
        <v>4141</v>
      </c>
      <c r="D237" s="212" t="s">
        <v>2059</v>
      </c>
    </row>
    <row r="238" spans="1:4" ht="17.25" customHeight="1" thickBot="1" x14ac:dyDescent="0.35">
      <c r="A238">
        <v>4151</v>
      </c>
      <c r="B238" s="214"/>
      <c r="C238" s="232">
        <f t="shared" si="3"/>
        <v>4151</v>
      </c>
      <c r="D238" s="217" t="s">
        <v>2060</v>
      </c>
    </row>
    <row r="239" spans="1:4" ht="17.25" customHeight="1" thickBot="1" x14ac:dyDescent="0.35">
      <c r="A239">
        <v>4161</v>
      </c>
      <c r="B239" s="211">
        <v>3771</v>
      </c>
      <c r="C239" s="232">
        <f t="shared" si="3"/>
        <v>390</v>
      </c>
      <c r="D239" s="212" t="s">
        <v>2061</v>
      </c>
    </row>
    <row r="240" spans="1:4" ht="17.25" customHeight="1" thickBot="1" x14ac:dyDescent="0.35">
      <c r="A240">
        <v>4171</v>
      </c>
      <c r="B240" s="214"/>
      <c r="C240" s="232">
        <f t="shared" si="3"/>
        <v>4171</v>
      </c>
      <c r="D240" s="215" t="s">
        <v>2062</v>
      </c>
    </row>
    <row r="241" spans="1:4" ht="17.25" customHeight="1" thickBot="1" x14ac:dyDescent="0.35">
      <c r="A241">
        <v>4181</v>
      </c>
      <c r="B241" s="211">
        <v>3781</v>
      </c>
      <c r="C241" s="232">
        <f t="shared" si="3"/>
        <v>400</v>
      </c>
      <c r="D241" s="216" t="s">
        <v>2063</v>
      </c>
    </row>
    <row r="242" spans="1:4" ht="17.25" customHeight="1" thickBot="1" x14ac:dyDescent="0.35">
      <c r="A242">
        <v>4191</v>
      </c>
      <c r="B242" s="220">
        <v>3791</v>
      </c>
      <c r="C242" s="232">
        <f t="shared" si="3"/>
        <v>400</v>
      </c>
      <c r="D242" s="217" t="s">
        <v>2064</v>
      </c>
    </row>
    <row r="243" spans="1:4" ht="17.25" customHeight="1" thickBot="1" x14ac:dyDescent="0.35">
      <c r="A243">
        <v>4211</v>
      </c>
      <c r="B243" s="229"/>
      <c r="C243" s="232">
        <f t="shared" si="3"/>
        <v>4211</v>
      </c>
      <c r="D243" s="212" t="s">
        <v>2065</v>
      </c>
    </row>
    <row r="244" spans="1:4" ht="17.25" customHeight="1" thickBot="1" x14ac:dyDescent="0.35">
      <c r="A244">
        <v>4221</v>
      </c>
      <c r="B244" s="214"/>
      <c r="C244" s="232">
        <f t="shared" si="3"/>
        <v>4221</v>
      </c>
      <c r="D244" s="215" t="s">
        <v>2066</v>
      </c>
    </row>
    <row r="245" spans="1:4" ht="17.25" customHeight="1" thickBot="1" x14ac:dyDescent="0.35">
      <c r="A245">
        <v>4231</v>
      </c>
      <c r="B245" s="214"/>
      <c r="C245" s="232">
        <f t="shared" si="3"/>
        <v>4231</v>
      </c>
      <c r="D245" s="215" t="s">
        <v>2067</v>
      </c>
    </row>
    <row r="246" spans="1:4" ht="17.25" customHeight="1" thickBot="1" x14ac:dyDescent="0.35">
      <c r="A246">
        <v>4241</v>
      </c>
      <c r="B246" s="211">
        <v>3811</v>
      </c>
      <c r="C246" s="232">
        <f t="shared" si="3"/>
        <v>430</v>
      </c>
      <c r="D246" s="218"/>
    </row>
    <row r="247" spans="1:4" ht="17.25" customHeight="1" thickBot="1" x14ac:dyDescent="0.35">
      <c r="A247">
        <v>4242</v>
      </c>
      <c r="B247" s="214"/>
      <c r="C247" s="232">
        <f t="shared" si="3"/>
        <v>4242</v>
      </c>
      <c r="D247" s="217" t="s">
        <v>2068</v>
      </c>
    </row>
    <row r="248" spans="1:4" ht="17.25" customHeight="1" thickBot="1" x14ac:dyDescent="0.35">
      <c r="A248">
        <v>4251</v>
      </c>
      <c r="B248" s="211">
        <v>3821</v>
      </c>
      <c r="C248" s="232">
        <f t="shared" si="3"/>
        <v>430</v>
      </c>
      <c r="D248" s="212" t="s">
        <v>2069</v>
      </c>
    </row>
    <row r="249" spans="1:4" ht="17.25" customHeight="1" thickBot="1" x14ac:dyDescent="0.35">
      <c r="A249">
        <v>4311</v>
      </c>
      <c r="B249" s="211">
        <v>3822</v>
      </c>
      <c r="C249" s="232">
        <f t="shared" si="3"/>
        <v>489</v>
      </c>
      <c r="D249" s="212" t="s">
        <v>2070</v>
      </c>
    </row>
    <row r="250" spans="1:4" ht="17.25" customHeight="1" thickBot="1" x14ac:dyDescent="0.35">
      <c r="A250">
        <v>4321</v>
      </c>
      <c r="B250" s="220"/>
      <c r="C250" s="232">
        <f t="shared" si="3"/>
        <v>4321</v>
      </c>
      <c r="D250" s="221" t="s">
        <v>2071</v>
      </c>
    </row>
    <row r="251" spans="1:4" ht="17.25" customHeight="1" thickBot="1" x14ac:dyDescent="0.35">
      <c r="A251">
        <v>4331</v>
      </c>
      <c r="B251" s="214"/>
      <c r="C251" s="232">
        <f t="shared" si="3"/>
        <v>4331</v>
      </c>
      <c r="D251" s="215" t="s">
        <v>2072</v>
      </c>
    </row>
    <row r="252" spans="1:4" ht="17.25" customHeight="1" thickBot="1" x14ac:dyDescent="0.35">
      <c r="A252">
        <v>4341</v>
      </c>
      <c r="B252" s="211">
        <v>3831</v>
      </c>
      <c r="C252" s="232">
        <f t="shared" si="3"/>
        <v>510</v>
      </c>
      <c r="D252" s="218"/>
    </row>
    <row r="253" spans="1:4" ht="17.25" customHeight="1" thickBot="1" x14ac:dyDescent="0.35">
      <c r="A253">
        <v>4351</v>
      </c>
      <c r="B253" s="214"/>
      <c r="C253" s="232">
        <f t="shared" si="3"/>
        <v>4351</v>
      </c>
      <c r="D253" s="215" t="s">
        <v>2073</v>
      </c>
    </row>
    <row r="254" spans="1:4" ht="17.25" customHeight="1" thickBot="1" x14ac:dyDescent="0.35">
      <c r="A254">
        <v>4361</v>
      </c>
      <c r="B254" s="214"/>
      <c r="C254" s="232">
        <f t="shared" si="3"/>
        <v>4361</v>
      </c>
      <c r="D254" s="215" t="s">
        <v>2074</v>
      </c>
    </row>
    <row r="255" spans="1:4" ht="17.25" customHeight="1" thickBot="1" x14ac:dyDescent="0.35">
      <c r="A255">
        <v>4371</v>
      </c>
      <c r="B255" s="211">
        <v>3841</v>
      </c>
      <c r="C255" s="232">
        <f t="shared" si="3"/>
        <v>530</v>
      </c>
      <c r="D255" s="218"/>
    </row>
    <row r="256" spans="1:4" ht="17.25" customHeight="1" thickBot="1" x14ac:dyDescent="0.35">
      <c r="A256">
        <v>4381</v>
      </c>
      <c r="B256" s="229">
        <v>3851</v>
      </c>
      <c r="C256" s="232">
        <f t="shared" si="3"/>
        <v>530</v>
      </c>
      <c r="D256" s="212" t="s">
        <v>2075</v>
      </c>
    </row>
    <row r="257" spans="1:4" ht="17.25" customHeight="1" thickBot="1" x14ac:dyDescent="0.35">
      <c r="A257">
        <v>4382</v>
      </c>
      <c r="B257" s="214"/>
      <c r="C257" s="232">
        <f t="shared" ref="C257:C320" si="4">A257-B257</f>
        <v>4382</v>
      </c>
      <c r="D257" s="215" t="s">
        <v>2076</v>
      </c>
    </row>
    <row r="258" spans="1:4" ht="17.25" customHeight="1" thickBot="1" x14ac:dyDescent="0.35">
      <c r="A258">
        <v>4383</v>
      </c>
      <c r="B258" s="214"/>
      <c r="C258" s="232">
        <f t="shared" si="4"/>
        <v>4383</v>
      </c>
      <c r="D258" s="215" t="s">
        <v>2077</v>
      </c>
    </row>
    <row r="259" spans="1:4" ht="17.25" customHeight="1" thickBot="1" x14ac:dyDescent="0.35">
      <c r="A259">
        <v>4391</v>
      </c>
      <c r="B259" s="214"/>
      <c r="C259" s="232">
        <f t="shared" si="4"/>
        <v>4391</v>
      </c>
      <c r="D259" s="219"/>
    </row>
    <row r="260" spans="1:4" ht="17.25" customHeight="1" thickBot="1" x14ac:dyDescent="0.35">
      <c r="A260">
        <v>4392</v>
      </c>
      <c r="B260" s="229">
        <v>3911</v>
      </c>
      <c r="C260" s="232">
        <f t="shared" si="4"/>
        <v>481</v>
      </c>
      <c r="D260" s="218"/>
    </row>
    <row r="261" spans="1:4" ht="17.25" customHeight="1" thickBot="1" x14ac:dyDescent="0.35">
      <c r="A261">
        <v>4393</v>
      </c>
      <c r="B261" s="211">
        <v>3921</v>
      </c>
      <c r="C261" s="232">
        <f t="shared" si="4"/>
        <v>472</v>
      </c>
      <c r="D261" s="212" t="s">
        <v>2078</v>
      </c>
    </row>
    <row r="262" spans="1:4" ht="17.25" customHeight="1" thickBot="1" x14ac:dyDescent="0.35">
      <c r="A262">
        <v>4394</v>
      </c>
      <c r="B262" s="214"/>
      <c r="C262" s="232">
        <f t="shared" si="4"/>
        <v>4394</v>
      </c>
      <c r="D262" s="215" t="s">
        <v>2079</v>
      </c>
    </row>
    <row r="263" spans="1:4" ht="17.25" customHeight="1" thickBot="1" x14ac:dyDescent="0.35">
      <c r="A263">
        <v>4411</v>
      </c>
      <c r="B263" s="214"/>
      <c r="C263" s="232">
        <f t="shared" si="4"/>
        <v>4411</v>
      </c>
      <c r="D263" s="215" t="s">
        <v>2080</v>
      </c>
    </row>
    <row r="264" spans="1:4" ht="17.25" customHeight="1" thickBot="1" x14ac:dyDescent="0.35">
      <c r="A264">
        <v>4412</v>
      </c>
      <c r="B264" s="229">
        <v>3922</v>
      </c>
      <c r="C264" s="232">
        <f t="shared" si="4"/>
        <v>490</v>
      </c>
      <c r="D264" s="218"/>
    </row>
    <row r="265" spans="1:4" ht="17.25" customHeight="1" thickBot="1" x14ac:dyDescent="0.35">
      <c r="A265">
        <v>4413</v>
      </c>
      <c r="B265" s="229">
        <v>3931</v>
      </c>
      <c r="C265" s="232">
        <f t="shared" si="4"/>
        <v>482</v>
      </c>
      <c r="D265" s="212" t="s">
        <v>2081</v>
      </c>
    </row>
    <row r="266" spans="1:4" ht="17.25" customHeight="1" thickBot="1" x14ac:dyDescent="0.35">
      <c r="A266">
        <v>4414</v>
      </c>
      <c r="B266" s="211">
        <v>3941</v>
      </c>
      <c r="C266" s="232">
        <f t="shared" si="4"/>
        <v>473</v>
      </c>
      <c r="D266" s="212" t="s">
        <v>2082</v>
      </c>
    </row>
    <row r="267" spans="1:4" ht="17.25" customHeight="1" thickBot="1" x14ac:dyDescent="0.35">
      <c r="A267">
        <v>4415</v>
      </c>
      <c r="B267" s="214"/>
      <c r="C267" s="232">
        <f t="shared" si="4"/>
        <v>4415</v>
      </c>
      <c r="D267" s="217" t="s">
        <v>2083</v>
      </c>
    </row>
    <row r="268" spans="1:4" ht="17.25" customHeight="1" thickBot="1" x14ac:dyDescent="0.35">
      <c r="A268">
        <v>4416</v>
      </c>
      <c r="B268" s="211">
        <v>3942</v>
      </c>
      <c r="C268" s="232">
        <f t="shared" si="4"/>
        <v>474</v>
      </c>
      <c r="D268" s="212" t="s">
        <v>2084</v>
      </c>
    </row>
    <row r="269" spans="1:4" ht="17.25" customHeight="1" thickBot="1" x14ac:dyDescent="0.35">
      <c r="A269">
        <v>4421</v>
      </c>
      <c r="B269" s="220"/>
      <c r="C269" s="232">
        <f t="shared" si="4"/>
        <v>4421</v>
      </c>
      <c r="D269" s="401" t="s">
        <v>2085</v>
      </c>
    </row>
    <row r="270" spans="1:4" ht="17.25" customHeight="1" thickBot="1" x14ac:dyDescent="0.35">
      <c r="A270">
        <v>4422</v>
      </c>
      <c r="B270" s="214"/>
      <c r="C270" s="232">
        <f t="shared" si="4"/>
        <v>4422</v>
      </c>
      <c r="D270" s="403"/>
    </row>
    <row r="271" spans="1:4" ht="17.25" customHeight="1" thickBot="1" x14ac:dyDescent="0.35">
      <c r="A271">
        <v>4423</v>
      </c>
      <c r="B271" s="229">
        <v>3951</v>
      </c>
      <c r="C271" s="232">
        <f t="shared" si="4"/>
        <v>472</v>
      </c>
      <c r="D271" s="402"/>
    </row>
    <row r="272" spans="1:4" ht="17.25" customHeight="1" thickBot="1" x14ac:dyDescent="0.35">
      <c r="A272">
        <v>4431</v>
      </c>
      <c r="B272" s="214"/>
      <c r="C272" s="232">
        <f t="shared" si="4"/>
        <v>4431</v>
      </c>
      <c r="D272" s="401" t="s">
        <v>2086</v>
      </c>
    </row>
    <row r="273" spans="1:4" ht="17.25" customHeight="1" thickBot="1" x14ac:dyDescent="0.35">
      <c r="A273">
        <v>4432</v>
      </c>
      <c r="B273" s="214"/>
      <c r="C273" s="232">
        <f t="shared" si="4"/>
        <v>4432</v>
      </c>
      <c r="D273" s="403"/>
    </row>
    <row r="274" spans="1:4" ht="17.25" customHeight="1" thickBot="1" x14ac:dyDescent="0.35">
      <c r="A274">
        <v>4441</v>
      </c>
      <c r="B274" s="214"/>
      <c r="C274" s="232">
        <f t="shared" si="4"/>
        <v>4441</v>
      </c>
      <c r="D274" s="403"/>
    </row>
    <row r="275" spans="1:4" ht="17.25" customHeight="1" thickBot="1" x14ac:dyDescent="0.35">
      <c r="A275">
        <v>4451</v>
      </c>
      <c r="B275" s="229">
        <v>3961</v>
      </c>
      <c r="C275" s="232">
        <f t="shared" si="4"/>
        <v>490</v>
      </c>
      <c r="D275" s="402"/>
    </row>
    <row r="276" spans="1:4" ht="17.25" customHeight="1" thickBot="1" x14ac:dyDescent="0.35">
      <c r="A276">
        <v>4452</v>
      </c>
      <c r="B276" s="211">
        <v>3971</v>
      </c>
      <c r="C276" s="232">
        <f t="shared" si="4"/>
        <v>481</v>
      </c>
      <c r="D276" s="212" t="s">
        <v>2087</v>
      </c>
    </row>
    <row r="277" spans="1:4" ht="17.25" customHeight="1" thickBot="1" x14ac:dyDescent="0.35">
      <c r="A277">
        <v>4461</v>
      </c>
      <c r="B277" s="214"/>
      <c r="C277" s="232">
        <f t="shared" si="4"/>
        <v>4461</v>
      </c>
      <c r="D277" s="401" t="s">
        <v>2088</v>
      </c>
    </row>
    <row r="278" spans="1:4" ht="17.25" customHeight="1" thickBot="1" x14ac:dyDescent="0.35">
      <c r="A278">
        <v>4471</v>
      </c>
      <c r="B278" s="229">
        <v>3981</v>
      </c>
      <c r="C278" s="232">
        <f t="shared" si="4"/>
        <v>490</v>
      </c>
      <c r="D278" s="402"/>
    </row>
    <row r="279" spans="1:4" ht="17.25" customHeight="1" thickBot="1" x14ac:dyDescent="0.35">
      <c r="A279">
        <v>4481</v>
      </c>
      <c r="B279" s="211">
        <v>3982</v>
      </c>
      <c r="C279" s="232">
        <f t="shared" si="4"/>
        <v>499</v>
      </c>
      <c r="D279" s="212" t="s">
        <v>2089</v>
      </c>
    </row>
    <row r="280" spans="1:4" ht="17.25" customHeight="1" thickBot="1" x14ac:dyDescent="0.35">
      <c r="A280">
        <v>4482</v>
      </c>
      <c r="B280" s="211">
        <v>3983</v>
      </c>
      <c r="C280" s="232">
        <f t="shared" si="4"/>
        <v>499</v>
      </c>
      <c r="D280" s="212" t="s">
        <v>2090</v>
      </c>
    </row>
    <row r="281" spans="1:4" ht="17.25" customHeight="1" thickBot="1" x14ac:dyDescent="0.35">
      <c r="A281">
        <v>4511</v>
      </c>
      <c r="B281" s="229">
        <v>3991</v>
      </c>
      <c r="C281" s="232">
        <f t="shared" si="4"/>
        <v>520</v>
      </c>
      <c r="D281" s="212" t="s">
        <v>2091</v>
      </c>
    </row>
    <row r="282" spans="1:4" ht="17.25" customHeight="1" thickBot="1" x14ac:dyDescent="0.35">
      <c r="A282">
        <v>4521</v>
      </c>
      <c r="B282" s="214"/>
      <c r="C282" s="232">
        <f t="shared" si="4"/>
        <v>4521</v>
      </c>
      <c r="D282" s="401" t="s">
        <v>2092</v>
      </c>
    </row>
    <row r="283" spans="1:4" ht="17.25" customHeight="1" thickBot="1" x14ac:dyDescent="0.35">
      <c r="A283">
        <v>4591</v>
      </c>
      <c r="B283" s="211">
        <v>3992</v>
      </c>
      <c r="C283" s="232">
        <f t="shared" si="4"/>
        <v>599</v>
      </c>
      <c r="D283" s="402"/>
    </row>
    <row r="284" spans="1:4" ht="17.25" customHeight="1" thickBot="1" x14ac:dyDescent="0.35">
      <c r="A284">
        <v>4592</v>
      </c>
      <c r="B284" s="211">
        <v>3993</v>
      </c>
      <c r="C284" s="232">
        <f t="shared" si="4"/>
        <v>599</v>
      </c>
      <c r="D284" s="212" t="s">
        <v>2093</v>
      </c>
    </row>
    <row r="285" spans="1:4" ht="17.25" customHeight="1" thickBot="1" x14ac:dyDescent="0.35">
      <c r="A285">
        <v>4611</v>
      </c>
      <c r="B285" s="211">
        <v>3994</v>
      </c>
      <c r="C285" s="232">
        <f t="shared" si="4"/>
        <v>617</v>
      </c>
      <c r="D285" s="212" t="s">
        <v>2094</v>
      </c>
    </row>
    <row r="286" spans="1:4" ht="17.25" customHeight="1" thickBot="1" x14ac:dyDescent="0.35">
      <c r="A286">
        <v>4621</v>
      </c>
      <c r="B286" s="211">
        <v>3995</v>
      </c>
      <c r="C286" s="232">
        <f t="shared" si="4"/>
        <v>626</v>
      </c>
      <c r="D286" s="212" t="s">
        <v>2095</v>
      </c>
    </row>
    <row r="287" spans="1:4" ht="17.25" customHeight="1" thickBot="1" x14ac:dyDescent="0.35">
      <c r="A287">
        <v>4631</v>
      </c>
      <c r="B287" s="214"/>
      <c r="C287" s="232">
        <f t="shared" si="4"/>
        <v>4631</v>
      </c>
      <c r="D287" s="401" t="s">
        <v>2096</v>
      </c>
    </row>
    <row r="288" spans="1:4" ht="17.25" customHeight="1" thickBot="1" x14ac:dyDescent="0.35">
      <c r="A288">
        <v>4641</v>
      </c>
      <c r="B288" s="211">
        <v>3996</v>
      </c>
      <c r="C288" s="232">
        <f t="shared" si="4"/>
        <v>645</v>
      </c>
      <c r="D288" s="402"/>
    </row>
    <row r="289" spans="1:4" ht="17.25" customHeight="1" thickBot="1" x14ac:dyDescent="0.35">
      <c r="A289">
        <v>4651</v>
      </c>
      <c r="B289" s="214"/>
      <c r="C289" s="232">
        <f t="shared" si="4"/>
        <v>4651</v>
      </c>
      <c r="D289" s="401" t="s">
        <v>2097</v>
      </c>
    </row>
    <row r="290" spans="1:4" ht="17.25" customHeight="1" thickBot="1" x14ac:dyDescent="0.35">
      <c r="A290">
        <v>4661</v>
      </c>
      <c r="B290" s="229">
        <v>3997</v>
      </c>
      <c r="C290" s="232">
        <f t="shared" si="4"/>
        <v>664</v>
      </c>
      <c r="D290" s="402"/>
    </row>
    <row r="291" spans="1:4" ht="17.25" customHeight="1" thickBot="1" x14ac:dyDescent="0.35">
      <c r="A291">
        <v>4691</v>
      </c>
      <c r="B291" s="214"/>
      <c r="C291" s="232">
        <f t="shared" si="4"/>
        <v>4691</v>
      </c>
      <c r="D291" s="401" t="s">
        <v>2098</v>
      </c>
    </row>
    <row r="292" spans="1:4" ht="17.25" customHeight="1" thickBot="1" x14ac:dyDescent="0.35">
      <c r="A292">
        <v>4711</v>
      </c>
      <c r="B292" s="211">
        <v>3998</v>
      </c>
      <c r="C292" s="232">
        <f t="shared" si="4"/>
        <v>713</v>
      </c>
      <c r="D292" s="402"/>
    </row>
    <row r="293" spans="1:4" ht="17.25" customHeight="1" thickBot="1" x14ac:dyDescent="0.35">
      <c r="A293">
        <v>4811</v>
      </c>
      <c r="B293" s="211">
        <v>4111</v>
      </c>
      <c r="C293" s="232">
        <f t="shared" si="4"/>
        <v>700</v>
      </c>
      <c r="D293" s="212" t="s">
        <v>2099</v>
      </c>
    </row>
    <row r="294" spans="1:4" ht="17.25" customHeight="1" thickBot="1" x14ac:dyDescent="0.35">
      <c r="A294">
        <v>4821</v>
      </c>
      <c r="B294" s="211">
        <v>4121</v>
      </c>
      <c r="C294" s="232">
        <f t="shared" si="4"/>
        <v>700</v>
      </c>
      <c r="D294" s="212" t="s">
        <v>2100</v>
      </c>
    </row>
    <row r="295" spans="1:4" ht="17.25" customHeight="1" thickBot="1" x14ac:dyDescent="0.35">
      <c r="A295">
        <v>4822</v>
      </c>
      <c r="B295" s="211">
        <v>4131</v>
      </c>
      <c r="C295" s="232">
        <f t="shared" si="4"/>
        <v>691</v>
      </c>
      <c r="D295" s="212" t="s">
        <v>2101</v>
      </c>
    </row>
    <row r="296" spans="1:4" ht="17.25" customHeight="1" thickBot="1" x14ac:dyDescent="0.35">
      <c r="A296">
        <v>4831</v>
      </c>
      <c r="B296" s="211">
        <v>4141</v>
      </c>
      <c r="C296" s="232">
        <f t="shared" si="4"/>
        <v>690</v>
      </c>
      <c r="D296" s="212" t="s">
        <v>2102</v>
      </c>
    </row>
    <row r="297" spans="1:4" ht="17.25" customHeight="1" thickBot="1" x14ac:dyDescent="0.35">
      <c r="A297">
        <v>4841</v>
      </c>
      <c r="B297" s="214"/>
      <c r="C297" s="232">
        <f t="shared" si="4"/>
        <v>4841</v>
      </c>
      <c r="D297" s="215" t="s">
        <v>2103</v>
      </c>
    </row>
    <row r="298" spans="1:4" ht="17.25" customHeight="1" thickBot="1" x14ac:dyDescent="0.35">
      <c r="A298">
        <v>4851</v>
      </c>
      <c r="B298" s="214"/>
      <c r="C298" s="232">
        <f t="shared" si="4"/>
        <v>4851</v>
      </c>
      <c r="D298" s="215" t="s">
        <v>2104</v>
      </c>
    </row>
    <row r="299" spans="1:4" ht="17.25" customHeight="1" thickBot="1" x14ac:dyDescent="0.35">
      <c r="A299">
        <v>4911</v>
      </c>
      <c r="B299" s="211">
        <v>4151</v>
      </c>
      <c r="C299" s="232">
        <f t="shared" si="4"/>
        <v>760</v>
      </c>
      <c r="D299" s="218"/>
    </row>
    <row r="300" spans="1:4" ht="17.25" customHeight="1" thickBot="1" x14ac:dyDescent="0.35">
      <c r="A300">
        <v>4921</v>
      </c>
      <c r="B300" s="214"/>
      <c r="C300" s="232">
        <f t="shared" si="4"/>
        <v>4921</v>
      </c>
      <c r="D300" s="215" t="s">
        <v>2105</v>
      </c>
    </row>
    <row r="301" spans="1:4" ht="17.25" customHeight="1" thickBot="1" x14ac:dyDescent="0.35">
      <c r="A301">
        <v>4931</v>
      </c>
      <c r="B301" s="211">
        <v>4161</v>
      </c>
      <c r="C301" s="232">
        <f t="shared" si="4"/>
        <v>770</v>
      </c>
      <c r="D301" s="216" t="s">
        <v>2106</v>
      </c>
    </row>
    <row r="302" spans="1:4" ht="17.25" customHeight="1" thickBot="1" x14ac:dyDescent="0.35">
      <c r="A302">
        <v>5111</v>
      </c>
      <c r="B302" s="214"/>
      <c r="C302" s="232">
        <f t="shared" si="4"/>
        <v>5111</v>
      </c>
      <c r="D302" s="217" t="s">
        <v>2107</v>
      </c>
    </row>
    <row r="303" spans="1:4" ht="17.25" customHeight="1" thickBot="1" x14ac:dyDescent="0.35">
      <c r="A303">
        <v>5112</v>
      </c>
      <c r="B303" s="211">
        <v>4171</v>
      </c>
      <c r="C303" s="232">
        <f t="shared" si="4"/>
        <v>941</v>
      </c>
      <c r="D303" s="212" t="s">
        <v>2108</v>
      </c>
    </row>
    <row r="304" spans="1:4" ht="17.25" customHeight="1" thickBot="1" x14ac:dyDescent="0.35">
      <c r="A304">
        <v>5121</v>
      </c>
      <c r="B304" s="214"/>
      <c r="C304" s="232">
        <f t="shared" si="4"/>
        <v>5121</v>
      </c>
      <c r="D304" s="215" t="s">
        <v>2109</v>
      </c>
    </row>
    <row r="305" spans="1:4" ht="17.25" customHeight="1" thickBot="1" x14ac:dyDescent="0.35">
      <c r="A305">
        <v>5131</v>
      </c>
      <c r="B305" s="211">
        <v>4181</v>
      </c>
      <c r="C305" s="232">
        <f t="shared" si="4"/>
        <v>950</v>
      </c>
      <c r="D305" s="216" t="s">
        <v>2110</v>
      </c>
    </row>
    <row r="306" spans="1:4" ht="17.25" customHeight="1" thickBot="1" x14ac:dyDescent="0.35">
      <c r="A306">
        <v>5132</v>
      </c>
      <c r="B306" s="214"/>
      <c r="C306" s="232">
        <f t="shared" si="4"/>
        <v>5132</v>
      </c>
      <c r="D306" s="217" t="s">
        <v>2111</v>
      </c>
    </row>
    <row r="307" spans="1:4" ht="17.25" customHeight="1" thickBot="1" x14ac:dyDescent="0.35">
      <c r="A307">
        <v>5133</v>
      </c>
      <c r="B307" s="211">
        <v>4191</v>
      </c>
      <c r="C307" s="232">
        <f t="shared" si="4"/>
        <v>942</v>
      </c>
      <c r="D307" s="212" t="s">
        <v>2112</v>
      </c>
    </row>
    <row r="308" spans="1:4" ht="17.25" customHeight="1" thickBot="1" x14ac:dyDescent="0.35">
      <c r="A308">
        <v>5141</v>
      </c>
      <c r="B308" s="214"/>
      <c r="C308" s="232">
        <f t="shared" si="4"/>
        <v>5141</v>
      </c>
      <c r="D308" s="401" t="s">
        <v>2113</v>
      </c>
    </row>
    <row r="309" spans="1:4" ht="17.25" customHeight="1" thickBot="1" x14ac:dyDescent="0.35">
      <c r="A309">
        <v>5151</v>
      </c>
      <c r="B309" s="214"/>
      <c r="C309" s="232">
        <f t="shared" si="4"/>
        <v>5151</v>
      </c>
      <c r="D309" s="403"/>
    </row>
    <row r="310" spans="1:4" ht="17.25" customHeight="1" thickBot="1" x14ac:dyDescent="0.35">
      <c r="A310">
        <v>5191</v>
      </c>
      <c r="B310" s="211">
        <v>4211</v>
      </c>
      <c r="C310" s="232">
        <f t="shared" si="4"/>
        <v>980</v>
      </c>
      <c r="D310" s="402"/>
    </row>
    <row r="311" spans="1:4" ht="17.25" customHeight="1" thickBot="1" x14ac:dyDescent="0.35">
      <c r="A311">
        <v>5192</v>
      </c>
      <c r="B311" s="214"/>
      <c r="C311" s="232">
        <f t="shared" si="4"/>
        <v>5192</v>
      </c>
      <c r="D311" s="401" t="s">
        <v>2114</v>
      </c>
    </row>
    <row r="312" spans="1:4" ht="17.25" customHeight="1" thickBot="1" x14ac:dyDescent="0.35">
      <c r="A312">
        <v>5211</v>
      </c>
      <c r="B312" s="211">
        <v>4221</v>
      </c>
      <c r="C312" s="232">
        <f t="shared" si="4"/>
        <v>990</v>
      </c>
      <c r="D312" s="402"/>
    </row>
    <row r="313" spans="1:4" ht="17.25" customHeight="1" thickBot="1" x14ac:dyDescent="0.35">
      <c r="A313">
        <v>5221</v>
      </c>
      <c r="B313" s="214"/>
      <c r="C313" s="232">
        <f t="shared" si="4"/>
        <v>5221</v>
      </c>
      <c r="D313" s="401" t="s">
        <v>2115</v>
      </c>
    </row>
    <row r="314" spans="1:4" ht="17.25" customHeight="1" thickBot="1" x14ac:dyDescent="0.35">
      <c r="A314">
        <v>5231</v>
      </c>
      <c r="B314" s="211">
        <v>4231</v>
      </c>
      <c r="C314" s="232">
        <f t="shared" si="4"/>
        <v>1000</v>
      </c>
      <c r="D314" s="402"/>
    </row>
    <row r="315" spans="1:4" ht="17.25" customHeight="1" thickBot="1" x14ac:dyDescent="0.35">
      <c r="A315">
        <v>5291</v>
      </c>
      <c r="B315" s="211">
        <v>4241</v>
      </c>
      <c r="C315" s="232">
        <f t="shared" si="4"/>
        <v>1050</v>
      </c>
      <c r="D315" s="212" t="s">
        <v>2116</v>
      </c>
    </row>
    <row r="316" spans="1:4" ht="17.25" customHeight="1" thickBot="1" x14ac:dyDescent="0.35">
      <c r="A316">
        <v>5311</v>
      </c>
      <c r="B316" s="211">
        <v>4242</v>
      </c>
      <c r="C316" s="232">
        <f t="shared" si="4"/>
        <v>1069</v>
      </c>
      <c r="D316" s="212" t="s">
        <v>2117</v>
      </c>
    </row>
    <row r="317" spans="1:4" ht="17.25" customHeight="1" thickBot="1" x14ac:dyDescent="0.35">
      <c r="A317">
        <v>5321</v>
      </c>
      <c r="B317" s="220">
        <v>4251</v>
      </c>
      <c r="C317" s="232">
        <f t="shared" si="4"/>
        <v>1070</v>
      </c>
      <c r="D317" s="217" t="s">
        <v>2118</v>
      </c>
    </row>
    <row r="318" spans="1:4" ht="17.25" customHeight="1" thickBot="1" x14ac:dyDescent="0.35">
      <c r="A318">
        <v>5411</v>
      </c>
      <c r="B318" s="229"/>
      <c r="C318" s="232">
        <f t="shared" si="4"/>
        <v>5411</v>
      </c>
      <c r="D318" s="212" t="s">
        <v>2119</v>
      </c>
    </row>
    <row r="319" spans="1:4" ht="17.25" customHeight="1" thickBot="1" x14ac:dyDescent="0.35">
      <c r="A319">
        <v>5412</v>
      </c>
      <c r="B319" s="220">
        <v>4311</v>
      </c>
      <c r="C319" s="232">
        <f t="shared" si="4"/>
        <v>1101</v>
      </c>
      <c r="D319" s="217" t="s">
        <v>2120</v>
      </c>
    </row>
    <row r="320" spans="1:4" ht="17.25" customHeight="1" thickBot="1" x14ac:dyDescent="0.35">
      <c r="A320">
        <v>5421</v>
      </c>
      <c r="B320" s="229"/>
      <c r="C320" s="232">
        <f t="shared" si="4"/>
        <v>5421</v>
      </c>
      <c r="D320" s="212" t="s">
        <v>2121</v>
      </c>
    </row>
    <row r="321" spans="1:4" ht="17.25" customHeight="1" thickBot="1" x14ac:dyDescent="0.35">
      <c r="A321">
        <v>5431</v>
      </c>
      <c r="B321" s="211">
        <v>4321</v>
      </c>
      <c r="C321" s="232">
        <f t="shared" ref="C321:C384" si="5">A321-B321</f>
        <v>1110</v>
      </c>
      <c r="D321" s="212" t="s">
        <v>2122</v>
      </c>
    </row>
    <row r="322" spans="1:4" ht="17.25" customHeight="1" thickBot="1" x14ac:dyDescent="0.35">
      <c r="A322">
        <v>5441</v>
      </c>
      <c r="B322" s="211">
        <v>4331</v>
      </c>
      <c r="C322" s="232">
        <f t="shared" si="5"/>
        <v>1110</v>
      </c>
      <c r="D322" s="212" t="s">
        <v>2123</v>
      </c>
    </row>
    <row r="323" spans="1:4" ht="17.25" customHeight="1" thickBot="1" x14ac:dyDescent="0.35">
      <c r="A323">
        <v>5451</v>
      </c>
      <c r="B323" s="224">
        <v>4341</v>
      </c>
      <c r="C323" s="232">
        <f t="shared" si="5"/>
        <v>1110</v>
      </c>
      <c r="D323" s="225" t="s">
        <v>2124</v>
      </c>
    </row>
    <row r="324" spans="1:4" ht="17.25" customHeight="1" thickBot="1" x14ac:dyDescent="0.35">
      <c r="A324">
        <v>5491</v>
      </c>
      <c r="B324" s="214"/>
      <c r="C324" s="232">
        <f t="shared" si="5"/>
        <v>5491</v>
      </c>
      <c r="D324" s="217" t="s">
        <v>2125</v>
      </c>
    </row>
    <row r="325" spans="1:4" ht="17.25" customHeight="1" thickBot="1" x14ac:dyDescent="0.35">
      <c r="A325">
        <v>5511</v>
      </c>
      <c r="B325" s="211">
        <v>4351</v>
      </c>
      <c r="C325" s="232">
        <f t="shared" si="5"/>
        <v>1160</v>
      </c>
      <c r="D325" s="212" t="s">
        <v>2126</v>
      </c>
    </row>
    <row r="326" spans="1:4" ht="17.25" customHeight="1" thickBot="1" x14ac:dyDescent="0.35">
      <c r="A326">
        <v>5611</v>
      </c>
      <c r="B326" s="211">
        <v>4361</v>
      </c>
      <c r="C326" s="232">
        <f t="shared" si="5"/>
        <v>1250</v>
      </c>
      <c r="D326" s="212" t="s">
        <v>2127</v>
      </c>
    </row>
    <row r="327" spans="1:4" ht="17.25" customHeight="1" thickBot="1" x14ac:dyDescent="0.35">
      <c r="A327">
        <v>5621</v>
      </c>
      <c r="B327" s="211">
        <v>4371</v>
      </c>
      <c r="C327" s="232">
        <f t="shared" si="5"/>
        <v>1250</v>
      </c>
      <c r="D327" s="212" t="s">
        <v>2128</v>
      </c>
    </row>
    <row r="328" spans="1:4" ht="17.25" customHeight="1" thickBot="1" x14ac:dyDescent="0.35">
      <c r="A328">
        <v>5622</v>
      </c>
      <c r="B328" s="220">
        <v>4381</v>
      </c>
      <c r="C328" s="232">
        <f t="shared" si="5"/>
        <v>1241</v>
      </c>
      <c r="D328" s="217" t="s">
        <v>2129</v>
      </c>
    </row>
    <row r="329" spans="1:4" ht="17.25" customHeight="1" thickBot="1" x14ac:dyDescent="0.35">
      <c r="A329">
        <v>5631</v>
      </c>
      <c r="B329" s="229"/>
      <c r="C329" s="232">
        <f t="shared" si="5"/>
        <v>5631</v>
      </c>
      <c r="D329" s="212" t="s">
        <v>2130</v>
      </c>
    </row>
    <row r="330" spans="1:4" ht="17.25" customHeight="1" thickBot="1" x14ac:dyDescent="0.35">
      <c r="A330">
        <v>5641</v>
      </c>
      <c r="B330" s="220">
        <v>4382</v>
      </c>
      <c r="C330" s="232">
        <f t="shared" si="5"/>
        <v>1259</v>
      </c>
      <c r="D330" s="217" t="s">
        <v>2131</v>
      </c>
    </row>
    <row r="331" spans="1:4" ht="17.25" customHeight="1" thickBot="1" x14ac:dyDescent="0.35">
      <c r="A331">
        <v>5651</v>
      </c>
      <c r="B331" s="229"/>
      <c r="C331" s="232">
        <f t="shared" si="5"/>
        <v>5651</v>
      </c>
      <c r="D331" s="212" t="s">
        <v>2132</v>
      </c>
    </row>
    <row r="332" spans="1:4" ht="17.25" customHeight="1" thickBot="1" x14ac:dyDescent="0.35">
      <c r="A332">
        <v>5661</v>
      </c>
      <c r="B332" s="214"/>
      <c r="C332" s="232">
        <f t="shared" si="5"/>
        <v>5661</v>
      </c>
      <c r="D332" s="217" t="s">
        <v>2133</v>
      </c>
    </row>
    <row r="333" spans="1:4" ht="17.25" customHeight="1" thickBot="1" x14ac:dyDescent="0.35">
      <c r="A333">
        <v>5671</v>
      </c>
      <c r="B333" s="211">
        <v>4383</v>
      </c>
      <c r="C333" s="232">
        <f t="shared" si="5"/>
        <v>1288</v>
      </c>
      <c r="D333" s="212" t="s">
        <v>2134</v>
      </c>
    </row>
    <row r="334" spans="1:4" ht="17.25" customHeight="1" thickBot="1" x14ac:dyDescent="0.35">
      <c r="A334">
        <v>5691</v>
      </c>
      <c r="B334" s="214"/>
      <c r="C334" s="232">
        <f t="shared" si="5"/>
        <v>5691</v>
      </c>
      <c r="D334" s="217" t="s">
        <v>2135</v>
      </c>
    </row>
    <row r="335" spans="1:4" ht="17.25" customHeight="1" thickBot="1" x14ac:dyDescent="0.35">
      <c r="A335">
        <v>5692</v>
      </c>
      <c r="B335" s="211">
        <v>4391</v>
      </c>
      <c r="C335" s="232">
        <f t="shared" si="5"/>
        <v>1301</v>
      </c>
      <c r="D335" s="212" t="s">
        <v>2136</v>
      </c>
    </row>
    <row r="336" spans="1:4" ht="17.25" customHeight="1" thickBot="1" x14ac:dyDescent="0.35">
      <c r="A336">
        <v>5693</v>
      </c>
      <c r="B336" s="211">
        <v>4392</v>
      </c>
      <c r="C336" s="232">
        <f t="shared" si="5"/>
        <v>1301</v>
      </c>
      <c r="D336" s="212" t="s">
        <v>2137</v>
      </c>
    </row>
    <row r="337" spans="1:4" ht="17.25" customHeight="1" thickBot="1" x14ac:dyDescent="0.35">
      <c r="A337">
        <v>5711</v>
      </c>
      <c r="B337" s="214"/>
      <c r="C337" s="232">
        <f t="shared" si="5"/>
        <v>5711</v>
      </c>
      <c r="D337" s="215" t="s">
        <v>2138</v>
      </c>
    </row>
    <row r="338" spans="1:4" ht="17.25" customHeight="1" thickBot="1" x14ac:dyDescent="0.35">
      <c r="A338">
        <v>5721</v>
      </c>
      <c r="B338" s="211">
        <v>4393</v>
      </c>
      <c r="C338" s="232">
        <f t="shared" si="5"/>
        <v>1328</v>
      </c>
      <c r="D338" s="216" t="s">
        <v>2139</v>
      </c>
    </row>
    <row r="339" spans="1:4" ht="17.25" customHeight="1" thickBot="1" x14ac:dyDescent="0.35">
      <c r="A339">
        <v>5731</v>
      </c>
      <c r="B339" s="220">
        <v>4394</v>
      </c>
      <c r="C339" s="232">
        <f t="shared" si="5"/>
        <v>1337</v>
      </c>
      <c r="D339" s="217" t="s">
        <v>2140</v>
      </c>
    </row>
    <row r="340" spans="1:4" ht="17.25" customHeight="1" thickBot="1" x14ac:dyDescent="0.35">
      <c r="A340">
        <v>5741</v>
      </c>
      <c r="B340" s="229"/>
      <c r="C340" s="232">
        <f t="shared" si="5"/>
        <v>5741</v>
      </c>
      <c r="D340" s="212" t="s">
        <v>2141</v>
      </c>
    </row>
    <row r="341" spans="1:4" ht="17.25" customHeight="1" thickBot="1" x14ac:dyDescent="0.35">
      <c r="A341">
        <v>5751</v>
      </c>
      <c r="B341" s="214"/>
      <c r="C341" s="232">
        <f t="shared" si="5"/>
        <v>5751</v>
      </c>
      <c r="D341" s="401" t="s">
        <v>2142</v>
      </c>
    </row>
    <row r="342" spans="1:4" ht="17.25" customHeight="1" thickBot="1" x14ac:dyDescent="0.35">
      <c r="A342">
        <v>5761</v>
      </c>
      <c r="B342" s="211">
        <v>4411</v>
      </c>
      <c r="C342" s="232">
        <f t="shared" si="5"/>
        <v>1350</v>
      </c>
      <c r="D342" s="402"/>
    </row>
    <row r="343" spans="1:4" ht="17.25" customHeight="1" thickBot="1" x14ac:dyDescent="0.35">
      <c r="A343">
        <v>5771</v>
      </c>
      <c r="B343" s="211">
        <v>4412</v>
      </c>
      <c r="C343" s="232">
        <f t="shared" si="5"/>
        <v>1359</v>
      </c>
      <c r="D343" s="212" t="s">
        <v>2143</v>
      </c>
    </row>
    <row r="344" spans="1:4" ht="17.25" customHeight="1" thickBot="1" x14ac:dyDescent="0.35">
      <c r="A344">
        <v>5781</v>
      </c>
      <c r="B344" s="214"/>
      <c r="C344" s="232">
        <f t="shared" si="5"/>
        <v>5781</v>
      </c>
      <c r="D344" s="215" t="s">
        <v>2144</v>
      </c>
    </row>
    <row r="345" spans="1:4" ht="17.25" customHeight="1" thickBot="1" x14ac:dyDescent="0.35">
      <c r="A345">
        <v>5791</v>
      </c>
      <c r="B345" s="214"/>
      <c r="C345" s="232">
        <f t="shared" si="5"/>
        <v>5791</v>
      </c>
      <c r="D345" s="215" t="s">
        <v>2145</v>
      </c>
    </row>
    <row r="346" spans="1:4" ht="17.25" customHeight="1" thickBot="1" x14ac:dyDescent="0.35">
      <c r="A346">
        <v>5811</v>
      </c>
      <c r="B346" s="214"/>
      <c r="C346" s="232">
        <f t="shared" si="5"/>
        <v>5811</v>
      </c>
      <c r="D346" s="219"/>
    </row>
    <row r="347" spans="1:4" ht="17.25" customHeight="1" thickBot="1" x14ac:dyDescent="0.35">
      <c r="A347">
        <v>5821</v>
      </c>
      <c r="B347" s="211">
        <v>4413</v>
      </c>
      <c r="C347" s="232">
        <f t="shared" si="5"/>
        <v>1408</v>
      </c>
      <c r="D347" s="218"/>
    </row>
    <row r="348" spans="1:4" ht="17.25" customHeight="1" thickBot="1" x14ac:dyDescent="0.35">
      <c r="A348">
        <v>5831</v>
      </c>
      <c r="B348" s="214"/>
      <c r="C348" s="232">
        <f t="shared" si="5"/>
        <v>5831</v>
      </c>
      <c r="D348" s="215" t="s">
        <v>2146</v>
      </c>
    </row>
    <row r="349" spans="1:4" ht="17.25" customHeight="1" thickBot="1" x14ac:dyDescent="0.35">
      <c r="A349">
        <v>5891</v>
      </c>
      <c r="B349" s="214"/>
      <c r="C349" s="232">
        <f t="shared" si="5"/>
        <v>5891</v>
      </c>
      <c r="D349" s="215" t="s">
        <v>2147</v>
      </c>
    </row>
    <row r="350" spans="1:4" ht="17.25" customHeight="1" thickBot="1" x14ac:dyDescent="0.35">
      <c r="A350">
        <v>5892</v>
      </c>
      <c r="B350" s="211">
        <v>4414</v>
      </c>
      <c r="C350" s="232">
        <f t="shared" si="5"/>
        <v>1478</v>
      </c>
      <c r="D350" s="218"/>
    </row>
    <row r="351" spans="1:4" ht="17.25" customHeight="1" thickBot="1" x14ac:dyDescent="0.35">
      <c r="A351">
        <v>5893</v>
      </c>
      <c r="B351" s="211">
        <v>4415</v>
      </c>
      <c r="C351" s="232">
        <f t="shared" si="5"/>
        <v>1478</v>
      </c>
      <c r="D351" s="212" t="s">
        <v>2148</v>
      </c>
    </row>
    <row r="352" spans="1:4" ht="17.25" customHeight="1" thickBot="1" x14ac:dyDescent="0.35">
      <c r="A352">
        <v>5911</v>
      </c>
      <c r="B352" s="220"/>
      <c r="C352" s="232">
        <f t="shared" si="5"/>
        <v>5911</v>
      </c>
      <c r="D352" s="221" t="s">
        <v>2149</v>
      </c>
    </row>
    <row r="353" spans="1:4" ht="17.25" customHeight="1" thickBot="1" x14ac:dyDescent="0.35">
      <c r="A353">
        <v>5921</v>
      </c>
      <c r="B353" s="214"/>
      <c r="C353" s="232">
        <f t="shared" si="5"/>
        <v>5921</v>
      </c>
      <c r="D353" s="215" t="s">
        <v>2150</v>
      </c>
    </row>
    <row r="354" spans="1:4" ht="17.25" customHeight="1" thickBot="1" x14ac:dyDescent="0.35">
      <c r="A354">
        <v>5931</v>
      </c>
      <c r="B354" s="211">
        <v>4416</v>
      </c>
      <c r="C354" s="232">
        <f t="shared" si="5"/>
        <v>1515</v>
      </c>
      <c r="D354" s="218"/>
    </row>
    <row r="355" spans="1:4" ht="17.25" customHeight="1" thickBot="1" x14ac:dyDescent="0.35">
      <c r="A355">
        <v>5941</v>
      </c>
      <c r="B355" s="211">
        <v>4421</v>
      </c>
      <c r="C355" s="232">
        <f t="shared" si="5"/>
        <v>1520</v>
      </c>
      <c r="D355" s="212" t="s">
        <v>2151</v>
      </c>
    </row>
    <row r="356" spans="1:4" ht="17.25" customHeight="1" thickBot="1" x14ac:dyDescent="0.35">
      <c r="A356">
        <v>5951</v>
      </c>
      <c r="B356" s="211">
        <v>4422</v>
      </c>
      <c r="C356" s="232">
        <f t="shared" si="5"/>
        <v>1529</v>
      </c>
      <c r="D356" s="212" t="s">
        <v>2152</v>
      </c>
    </row>
    <row r="357" spans="1:4" ht="17.25" customHeight="1" thickBot="1" x14ac:dyDescent="0.35">
      <c r="A357">
        <v>5961</v>
      </c>
      <c r="B357" s="214"/>
      <c r="C357" s="232">
        <f t="shared" si="5"/>
        <v>5961</v>
      </c>
      <c r="D357" s="215" t="s">
        <v>2153</v>
      </c>
    </row>
    <row r="358" spans="1:4" ht="17.25" customHeight="1" thickBot="1" x14ac:dyDescent="0.35">
      <c r="A358">
        <v>5971</v>
      </c>
      <c r="B358" s="211">
        <v>4423</v>
      </c>
      <c r="C358" s="232">
        <f t="shared" si="5"/>
        <v>1548</v>
      </c>
      <c r="D358" s="216" t="s">
        <v>2154</v>
      </c>
    </row>
    <row r="359" spans="1:4" ht="17.25" customHeight="1" thickBot="1" x14ac:dyDescent="0.35">
      <c r="A359">
        <v>5981</v>
      </c>
      <c r="B359" s="211">
        <v>4431</v>
      </c>
      <c r="C359" s="232">
        <f t="shared" si="5"/>
        <v>1550</v>
      </c>
      <c r="D359" s="212" t="s">
        <v>2155</v>
      </c>
    </row>
    <row r="360" spans="1:4" ht="17.25" customHeight="1" thickBot="1" x14ac:dyDescent="0.35">
      <c r="A360">
        <v>5991</v>
      </c>
      <c r="B360" s="214"/>
      <c r="C360" s="232">
        <f t="shared" si="5"/>
        <v>5991</v>
      </c>
      <c r="D360" s="217" t="s">
        <v>2156</v>
      </c>
    </row>
    <row r="361" spans="1:4" ht="17.25" customHeight="1" thickBot="1" x14ac:dyDescent="0.35">
      <c r="A361">
        <v>6111</v>
      </c>
      <c r="B361" s="229">
        <v>4432</v>
      </c>
      <c r="C361" s="232">
        <f t="shared" si="5"/>
        <v>1679</v>
      </c>
      <c r="D361" s="212" t="s">
        <v>2157</v>
      </c>
    </row>
    <row r="362" spans="1:4" ht="17.25" customHeight="1" thickBot="1" x14ac:dyDescent="0.35">
      <c r="A362">
        <v>6121</v>
      </c>
      <c r="B362" s="229">
        <v>4441</v>
      </c>
      <c r="C362" s="232">
        <f t="shared" si="5"/>
        <v>1680</v>
      </c>
      <c r="D362" s="212" t="s">
        <v>2158</v>
      </c>
    </row>
    <row r="363" spans="1:4" ht="17.25" customHeight="1" thickBot="1" x14ac:dyDescent="0.35">
      <c r="A363">
        <v>6122</v>
      </c>
      <c r="B363" s="211">
        <v>4451</v>
      </c>
      <c r="C363" s="232">
        <f t="shared" si="5"/>
        <v>1671</v>
      </c>
      <c r="D363" s="212" t="s">
        <v>2159</v>
      </c>
    </row>
    <row r="364" spans="1:4" ht="17.25" customHeight="1" thickBot="1" x14ac:dyDescent="0.35">
      <c r="A364">
        <v>6123</v>
      </c>
      <c r="B364" s="211">
        <v>4452</v>
      </c>
      <c r="C364" s="232">
        <f t="shared" si="5"/>
        <v>1671</v>
      </c>
      <c r="D364" s="212" t="s">
        <v>2160</v>
      </c>
    </row>
    <row r="365" spans="1:4" ht="17.25" customHeight="1" thickBot="1" x14ac:dyDescent="0.35">
      <c r="A365">
        <v>6124</v>
      </c>
      <c r="B365" s="211">
        <v>4461</v>
      </c>
      <c r="C365" s="232">
        <f t="shared" si="5"/>
        <v>1663</v>
      </c>
      <c r="D365" s="212" t="s">
        <v>2161</v>
      </c>
    </row>
    <row r="366" spans="1:4" ht="17.25" customHeight="1" thickBot="1" x14ac:dyDescent="0.35">
      <c r="A366">
        <v>6125</v>
      </c>
      <c r="B366" s="229">
        <v>4471</v>
      </c>
      <c r="C366" s="232">
        <f t="shared" si="5"/>
        <v>1654</v>
      </c>
      <c r="D366" s="212" t="s">
        <v>2162</v>
      </c>
    </row>
    <row r="367" spans="1:4" ht="17.25" customHeight="1" thickBot="1" x14ac:dyDescent="0.35">
      <c r="A367">
        <v>6126</v>
      </c>
      <c r="B367" s="229">
        <v>4481</v>
      </c>
      <c r="C367" s="232">
        <f t="shared" si="5"/>
        <v>1645</v>
      </c>
      <c r="D367" s="212" t="s">
        <v>2163</v>
      </c>
    </row>
    <row r="368" spans="1:4" ht="17.25" customHeight="1" thickBot="1" x14ac:dyDescent="0.35">
      <c r="A368">
        <v>6127</v>
      </c>
      <c r="B368" s="220">
        <v>4482</v>
      </c>
      <c r="C368" s="232">
        <f t="shared" si="5"/>
        <v>1645</v>
      </c>
      <c r="D368" s="217" t="s">
        <v>2164</v>
      </c>
    </row>
    <row r="369" spans="1:4" ht="17.25" customHeight="1" thickBot="1" x14ac:dyDescent="0.35">
      <c r="A369">
        <v>6128</v>
      </c>
      <c r="B369" s="229"/>
      <c r="C369" s="232">
        <f t="shared" si="5"/>
        <v>6128</v>
      </c>
      <c r="D369" s="212" t="s">
        <v>2165</v>
      </c>
    </row>
    <row r="370" spans="1:4" ht="17.25" customHeight="1" thickBot="1" x14ac:dyDescent="0.35">
      <c r="A370">
        <v>6129</v>
      </c>
      <c r="B370" s="211">
        <v>4511</v>
      </c>
      <c r="C370" s="232">
        <f t="shared" si="5"/>
        <v>1618</v>
      </c>
      <c r="D370" s="212" t="s">
        <v>2166</v>
      </c>
    </row>
    <row r="371" spans="1:4" ht="17.25" customHeight="1" thickBot="1" x14ac:dyDescent="0.35">
      <c r="A371">
        <v>6131</v>
      </c>
      <c r="B371" s="220">
        <v>4521</v>
      </c>
      <c r="C371" s="232">
        <f t="shared" si="5"/>
        <v>1610</v>
      </c>
      <c r="D371" s="217" t="s">
        <v>2167</v>
      </c>
    </row>
    <row r="372" spans="1:4" ht="17.25" customHeight="1" thickBot="1" x14ac:dyDescent="0.35">
      <c r="A372">
        <v>6132</v>
      </c>
      <c r="B372" s="229"/>
      <c r="C372" s="232">
        <f t="shared" si="5"/>
        <v>6132</v>
      </c>
      <c r="D372" s="212" t="s">
        <v>2168</v>
      </c>
    </row>
    <row r="373" spans="1:4" ht="17.25" customHeight="1" thickBot="1" x14ac:dyDescent="0.35">
      <c r="A373">
        <v>6133</v>
      </c>
      <c r="B373" s="220"/>
      <c r="C373" s="232">
        <f t="shared" si="5"/>
        <v>6133</v>
      </c>
      <c r="D373" s="401" t="s">
        <v>2169</v>
      </c>
    </row>
    <row r="374" spans="1:4" ht="17.25" customHeight="1" thickBot="1" x14ac:dyDescent="0.35">
      <c r="A374">
        <v>6134</v>
      </c>
      <c r="B374" s="229">
        <v>4591</v>
      </c>
      <c r="C374" s="232">
        <f t="shared" si="5"/>
        <v>1543</v>
      </c>
      <c r="D374" s="402"/>
    </row>
    <row r="375" spans="1:4" ht="17.25" customHeight="1" thickBot="1" x14ac:dyDescent="0.35">
      <c r="A375">
        <v>6135</v>
      </c>
      <c r="B375" s="220">
        <v>4592</v>
      </c>
      <c r="C375" s="232">
        <f t="shared" si="5"/>
        <v>1543</v>
      </c>
      <c r="D375" s="217" t="s">
        <v>2170</v>
      </c>
    </row>
    <row r="376" spans="1:4" ht="17.25" customHeight="1" thickBot="1" x14ac:dyDescent="0.35">
      <c r="A376">
        <v>6136</v>
      </c>
      <c r="B376" s="229"/>
      <c r="C376" s="232">
        <f t="shared" si="5"/>
        <v>6136</v>
      </c>
      <c r="D376" s="212" t="s">
        <v>2171</v>
      </c>
    </row>
    <row r="377" spans="1:4" ht="17.25" customHeight="1" thickBot="1" x14ac:dyDescent="0.35">
      <c r="A377">
        <v>6137</v>
      </c>
      <c r="B377" s="220">
        <v>4611</v>
      </c>
      <c r="C377" s="232">
        <f t="shared" si="5"/>
        <v>1526</v>
      </c>
      <c r="D377" s="217" t="s">
        <v>2172</v>
      </c>
    </row>
    <row r="378" spans="1:4" ht="17.25" customHeight="1" thickBot="1" x14ac:dyDescent="0.35">
      <c r="A378">
        <v>6138</v>
      </c>
      <c r="B378" s="229"/>
      <c r="C378" s="232">
        <f t="shared" si="5"/>
        <v>6138</v>
      </c>
      <c r="D378" s="212" t="s">
        <v>2173</v>
      </c>
    </row>
    <row r="379" spans="1:4" ht="17.25" customHeight="1" thickBot="1" x14ac:dyDescent="0.35">
      <c r="A379">
        <v>6139</v>
      </c>
      <c r="B379" s="220">
        <v>4621</v>
      </c>
      <c r="C379" s="232">
        <f t="shared" si="5"/>
        <v>1518</v>
      </c>
      <c r="D379" s="217" t="s">
        <v>2174</v>
      </c>
    </row>
    <row r="380" spans="1:4" ht="17.25" customHeight="1" thickBot="1" x14ac:dyDescent="0.35">
      <c r="A380">
        <v>6141</v>
      </c>
      <c r="B380" s="229"/>
      <c r="C380" s="232">
        <f t="shared" si="5"/>
        <v>6141</v>
      </c>
      <c r="D380" s="212" t="s">
        <v>2175</v>
      </c>
    </row>
    <row r="381" spans="1:4" ht="17.25" customHeight="1" thickBot="1" x14ac:dyDescent="0.35">
      <c r="A381">
        <v>6151</v>
      </c>
      <c r="B381" s="214"/>
      <c r="C381" s="232">
        <f t="shared" si="5"/>
        <v>6151</v>
      </c>
      <c r="D381" s="217" t="s">
        <v>2176</v>
      </c>
    </row>
    <row r="382" spans="1:4" ht="17.25" customHeight="1" thickBot="1" x14ac:dyDescent="0.35">
      <c r="A382">
        <v>6152</v>
      </c>
      <c r="B382" s="211">
        <v>4631</v>
      </c>
      <c r="C382" s="232">
        <f t="shared" si="5"/>
        <v>1521</v>
      </c>
      <c r="D382" s="212" t="s">
        <v>2177</v>
      </c>
    </row>
    <row r="383" spans="1:4" ht="17.25" customHeight="1" thickBot="1" x14ac:dyDescent="0.35">
      <c r="A383">
        <v>6153</v>
      </c>
      <c r="B383" s="211">
        <v>4641</v>
      </c>
      <c r="C383" s="232">
        <f t="shared" si="5"/>
        <v>1512</v>
      </c>
      <c r="D383" s="212" t="s">
        <v>2178</v>
      </c>
    </row>
    <row r="384" spans="1:4" ht="17.25" customHeight="1" thickBot="1" x14ac:dyDescent="0.35">
      <c r="A384">
        <v>6154</v>
      </c>
      <c r="B384" s="220">
        <v>4651</v>
      </c>
      <c r="C384" s="232">
        <f t="shared" si="5"/>
        <v>1503</v>
      </c>
      <c r="D384" s="217" t="s">
        <v>2179</v>
      </c>
    </row>
    <row r="385" spans="1:4" ht="17.25" customHeight="1" thickBot="1" x14ac:dyDescent="0.35">
      <c r="A385">
        <v>6155</v>
      </c>
      <c r="B385" s="229"/>
      <c r="C385" s="232">
        <f t="shared" ref="C385:C448" si="6">A385-B385</f>
        <v>6155</v>
      </c>
      <c r="D385" s="212" t="s">
        <v>2180</v>
      </c>
    </row>
    <row r="386" spans="1:4" ht="17.25" customHeight="1" thickBot="1" x14ac:dyDescent="0.35">
      <c r="A386">
        <v>6156</v>
      </c>
      <c r="B386" s="214"/>
      <c r="C386" s="232">
        <f t="shared" si="6"/>
        <v>6156</v>
      </c>
      <c r="D386" s="217" t="s">
        <v>2181</v>
      </c>
    </row>
    <row r="387" spans="1:4" ht="17.25" customHeight="1" thickBot="1" x14ac:dyDescent="0.35">
      <c r="A387">
        <v>6157</v>
      </c>
      <c r="B387" s="211">
        <v>4661</v>
      </c>
      <c r="C387" s="232">
        <f t="shared" si="6"/>
        <v>1496</v>
      </c>
      <c r="D387" s="212" t="s">
        <v>2182</v>
      </c>
    </row>
    <row r="388" spans="1:4" ht="17.25" customHeight="1" thickBot="1" x14ac:dyDescent="0.35">
      <c r="A388">
        <v>6158</v>
      </c>
      <c r="B388" s="211">
        <v>4691</v>
      </c>
      <c r="C388" s="232">
        <f t="shared" si="6"/>
        <v>1467</v>
      </c>
      <c r="D388" s="216" t="s">
        <v>2183</v>
      </c>
    </row>
    <row r="389" spans="1:4" ht="17.25" customHeight="1" thickBot="1" x14ac:dyDescent="0.35">
      <c r="A389">
        <v>6159</v>
      </c>
      <c r="B389" s="220">
        <v>4711</v>
      </c>
      <c r="C389" s="232">
        <f t="shared" si="6"/>
        <v>1448</v>
      </c>
      <c r="D389" s="217" t="s">
        <v>2184</v>
      </c>
    </row>
    <row r="390" spans="1:4" ht="17.25" customHeight="1" thickBot="1" x14ac:dyDescent="0.35">
      <c r="A390">
        <v>6161</v>
      </c>
      <c r="B390" s="229"/>
      <c r="C390" s="232">
        <f t="shared" si="6"/>
        <v>6161</v>
      </c>
      <c r="D390" s="212" t="s">
        <v>2185</v>
      </c>
    </row>
    <row r="391" spans="1:4" ht="17.25" customHeight="1" thickBot="1" x14ac:dyDescent="0.35">
      <c r="A391">
        <v>6162</v>
      </c>
      <c r="B391" s="214"/>
      <c r="C391" s="232">
        <f t="shared" si="6"/>
        <v>6162</v>
      </c>
      <c r="D391" s="215" t="s">
        <v>2186</v>
      </c>
    </row>
    <row r="392" spans="1:4" ht="17.25" customHeight="1" thickBot="1" x14ac:dyDescent="0.35">
      <c r="A392">
        <v>6163</v>
      </c>
      <c r="B392" s="211">
        <v>4811</v>
      </c>
      <c r="C392" s="232">
        <f t="shared" si="6"/>
        <v>1352</v>
      </c>
      <c r="D392" s="216" t="s">
        <v>2187</v>
      </c>
    </row>
    <row r="393" spans="1:4" ht="17.25" customHeight="1" thickBot="1" x14ac:dyDescent="0.35">
      <c r="A393">
        <v>6164</v>
      </c>
      <c r="B393" s="211">
        <v>4821</v>
      </c>
      <c r="C393" s="232">
        <f t="shared" si="6"/>
        <v>1343</v>
      </c>
      <c r="D393" s="212" t="s">
        <v>2188</v>
      </c>
    </row>
    <row r="394" spans="1:4" ht="17.25" customHeight="1" thickBot="1" x14ac:dyDescent="0.35">
      <c r="A394">
        <v>6165</v>
      </c>
      <c r="B394" s="211">
        <v>4822</v>
      </c>
      <c r="C394" s="232">
        <f t="shared" si="6"/>
        <v>1343</v>
      </c>
      <c r="D394" s="212" t="s">
        <v>2117</v>
      </c>
    </row>
    <row r="395" spans="1:4" ht="17.25" customHeight="1" thickBot="1" x14ac:dyDescent="0.35">
      <c r="A395">
        <v>6166</v>
      </c>
      <c r="B395" s="214"/>
      <c r="C395" s="232">
        <f t="shared" si="6"/>
        <v>6166</v>
      </c>
      <c r="D395" s="217" t="s">
        <v>2189</v>
      </c>
    </row>
    <row r="396" spans="1:4" ht="17.25" customHeight="1" thickBot="1" x14ac:dyDescent="0.35">
      <c r="A396">
        <v>6167</v>
      </c>
      <c r="B396" s="211">
        <v>4831</v>
      </c>
      <c r="C396" s="232">
        <f t="shared" si="6"/>
        <v>1336</v>
      </c>
      <c r="D396" s="212" t="s">
        <v>2190</v>
      </c>
    </row>
    <row r="397" spans="1:4" ht="17.25" customHeight="1" thickBot="1" x14ac:dyDescent="0.35">
      <c r="A397">
        <v>6168</v>
      </c>
      <c r="B397" s="214"/>
      <c r="C397" s="232">
        <f t="shared" si="6"/>
        <v>6168</v>
      </c>
      <c r="D397" s="217" t="s">
        <v>2191</v>
      </c>
    </row>
    <row r="398" spans="1:4" ht="17.25" customHeight="1" thickBot="1" x14ac:dyDescent="0.35">
      <c r="A398">
        <v>6171</v>
      </c>
      <c r="B398" s="211">
        <v>4841</v>
      </c>
      <c r="C398" s="232">
        <f t="shared" si="6"/>
        <v>1330</v>
      </c>
      <c r="D398" s="212" t="s">
        <v>2192</v>
      </c>
    </row>
    <row r="399" spans="1:4" ht="17.25" customHeight="1" thickBot="1" x14ac:dyDescent="0.35">
      <c r="A399">
        <v>6191</v>
      </c>
      <c r="B399" s="220">
        <v>4851</v>
      </c>
      <c r="C399" s="232">
        <f t="shared" si="6"/>
        <v>1340</v>
      </c>
      <c r="D399" s="217" t="s">
        <v>2193</v>
      </c>
    </row>
    <row r="400" spans="1:4" ht="17.25" customHeight="1" thickBot="1" x14ac:dyDescent="0.35">
      <c r="A400">
        <v>6211</v>
      </c>
      <c r="B400" s="229"/>
      <c r="C400" s="232">
        <f t="shared" si="6"/>
        <v>6211</v>
      </c>
      <c r="D400" s="212" t="s">
        <v>2194</v>
      </c>
    </row>
    <row r="401" spans="1:4" ht="17.25" customHeight="1" thickBot="1" x14ac:dyDescent="0.35">
      <c r="A401">
        <v>6221</v>
      </c>
      <c r="B401" s="214"/>
      <c r="C401" s="232">
        <f t="shared" si="6"/>
        <v>6221</v>
      </c>
      <c r="D401" s="217" t="s">
        <v>2195</v>
      </c>
    </row>
    <row r="402" spans="1:4" ht="17.25" customHeight="1" thickBot="1" x14ac:dyDescent="0.35">
      <c r="A402">
        <v>6231</v>
      </c>
      <c r="B402" s="211">
        <v>4911</v>
      </c>
      <c r="C402" s="232">
        <f t="shared" si="6"/>
        <v>1320</v>
      </c>
      <c r="D402" s="212" t="s">
        <v>2196</v>
      </c>
    </row>
    <row r="403" spans="1:4" ht="17.25" customHeight="1" thickBot="1" x14ac:dyDescent="0.35">
      <c r="A403">
        <v>6241</v>
      </c>
      <c r="B403" s="214"/>
      <c r="C403" s="232">
        <f t="shared" si="6"/>
        <v>6241</v>
      </c>
      <c r="D403" s="401" t="s">
        <v>2197</v>
      </c>
    </row>
    <row r="404" spans="1:4" ht="17.25" customHeight="1" thickBot="1" x14ac:dyDescent="0.35">
      <c r="A404">
        <v>6251</v>
      </c>
      <c r="B404" s="211">
        <v>4921</v>
      </c>
      <c r="C404" s="232">
        <f t="shared" si="6"/>
        <v>1330</v>
      </c>
      <c r="D404" s="402"/>
    </row>
    <row r="405" spans="1:4" ht="17.25" customHeight="1" thickBot="1" x14ac:dyDescent="0.35">
      <c r="A405">
        <v>6261</v>
      </c>
      <c r="B405" s="220">
        <v>4931</v>
      </c>
      <c r="C405" s="232">
        <f t="shared" si="6"/>
        <v>1330</v>
      </c>
      <c r="D405" s="217" t="s">
        <v>2198</v>
      </c>
    </row>
    <row r="406" spans="1:4" ht="17.25" customHeight="1" thickBot="1" x14ac:dyDescent="0.35">
      <c r="A406">
        <v>6271</v>
      </c>
      <c r="B406" s="229"/>
      <c r="C406" s="232">
        <f t="shared" si="6"/>
        <v>6271</v>
      </c>
      <c r="D406" s="212" t="s">
        <v>2199</v>
      </c>
    </row>
    <row r="407" spans="1:4" ht="17.25" customHeight="1" thickBot="1" x14ac:dyDescent="0.35">
      <c r="A407">
        <v>6291</v>
      </c>
      <c r="B407" s="220">
        <v>5111</v>
      </c>
      <c r="C407" s="232">
        <f t="shared" si="6"/>
        <v>1180</v>
      </c>
      <c r="D407" s="223" t="s">
        <v>2200</v>
      </c>
    </row>
    <row r="408" spans="1:4" ht="17.25" customHeight="1" thickBot="1" x14ac:dyDescent="0.35">
      <c r="A408">
        <v>6311</v>
      </c>
      <c r="B408" s="229"/>
      <c r="C408" s="232">
        <f t="shared" si="6"/>
        <v>6311</v>
      </c>
      <c r="D408" s="212" t="s">
        <v>2201</v>
      </c>
    </row>
    <row r="409" spans="1:4" ht="17.25" customHeight="1" thickBot="1" x14ac:dyDescent="0.35">
      <c r="A409">
        <v>6321</v>
      </c>
      <c r="B409" s="220">
        <v>5112</v>
      </c>
      <c r="C409" s="232">
        <f t="shared" si="6"/>
        <v>1209</v>
      </c>
      <c r="D409" s="217" t="s">
        <v>2202</v>
      </c>
    </row>
    <row r="410" spans="1:4" ht="17.25" customHeight="1" thickBot="1" x14ac:dyDescent="0.35">
      <c r="A410">
        <v>7111</v>
      </c>
      <c r="B410" s="229"/>
      <c r="C410" s="232">
        <f t="shared" si="6"/>
        <v>7111</v>
      </c>
      <c r="D410" s="212" t="s">
        <v>2203</v>
      </c>
    </row>
    <row r="411" spans="1:4" ht="17.25" customHeight="1" thickBot="1" x14ac:dyDescent="0.35">
      <c r="A411">
        <v>7112</v>
      </c>
      <c r="B411" s="220">
        <v>5121</v>
      </c>
      <c r="C411" s="232">
        <f t="shared" si="6"/>
        <v>1991</v>
      </c>
      <c r="D411" s="217" t="s">
        <v>2204</v>
      </c>
    </row>
    <row r="412" spans="1:4" ht="17.25" customHeight="1" thickBot="1" x14ac:dyDescent="0.35">
      <c r="A412">
        <v>7121</v>
      </c>
      <c r="B412" s="229"/>
      <c r="C412" s="232">
        <f t="shared" si="6"/>
        <v>7121</v>
      </c>
      <c r="D412" s="212" t="s">
        <v>2205</v>
      </c>
    </row>
    <row r="413" spans="1:4" ht="17.25" customHeight="1" thickBot="1" x14ac:dyDescent="0.35">
      <c r="A413">
        <v>7122</v>
      </c>
      <c r="B413" s="220">
        <v>5131</v>
      </c>
      <c r="C413" s="232">
        <f t="shared" si="6"/>
        <v>1991</v>
      </c>
      <c r="D413" s="217" t="s">
        <v>2206</v>
      </c>
    </row>
    <row r="414" spans="1:4" ht="17.25" customHeight="1" thickBot="1" x14ac:dyDescent="0.35">
      <c r="A414">
        <v>7123</v>
      </c>
      <c r="B414" s="229"/>
      <c r="C414" s="232">
        <f t="shared" si="6"/>
        <v>7123</v>
      </c>
      <c r="D414" s="212" t="s">
        <v>2207</v>
      </c>
    </row>
    <row r="415" spans="1:4" ht="17.25" customHeight="1" thickBot="1" x14ac:dyDescent="0.35">
      <c r="A415">
        <v>7124</v>
      </c>
      <c r="B415" s="211">
        <v>5132</v>
      </c>
      <c r="C415" s="232">
        <f t="shared" si="6"/>
        <v>1992</v>
      </c>
      <c r="D415" s="212" t="s">
        <v>2208</v>
      </c>
    </row>
    <row r="416" spans="1:4" ht="17.25" customHeight="1" thickBot="1" x14ac:dyDescent="0.35">
      <c r="A416">
        <v>7211</v>
      </c>
      <c r="B416" s="211">
        <v>5133</v>
      </c>
      <c r="C416" s="232">
        <f t="shared" si="6"/>
        <v>2078</v>
      </c>
      <c r="D416" s="212" t="s">
        <v>2209</v>
      </c>
    </row>
    <row r="417" spans="1:4" ht="17.25" customHeight="1" thickBot="1" x14ac:dyDescent="0.35">
      <c r="A417">
        <v>7221</v>
      </c>
      <c r="B417" s="214"/>
      <c r="C417" s="232">
        <f t="shared" si="6"/>
        <v>7221</v>
      </c>
      <c r="D417" s="215" t="s">
        <v>2210</v>
      </c>
    </row>
    <row r="418" spans="1:4" ht="17.25" customHeight="1" thickBot="1" x14ac:dyDescent="0.35">
      <c r="A418">
        <v>7231</v>
      </c>
      <c r="B418" s="211">
        <v>5141</v>
      </c>
      <c r="C418" s="232">
        <f t="shared" si="6"/>
        <v>2090</v>
      </c>
      <c r="D418" s="216" t="s">
        <v>2211</v>
      </c>
    </row>
    <row r="419" spans="1:4" ht="17.25" customHeight="1" thickBot="1" x14ac:dyDescent="0.35">
      <c r="A419">
        <v>7241</v>
      </c>
      <c r="B419" s="214"/>
      <c r="C419" s="232">
        <f t="shared" si="6"/>
        <v>7241</v>
      </c>
      <c r="D419" s="215" t="s">
        <v>2212</v>
      </c>
    </row>
    <row r="420" spans="1:4" ht="17.25" customHeight="1" thickBot="1" x14ac:dyDescent="0.35">
      <c r="A420">
        <v>7251</v>
      </c>
      <c r="B420" s="211">
        <v>5151</v>
      </c>
      <c r="C420" s="232">
        <f t="shared" si="6"/>
        <v>2100</v>
      </c>
      <c r="D420" s="216" t="s">
        <v>2213</v>
      </c>
    </row>
    <row r="421" spans="1:4" ht="17.25" customHeight="1" thickBot="1" x14ac:dyDescent="0.35">
      <c r="A421">
        <v>7261</v>
      </c>
      <c r="B421" s="220">
        <v>5191</v>
      </c>
      <c r="C421" s="232">
        <f t="shared" si="6"/>
        <v>2070</v>
      </c>
      <c r="D421" s="217" t="s">
        <v>2214</v>
      </c>
    </row>
    <row r="422" spans="1:4" ht="17.25" customHeight="1" thickBot="1" x14ac:dyDescent="0.35">
      <c r="A422">
        <v>7271</v>
      </c>
      <c r="B422" s="229"/>
      <c r="C422" s="232">
        <f t="shared" si="6"/>
        <v>7271</v>
      </c>
      <c r="D422" s="212" t="s">
        <v>2215</v>
      </c>
    </row>
    <row r="423" spans="1:4" ht="17.25" customHeight="1" thickBot="1" x14ac:dyDescent="0.35">
      <c r="A423">
        <v>7281</v>
      </c>
      <c r="B423" s="214"/>
      <c r="C423" s="232">
        <f t="shared" si="6"/>
        <v>7281</v>
      </c>
      <c r="D423" s="217" t="s">
        <v>2216</v>
      </c>
    </row>
    <row r="424" spans="1:4" ht="17.25" customHeight="1" thickBot="1" x14ac:dyDescent="0.35">
      <c r="A424">
        <v>7291</v>
      </c>
      <c r="B424" s="211">
        <v>5192</v>
      </c>
      <c r="C424" s="232">
        <f t="shared" si="6"/>
        <v>2099</v>
      </c>
      <c r="D424" s="212" t="s">
        <v>2217</v>
      </c>
    </row>
    <row r="425" spans="1:4" ht="17.25" customHeight="1" thickBot="1" x14ac:dyDescent="0.35">
      <c r="A425">
        <v>7311</v>
      </c>
      <c r="B425" s="211">
        <v>5211</v>
      </c>
      <c r="C425" s="232">
        <f t="shared" si="6"/>
        <v>2100</v>
      </c>
      <c r="D425" s="212" t="s">
        <v>2218</v>
      </c>
    </row>
    <row r="426" spans="1:4" ht="17.25" customHeight="1" thickBot="1" x14ac:dyDescent="0.35">
      <c r="A426">
        <v>7321</v>
      </c>
      <c r="B426" s="211">
        <v>5221</v>
      </c>
      <c r="C426" s="232">
        <f t="shared" si="6"/>
        <v>2100</v>
      </c>
      <c r="D426" s="212" t="s">
        <v>2219</v>
      </c>
    </row>
    <row r="427" spans="1:4" ht="17.25" customHeight="1" thickBot="1" x14ac:dyDescent="0.35">
      <c r="A427">
        <v>7331</v>
      </c>
      <c r="B427" s="220">
        <v>5231</v>
      </c>
      <c r="C427" s="232">
        <f t="shared" si="6"/>
        <v>2100</v>
      </c>
      <c r="D427" s="217" t="s">
        <v>2220</v>
      </c>
    </row>
    <row r="428" spans="1:4" ht="17.25" customHeight="1" thickBot="1" x14ac:dyDescent="0.35">
      <c r="A428">
        <v>7341</v>
      </c>
      <c r="B428" s="229"/>
      <c r="C428" s="232">
        <f t="shared" si="6"/>
        <v>7341</v>
      </c>
      <c r="D428" s="212" t="s">
        <v>2221</v>
      </c>
    </row>
    <row r="429" spans="1:4" ht="17.25" customHeight="1" thickBot="1" x14ac:dyDescent="0.35">
      <c r="A429">
        <v>7351</v>
      </c>
      <c r="B429" s="220"/>
      <c r="C429" s="232">
        <f t="shared" si="6"/>
        <v>7351</v>
      </c>
      <c r="D429" s="401" t="s">
        <v>2222</v>
      </c>
    </row>
    <row r="430" spans="1:4" ht="17.25" customHeight="1" thickBot="1" x14ac:dyDescent="0.35">
      <c r="A430">
        <v>7391</v>
      </c>
      <c r="B430" s="229">
        <v>5291</v>
      </c>
      <c r="C430" s="232">
        <f t="shared" si="6"/>
        <v>2100</v>
      </c>
      <c r="D430" s="402"/>
    </row>
    <row r="431" spans="1:4" ht="17.25" customHeight="1" thickBot="1" x14ac:dyDescent="0.35">
      <c r="A431">
        <v>7392</v>
      </c>
      <c r="B431" s="214"/>
      <c r="C431" s="232">
        <f t="shared" si="6"/>
        <v>7392</v>
      </c>
      <c r="D431" s="401" t="s">
        <v>2223</v>
      </c>
    </row>
    <row r="432" spans="1:4" ht="17.25" customHeight="1" thickBot="1" x14ac:dyDescent="0.35">
      <c r="A432">
        <v>7393</v>
      </c>
      <c r="B432" s="214"/>
      <c r="C432" s="232">
        <f t="shared" si="6"/>
        <v>7393</v>
      </c>
      <c r="D432" s="403"/>
    </row>
    <row r="433" spans="1:4" ht="17.25" customHeight="1" thickBot="1" x14ac:dyDescent="0.35">
      <c r="A433">
        <v>7411</v>
      </c>
      <c r="B433" s="211">
        <v>5311</v>
      </c>
      <c r="C433" s="232">
        <f t="shared" si="6"/>
        <v>2100</v>
      </c>
      <c r="D433" s="402"/>
    </row>
    <row r="434" spans="1:4" ht="17.25" customHeight="1" thickBot="1" x14ac:dyDescent="0.35">
      <c r="A434">
        <v>7421</v>
      </c>
      <c r="B434" s="214"/>
      <c r="C434" s="232">
        <f t="shared" si="6"/>
        <v>7421</v>
      </c>
      <c r="D434" s="401" t="s">
        <v>2224</v>
      </c>
    </row>
    <row r="435" spans="1:4" ht="17.25" customHeight="1" thickBot="1" x14ac:dyDescent="0.35">
      <c r="A435">
        <v>7431</v>
      </c>
      <c r="B435" s="211">
        <v>5321</v>
      </c>
      <c r="C435" s="232">
        <f t="shared" si="6"/>
        <v>2110</v>
      </c>
      <c r="D435" s="402"/>
    </row>
    <row r="436" spans="1:4" ht="17.25" customHeight="1" thickBot="1" x14ac:dyDescent="0.35">
      <c r="A436">
        <v>7441</v>
      </c>
      <c r="B436" s="214"/>
      <c r="C436" s="232">
        <f t="shared" si="6"/>
        <v>7441</v>
      </c>
      <c r="D436" s="401" t="s">
        <v>2225</v>
      </c>
    </row>
    <row r="437" spans="1:4" ht="17.25" customHeight="1" thickBot="1" x14ac:dyDescent="0.35">
      <c r="A437">
        <v>7451</v>
      </c>
      <c r="B437" s="211">
        <v>5411</v>
      </c>
      <c r="C437" s="232">
        <f t="shared" si="6"/>
        <v>2040</v>
      </c>
      <c r="D437" s="402"/>
    </row>
    <row r="438" spans="1:4" ht="17.25" customHeight="1" thickBot="1" x14ac:dyDescent="0.35">
      <c r="A438">
        <v>7461</v>
      </c>
      <c r="B438" s="211">
        <v>5412</v>
      </c>
      <c r="C438" s="232">
        <f t="shared" si="6"/>
        <v>2049</v>
      </c>
      <c r="D438" s="212" t="s">
        <v>2226</v>
      </c>
    </row>
    <row r="439" spans="1:4" ht="17.25" customHeight="1" thickBot="1" x14ac:dyDescent="0.35">
      <c r="A439">
        <v>7471</v>
      </c>
      <c r="B439" s="214"/>
      <c r="C439" s="232">
        <f t="shared" si="6"/>
        <v>7471</v>
      </c>
      <c r="D439" s="401" t="s">
        <v>2227</v>
      </c>
    </row>
    <row r="440" spans="1:4" ht="17.25" customHeight="1" thickBot="1" x14ac:dyDescent="0.35">
      <c r="A440">
        <v>7481</v>
      </c>
      <c r="B440" s="211">
        <v>5421</v>
      </c>
      <c r="C440" s="232">
        <f t="shared" si="6"/>
        <v>2060</v>
      </c>
      <c r="D440" s="402"/>
    </row>
    <row r="441" spans="1:4" ht="17.25" customHeight="1" thickBot="1" x14ac:dyDescent="0.35">
      <c r="A441">
        <v>7491</v>
      </c>
      <c r="B441" s="211">
        <v>5431</v>
      </c>
      <c r="C441" s="232">
        <f t="shared" si="6"/>
        <v>2060</v>
      </c>
      <c r="D441" s="212" t="s">
        <v>2228</v>
      </c>
    </row>
    <row r="442" spans="1:4" ht="17.25" customHeight="1" thickBot="1" x14ac:dyDescent="0.35">
      <c r="A442">
        <v>7511</v>
      </c>
      <c r="B442" s="211">
        <v>5441</v>
      </c>
      <c r="C442" s="232">
        <f t="shared" si="6"/>
        <v>2070</v>
      </c>
      <c r="D442" s="212" t="s">
        <v>2229</v>
      </c>
    </row>
    <row r="443" spans="1:4" ht="17.25" customHeight="1" thickBot="1" x14ac:dyDescent="0.35">
      <c r="A443">
        <v>7521</v>
      </c>
      <c r="B443" s="211">
        <v>5451</v>
      </c>
      <c r="C443" s="232">
        <f t="shared" si="6"/>
        <v>2070</v>
      </c>
      <c r="D443" s="212" t="s">
        <v>2230</v>
      </c>
    </row>
    <row r="444" spans="1:4" ht="17.25" customHeight="1" thickBot="1" x14ac:dyDescent="0.35">
      <c r="A444">
        <v>7531</v>
      </c>
      <c r="B444" s="211">
        <v>5491</v>
      </c>
      <c r="C444" s="232">
        <f t="shared" si="6"/>
        <v>2040</v>
      </c>
      <c r="D444" s="212" t="s">
        <v>2231</v>
      </c>
    </row>
    <row r="445" spans="1:4" ht="17.25" customHeight="1" thickBot="1" x14ac:dyDescent="0.35">
      <c r="A445">
        <v>7541</v>
      </c>
      <c r="B445" s="211">
        <v>5511</v>
      </c>
      <c r="C445" s="232">
        <f t="shared" si="6"/>
        <v>2030</v>
      </c>
      <c r="D445" s="212" t="s">
        <v>2232</v>
      </c>
    </row>
    <row r="446" spans="1:4" ht="17.25" customHeight="1" thickBot="1" x14ac:dyDescent="0.35">
      <c r="A446">
        <v>7551</v>
      </c>
      <c r="B446" s="214"/>
      <c r="C446" s="232">
        <f t="shared" si="6"/>
        <v>7551</v>
      </c>
      <c r="D446" s="215" t="s">
        <v>2233</v>
      </c>
    </row>
    <row r="447" spans="1:4" ht="17.25" customHeight="1" thickBot="1" x14ac:dyDescent="0.35">
      <c r="A447">
        <v>7561</v>
      </c>
      <c r="B447" s="214"/>
      <c r="C447" s="232">
        <f t="shared" si="6"/>
        <v>7561</v>
      </c>
      <c r="D447" s="215" t="s">
        <v>2234</v>
      </c>
    </row>
    <row r="448" spans="1:4" ht="17.25" customHeight="1" thickBot="1" x14ac:dyDescent="0.35">
      <c r="A448">
        <v>7571</v>
      </c>
      <c r="B448" s="211">
        <v>5611</v>
      </c>
      <c r="C448" s="232">
        <f t="shared" si="6"/>
        <v>1960</v>
      </c>
      <c r="D448" s="218"/>
    </row>
    <row r="449" spans="1:4" ht="17.25" customHeight="1" thickBot="1" x14ac:dyDescent="0.35">
      <c r="A449">
        <v>7581</v>
      </c>
      <c r="B449" s="214"/>
      <c r="C449" s="232">
        <f t="shared" ref="C449:C512" si="7">A449-B449</f>
        <v>7581</v>
      </c>
      <c r="D449" s="217" t="s">
        <v>2235</v>
      </c>
    </row>
    <row r="450" spans="1:4" ht="17.25" customHeight="1" thickBot="1" x14ac:dyDescent="0.35">
      <c r="A450">
        <v>7591</v>
      </c>
      <c r="B450" s="211">
        <v>5621</v>
      </c>
      <c r="C450" s="232">
        <f t="shared" si="7"/>
        <v>1970</v>
      </c>
      <c r="D450" s="212" t="s">
        <v>2236</v>
      </c>
    </row>
    <row r="451" spans="1:4" ht="17.25" customHeight="1" thickBot="1" x14ac:dyDescent="0.35">
      <c r="A451">
        <v>7611</v>
      </c>
      <c r="B451" s="211">
        <v>5622</v>
      </c>
      <c r="C451" s="232">
        <f t="shared" si="7"/>
        <v>1989</v>
      </c>
      <c r="D451" s="212" t="s">
        <v>2237</v>
      </c>
    </row>
    <row r="452" spans="1:4" ht="17.25" customHeight="1" thickBot="1" x14ac:dyDescent="0.35">
      <c r="A452">
        <v>7621</v>
      </c>
      <c r="B452" s="214"/>
      <c r="C452" s="232">
        <f t="shared" si="7"/>
        <v>7621</v>
      </c>
      <c r="D452" s="215" t="s">
        <v>2239</v>
      </c>
    </row>
    <row r="453" spans="1:4" ht="17.25" customHeight="1" thickBot="1" x14ac:dyDescent="0.35">
      <c r="A453">
        <v>7911</v>
      </c>
      <c r="B453" s="229">
        <v>5631</v>
      </c>
      <c r="C453" s="232">
        <f t="shared" si="7"/>
        <v>2280</v>
      </c>
      <c r="D453" s="216" t="s">
        <v>2238</v>
      </c>
    </row>
    <row r="454" spans="1:4" ht="17.25" customHeight="1" thickBot="1" x14ac:dyDescent="0.35">
      <c r="A454">
        <v>7921</v>
      </c>
      <c r="B454" s="214"/>
      <c r="C454" s="232">
        <f t="shared" si="7"/>
        <v>7921</v>
      </c>
      <c r="D454" s="401" t="s">
        <v>2240</v>
      </c>
    </row>
    <row r="455" spans="1:4" ht="17.25" customHeight="1" thickBot="1" x14ac:dyDescent="0.35">
      <c r="A455">
        <v>7991</v>
      </c>
      <c r="B455" s="214"/>
      <c r="C455" s="232">
        <f t="shared" si="7"/>
        <v>7991</v>
      </c>
      <c r="D455" s="403"/>
    </row>
    <row r="456" spans="1:4" ht="17.25" customHeight="1" thickBot="1" x14ac:dyDescent="0.35">
      <c r="A456">
        <v>8111</v>
      </c>
      <c r="B456" s="229">
        <v>5641</v>
      </c>
      <c r="C456" s="232">
        <f t="shared" si="7"/>
        <v>2470</v>
      </c>
      <c r="D456" s="402"/>
    </row>
    <row r="457" spans="1:4" ht="17.25" customHeight="1" thickBot="1" x14ac:dyDescent="0.35">
      <c r="A457">
        <v>8121</v>
      </c>
      <c r="B457" s="214"/>
      <c r="C457" s="232">
        <f t="shared" si="7"/>
        <v>8121</v>
      </c>
      <c r="D457" s="215" t="s">
        <v>2241</v>
      </c>
    </row>
    <row r="458" spans="1:4" ht="17.25" customHeight="1" thickBot="1" x14ac:dyDescent="0.35">
      <c r="A458">
        <v>8131</v>
      </c>
      <c r="B458" s="229">
        <v>5651</v>
      </c>
      <c r="C458" s="232">
        <f t="shared" si="7"/>
        <v>2480</v>
      </c>
      <c r="D458" s="216" t="s">
        <v>2242</v>
      </c>
    </row>
    <row r="459" spans="1:4" ht="17.25" customHeight="1" thickBot="1" x14ac:dyDescent="0.35">
      <c r="A459">
        <v>8132</v>
      </c>
      <c r="B459" s="220"/>
      <c r="C459" s="232">
        <f t="shared" si="7"/>
        <v>8132</v>
      </c>
      <c r="D459" s="223" t="s">
        <v>2243</v>
      </c>
    </row>
    <row r="460" spans="1:4" ht="17.25" customHeight="1" thickBot="1" x14ac:dyDescent="0.35">
      <c r="A460">
        <v>8141</v>
      </c>
      <c r="B460" s="211">
        <v>5661</v>
      </c>
      <c r="C460" s="232">
        <f t="shared" si="7"/>
        <v>2480</v>
      </c>
      <c r="D460" s="212" t="s">
        <v>2244</v>
      </c>
    </row>
    <row r="461" spans="1:4" ht="17.25" customHeight="1" thickBot="1" x14ac:dyDescent="0.35">
      <c r="A461">
        <v>8151</v>
      </c>
      <c r="B461" s="220">
        <v>5671</v>
      </c>
      <c r="C461" s="232">
        <f t="shared" si="7"/>
        <v>2480</v>
      </c>
      <c r="D461" s="217" t="s">
        <v>2245</v>
      </c>
    </row>
    <row r="462" spans="1:4" ht="17.25" customHeight="1" thickBot="1" x14ac:dyDescent="0.35">
      <c r="A462">
        <v>8161</v>
      </c>
      <c r="B462" s="229"/>
      <c r="C462" s="232">
        <f t="shared" si="7"/>
        <v>8161</v>
      </c>
      <c r="D462" s="212" t="s">
        <v>2246</v>
      </c>
    </row>
    <row r="463" spans="1:4" ht="17.25" customHeight="1" thickBot="1" x14ac:dyDescent="0.35">
      <c r="A463">
        <v>8311</v>
      </c>
      <c r="B463" s="214"/>
      <c r="C463" s="232">
        <f t="shared" si="7"/>
        <v>8311</v>
      </c>
      <c r="D463" s="217" t="s">
        <v>2247</v>
      </c>
    </row>
    <row r="464" spans="1:4" ht="17.25" customHeight="1" thickBot="1" x14ac:dyDescent="0.35">
      <c r="A464">
        <v>8321</v>
      </c>
      <c r="B464" s="211">
        <v>5691</v>
      </c>
      <c r="C464" s="232">
        <f t="shared" si="7"/>
        <v>2630</v>
      </c>
      <c r="D464" s="212" t="s">
        <v>2248</v>
      </c>
    </row>
    <row r="465" spans="1:4" ht="17.25" customHeight="1" thickBot="1" x14ac:dyDescent="0.35">
      <c r="A465">
        <v>8331</v>
      </c>
      <c r="B465" s="211">
        <v>5692</v>
      </c>
      <c r="C465" s="232">
        <f t="shared" si="7"/>
        <v>2639</v>
      </c>
      <c r="D465" s="212" t="s">
        <v>2249</v>
      </c>
    </row>
    <row r="466" spans="1:4" ht="17.25" customHeight="1" thickBot="1" x14ac:dyDescent="0.35">
      <c r="A466">
        <v>8332</v>
      </c>
      <c r="B466" s="211">
        <v>5693</v>
      </c>
      <c r="C466" s="232">
        <f t="shared" si="7"/>
        <v>2639</v>
      </c>
      <c r="D466" s="212" t="s">
        <v>2250</v>
      </c>
    </row>
    <row r="467" spans="1:4" ht="17.25" customHeight="1" thickBot="1" x14ac:dyDescent="0.35">
      <c r="A467">
        <v>8341</v>
      </c>
      <c r="B467" s="211">
        <v>5711</v>
      </c>
      <c r="C467" s="232">
        <f t="shared" si="7"/>
        <v>2630</v>
      </c>
      <c r="D467" s="212" t="s">
        <v>2251</v>
      </c>
    </row>
    <row r="468" spans="1:4" ht="17.25" customHeight="1" thickBot="1" x14ac:dyDescent="0.35">
      <c r="A468">
        <v>8351</v>
      </c>
      <c r="B468" s="229">
        <v>5721</v>
      </c>
      <c r="C468" s="232">
        <f t="shared" si="7"/>
        <v>2630</v>
      </c>
      <c r="D468" s="212" t="s">
        <v>2252</v>
      </c>
    </row>
    <row r="469" spans="1:4" ht="17.25" customHeight="1" thickBot="1" x14ac:dyDescent="0.35">
      <c r="A469">
        <v>8511</v>
      </c>
      <c r="B469" s="214"/>
      <c r="C469" s="232">
        <f t="shared" si="7"/>
        <v>8511</v>
      </c>
      <c r="D469" s="215" t="s">
        <v>2253</v>
      </c>
    </row>
    <row r="470" spans="1:4" ht="17.25" customHeight="1" thickBot="1" x14ac:dyDescent="0.35">
      <c r="A470">
        <v>8521</v>
      </c>
      <c r="B470" s="211">
        <v>5731</v>
      </c>
      <c r="C470" s="232">
        <f t="shared" si="7"/>
        <v>2790</v>
      </c>
      <c r="D470" s="216" t="s">
        <v>2254</v>
      </c>
    </row>
    <row r="471" spans="1:4" ht="17.25" customHeight="1" thickBot="1" x14ac:dyDescent="0.35">
      <c r="A471">
        <v>8531</v>
      </c>
      <c r="B471" s="211">
        <v>5741</v>
      </c>
      <c r="C471" s="232">
        <f t="shared" si="7"/>
        <v>2790</v>
      </c>
      <c r="D471" s="212" t="s">
        <v>2255</v>
      </c>
    </row>
    <row r="472" spans="1:4" ht="17.25" customHeight="1" thickBot="1" x14ac:dyDescent="0.35">
      <c r="A472">
        <v>9111</v>
      </c>
      <c r="B472" s="220">
        <v>5751</v>
      </c>
      <c r="C472" s="232">
        <f t="shared" si="7"/>
        <v>3360</v>
      </c>
      <c r="D472" s="217" t="s">
        <v>2256</v>
      </c>
    </row>
    <row r="473" spans="1:4" ht="17.25" customHeight="1" thickBot="1" x14ac:dyDescent="0.35">
      <c r="A473">
        <v>9112</v>
      </c>
      <c r="B473" s="229"/>
      <c r="C473" s="232">
        <f t="shared" si="7"/>
        <v>9112</v>
      </c>
      <c r="D473" s="212" t="s">
        <v>2257</v>
      </c>
    </row>
    <row r="474" spans="1:4" ht="17.25" customHeight="1" thickBot="1" x14ac:dyDescent="0.35">
      <c r="A474">
        <v>9121</v>
      </c>
      <c r="B474" s="211">
        <v>5761</v>
      </c>
      <c r="C474" s="232">
        <f t="shared" si="7"/>
        <v>3360</v>
      </c>
      <c r="D474" s="212" t="s">
        <v>2258</v>
      </c>
    </row>
    <row r="475" spans="1:4" ht="17.25" customHeight="1" thickBot="1" x14ac:dyDescent="0.35">
      <c r="A475">
        <v>9131</v>
      </c>
      <c r="B475" s="214"/>
      <c r="C475" s="232">
        <f t="shared" si="7"/>
        <v>9131</v>
      </c>
      <c r="D475" s="401" t="s">
        <v>2259</v>
      </c>
    </row>
    <row r="476" spans="1:4" ht="17.25" customHeight="1" thickBot="1" x14ac:dyDescent="0.35">
      <c r="A476">
        <v>9141</v>
      </c>
      <c r="B476" s="211">
        <v>5771</v>
      </c>
      <c r="C476" s="232">
        <f t="shared" si="7"/>
        <v>3370</v>
      </c>
      <c r="D476" s="402"/>
    </row>
    <row r="477" spans="1:4" ht="17.25" customHeight="1" thickBot="1" x14ac:dyDescent="0.35">
      <c r="A477">
        <v>9151</v>
      </c>
      <c r="B477" s="211">
        <v>5781</v>
      </c>
      <c r="C477" s="232">
        <f t="shared" si="7"/>
        <v>3370</v>
      </c>
      <c r="D477" s="212" t="s">
        <v>2260</v>
      </c>
    </row>
    <row r="478" spans="1:4" ht="17.25" customHeight="1" thickBot="1" x14ac:dyDescent="0.35">
      <c r="A478">
        <v>9161</v>
      </c>
      <c r="B478" s="230">
        <v>5791</v>
      </c>
      <c r="C478" s="232">
        <f t="shared" si="7"/>
        <v>3370</v>
      </c>
      <c r="D478" s="227" t="s">
        <v>2457</v>
      </c>
    </row>
    <row r="479" spans="1:4" ht="17.25" customHeight="1" thickBot="1" x14ac:dyDescent="0.35">
      <c r="A479">
        <v>9171</v>
      </c>
      <c r="B479" s="231"/>
      <c r="C479" s="232">
        <f t="shared" si="7"/>
        <v>9171</v>
      </c>
      <c r="D479" s="212" t="s">
        <v>2261</v>
      </c>
    </row>
    <row r="480" spans="1:4" ht="17.25" customHeight="1" thickBot="1" x14ac:dyDescent="0.35">
      <c r="A480">
        <v>9181</v>
      </c>
      <c r="B480" s="211">
        <v>5811</v>
      </c>
      <c r="C480" s="232">
        <f t="shared" si="7"/>
        <v>3370</v>
      </c>
      <c r="D480" s="212" t="s">
        <v>2262</v>
      </c>
    </row>
    <row r="481" spans="1:4" ht="17.25" customHeight="1" thickBot="1" x14ac:dyDescent="0.35">
      <c r="A481">
        <v>9211</v>
      </c>
      <c r="B481" s="214"/>
      <c r="C481" s="232">
        <f t="shared" si="7"/>
        <v>9211</v>
      </c>
      <c r="D481" s="217" t="s">
        <v>2263</v>
      </c>
    </row>
    <row r="482" spans="1:4" ht="17.25" customHeight="1" thickBot="1" x14ac:dyDescent="0.35">
      <c r="A482">
        <v>9221</v>
      </c>
      <c r="B482" s="211">
        <v>5821</v>
      </c>
      <c r="C482" s="232">
        <f t="shared" si="7"/>
        <v>3400</v>
      </c>
      <c r="D482" s="212" t="s">
        <v>2264</v>
      </c>
    </row>
    <row r="483" spans="1:4" ht="17.25" customHeight="1" thickBot="1" x14ac:dyDescent="0.35">
      <c r="A483">
        <v>9231</v>
      </c>
      <c r="B483" s="211">
        <v>5831</v>
      </c>
      <c r="C483" s="232">
        <f t="shared" si="7"/>
        <v>3400</v>
      </c>
      <c r="D483" s="212" t="s">
        <v>2265</v>
      </c>
    </row>
    <row r="484" spans="1:4" ht="17.25" customHeight="1" thickBot="1" x14ac:dyDescent="0.35">
      <c r="A484">
        <v>9241</v>
      </c>
      <c r="B484" s="211">
        <v>5891</v>
      </c>
      <c r="C484" s="232">
        <f t="shared" si="7"/>
        <v>3350</v>
      </c>
      <c r="D484" s="212" t="s">
        <v>2266</v>
      </c>
    </row>
    <row r="485" spans="1:4" ht="17.25" customHeight="1" thickBot="1" x14ac:dyDescent="0.35">
      <c r="A485">
        <v>9251</v>
      </c>
      <c r="B485" s="214"/>
      <c r="C485" s="232">
        <f t="shared" si="7"/>
        <v>9251</v>
      </c>
      <c r="D485" s="217" t="s">
        <v>2267</v>
      </c>
    </row>
    <row r="486" spans="1:4" ht="17.25" customHeight="1" thickBot="1" x14ac:dyDescent="0.35">
      <c r="A486">
        <v>9261</v>
      </c>
      <c r="B486" s="211">
        <v>5892</v>
      </c>
      <c r="C486" s="232">
        <f t="shared" si="7"/>
        <v>3369</v>
      </c>
      <c r="D486" s="212" t="s">
        <v>2268</v>
      </c>
    </row>
    <row r="487" spans="1:4" ht="17.25" customHeight="1" thickBot="1" x14ac:dyDescent="0.35">
      <c r="A487">
        <v>9271</v>
      </c>
      <c r="B487" s="214"/>
      <c r="C487" s="232">
        <f t="shared" si="7"/>
        <v>9271</v>
      </c>
      <c r="D487" s="401" t="s">
        <v>2269</v>
      </c>
    </row>
    <row r="488" spans="1:4" ht="17.25" customHeight="1" thickBot="1" x14ac:dyDescent="0.35">
      <c r="A488">
        <v>9281</v>
      </c>
      <c r="B488" s="229">
        <v>5893</v>
      </c>
      <c r="C488" s="232">
        <f t="shared" si="7"/>
        <v>3388</v>
      </c>
      <c r="D488" s="402"/>
    </row>
    <row r="489" spans="1:4" ht="17.25" customHeight="1" thickBot="1" x14ac:dyDescent="0.35">
      <c r="A489">
        <v>9311</v>
      </c>
      <c r="B489" s="211">
        <v>5911</v>
      </c>
      <c r="C489" s="232">
        <f t="shared" si="7"/>
        <v>3400</v>
      </c>
      <c r="D489" s="216" t="s">
        <v>2270</v>
      </c>
    </row>
    <row r="490" spans="1:4" ht="17.25" customHeight="1" thickBot="1" x14ac:dyDescent="0.35">
      <c r="A490">
        <v>9321</v>
      </c>
      <c r="B490" s="214"/>
      <c r="C490" s="232">
        <f t="shared" si="7"/>
        <v>9321</v>
      </c>
      <c r="D490" s="217" t="s">
        <v>2271</v>
      </c>
    </row>
    <row r="491" spans="1:4" ht="17.25" customHeight="1" thickBot="1" x14ac:dyDescent="0.35">
      <c r="A491">
        <v>9411</v>
      </c>
      <c r="B491" s="211">
        <v>5921</v>
      </c>
      <c r="C491" s="232">
        <f t="shared" si="7"/>
        <v>3490</v>
      </c>
      <c r="D491" s="212" t="s">
        <v>2272</v>
      </c>
    </row>
    <row r="492" spans="1:4" ht="17.25" customHeight="1" thickBot="1" x14ac:dyDescent="0.35">
      <c r="A492">
        <v>9421</v>
      </c>
      <c r="B492" s="211">
        <v>5931</v>
      </c>
      <c r="C492" s="232">
        <f t="shared" si="7"/>
        <v>3490</v>
      </c>
      <c r="D492" s="216" t="s">
        <v>2273</v>
      </c>
    </row>
    <row r="493" spans="1:4" ht="17.25" customHeight="1" thickBot="1" x14ac:dyDescent="0.35">
      <c r="A493">
        <v>9511</v>
      </c>
      <c r="B493" s="211">
        <v>5941</v>
      </c>
      <c r="C493" s="232">
        <f t="shared" si="7"/>
        <v>3570</v>
      </c>
      <c r="D493" s="212" t="s">
        <v>2274</v>
      </c>
    </row>
    <row r="494" spans="1:4" ht="17.25" customHeight="1" thickBot="1" x14ac:dyDescent="0.35">
      <c r="A494">
        <v>9512</v>
      </c>
      <c r="B494" s="211">
        <v>5951</v>
      </c>
      <c r="C494" s="232">
        <f t="shared" si="7"/>
        <v>3561</v>
      </c>
      <c r="D494" s="212" t="s">
        <v>2275</v>
      </c>
    </row>
    <row r="495" spans="1:4" ht="17.25" customHeight="1" thickBot="1" x14ac:dyDescent="0.35">
      <c r="A495">
        <v>9611</v>
      </c>
      <c r="B495" s="214"/>
      <c r="C495" s="232">
        <f t="shared" si="7"/>
        <v>9611</v>
      </c>
      <c r="D495" s="215" t="s">
        <v>2276</v>
      </c>
    </row>
    <row r="496" spans="1:4" ht="17.25" customHeight="1" thickBot="1" x14ac:dyDescent="0.35">
      <c r="A496">
        <v>9621</v>
      </c>
      <c r="B496" s="211">
        <v>5961</v>
      </c>
      <c r="C496" s="232">
        <f t="shared" si="7"/>
        <v>3660</v>
      </c>
      <c r="D496" s="216" t="s">
        <v>2277</v>
      </c>
    </row>
    <row r="497" spans="1:4" ht="17.25" customHeight="1" thickBot="1" x14ac:dyDescent="0.35">
      <c r="A497">
        <v>9911</v>
      </c>
      <c r="B497" s="211">
        <v>5971</v>
      </c>
      <c r="C497" s="232">
        <f t="shared" si="7"/>
        <v>3940</v>
      </c>
      <c r="D497" s="212" t="s">
        <v>2278</v>
      </c>
    </row>
    <row r="498" spans="1:4" ht="17.25" customHeight="1" thickBot="1" x14ac:dyDescent="0.35">
      <c r="A498">
        <v>9912</v>
      </c>
      <c r="B498" s="211">
        <v>5981</v>
      </c>
      <c r="C498" s="232">
        <f t="shared" si="7"/>
        <v>3931</v>
      </c>
      <c r="D498" s="212" t="s">
        <v>2279</v>
      </c>
    </row>
    <row r="499" spans="1:4" ht="17.25" customHeight="1" thickBot="1" x14ac:dyDescent="0.35">
      <c r="B499" s="211">
        <v>5991</v>
      </c>
      <c r="C499" s="232">
        <f t="shared" si="7"/>
        <v>-5991</v>
      </c>
      <c r="D499" s="212" t="s">
        <v>2280</v>
      </c>
    </row>
    <row r="500" spans="1:4" ht="17.25" customHeight="1" thickBot="1" x14ac:dyDescent="0.35">
      <c r="B500" s="220">
        <v>6111</v>
      </c>
      <c r="C500" s="232">
        <f t="shared" si="7"/>
        <v>-6111</v>
      </c>
      <c r="D500" s="217" t="s">
        <v>2281</v>
      </c>
    </row>
    <row r="501" spans="1:4" ht="17.25" customHeight="1" thickBot="1" x14ac:dyDescent="0.35">
      <c r="B501" s="229"/>
      <c r="C501" s="232">
        <f t="shared" si="7"/>
        <v>0</v>
      </c>
      <c r="D501" s="212" t="s">
        <v>2282</v>
      </c>
    </row>
    <row r="502" spans="1:4" ht="17.25" customHeight="1" thickBot="1" x14ac:dyDescent="0.35">
      <c r="B502" s="214"/>
      <c r="C502" s="232">
        <f t="shared" si="7"/>
        <v>0</v>
      </c>
      <c r="D502" s="215" t="s">
        <v>2283</v>
      </c>
    </row>
    <row r="503" spans="1:4" ht="17.25" customHeight="1" thickBot="1" x14ac:dyDescent="0.35">
      <c r="B503" s="214"/>
      <c r="C503" s="232">
        <f t="shared" si="7"/>
        <v>0</v>
      </c>
      <c r="D503" s="215" t="s">
        <v>2284</v>
      </c>
    </row>
    <row r="504" spans="1:4" ht="17.25" customHeight="1" thickBot="1" x14ac:dyDescent="0.35">
      <c r="B504" s="211">
        <v>6121</v>
      </c>
      <c r="C504" s="232">
        <f t="shared" si="7"/>
        <v>-6121</v>
      </c>
      <c r="D504" s="218"/>
    </row>
    <row r="505" spans="1:4" ht="17.25" customHeight="1" thickBot="1" x14ac:dyDescent="0.35">
      <c r="B505" s="211">
        <v>6122</v>
      </c>
      <c r="C505" s="232">
        <f t="shared" si="7"/>
        <v>-6122</v>
      </c>
      <c r="D505" s="212" t="s">
        <v>2285</v>
      </c>
    </row>
    <row r="506" spans="1:4" ht="17.25" customHeight="1" thickBot="1" x14ac:dyDescent="0.35">
      <c r="B506" s="211">
        <v>6123</v>
      </c>
      <c r="C506" s="232">
        <f t="shared" si="7"/>
        <v>-6123</v>
      </c>
      <c r="D506" s="212" t="s">
        <v>2286</v>
      </c>
    </row>
    <row r="507" spans="1:4" ht="17.25" customHeight="1" thickBot="1" x14ac:dyDescent="0.35">
      <c r="B507" s="214"/>
      <c r="C507" s="232">
        <f t="shared" si="7"/>
        <v>0</v>
      </c>
      <c r="D507" s="215" t="s">
        <v>2287</v>
      </c>
    </row>
    <row r="508" spans="1:4" ht="17.25" customHeight="1" thickBot="1" x14ac:dyDescent="0.35">
      <c r="B508" s="214"/>
      <c r="C508" s="232">
        <f t="shared" si="7"/>
        <v>0</v>
      </c>
      <c r="D508" s="215" t="s">
        <v>2288</v>
      </c>
    </row>
    <row r="509" spans="1:4" ht="17.25" customHeight="1" thickBot="1" x14ac:dyDescent="0.35">
      <c r="B509" s="211">
        <v>6124</v>
      </c>
      <c r="C509" s="232">
        <f t="shared" si="7"/>
        <v>-6124</v>
      </c>
      <c r="D509" s="218"/>
    </row>
    <row r="510" spans="1:4" ht="17.25" customHeight="1" thickBot="1" x14ac:dyDescent="0.35">
      <c r="B510" s="214"/>
      <c r="C510" s="232">
        <f t="shared" si="7"/>
        <v>0</v>
      </c>
      <c r="D510" s="215" t="s">
        <v>2289</v>
      </c>
    </row>
    <row r="511" spans="1:4" ht="17.25" customHeight="1" thickBot="1" x14ac:dyDescent="0.35">
      <c r="B511" s="214"/>
      <c r="C511" s="232">
        <f t="shared" si="7"/>
        <v>0</v>
      </c>
      <c r="D511" s="215" t="s">
        <v>2290</v>
      </c>
    </row>
    <row r="512" spans="1:4" ht="17.25" customHeight="1" thickBot="1" x14ac:dyDescent="0.35">
      <c r="B512" s="211">
        <v>6125</v>
      </c>
      <c r="C512" s="232">
        <f t="shared" si="7"/>
        <v>-6125</v>
      </c>
      <c r="D512" s="218"/>
    </row>
    <row r="513" spans="2:4" ht="17.25" customHeight="1" thickBot="1" x14ac:dyDescent="0.35">
      <c r="B513" s="211">
        <v>6126</v>
      </c>
      <c r="C513" s="232">
        <f t="shared" ref="C513:C576" si="8">A513-B513</f>
        <v>-6126</v>
      </c>
      <c r="D513" s="212" t="s">
        <v>2291</v>
      </c>
    </row>
    <row r="514" spans="2:4" ht="17.25" customHeight="1" thickBot="1" x14ac:dyDescent="0.35">
      <c r="B514" s="211">
        <v>6127</v>
      </c>
      <c r="C514" s="232">
        <f t="shared" si="8"/>
        <v>-6127</v>
      </c>
      <c r="D514" s="212" t="s">
        <v>2292</v>
      </c>
    </row>
    <row r="515" spans="2:4" ht="17.25" customHeight="1" thickBot="1" x14ac:dyDescent="0.35">
      <c r="B515" s="220">
        <v>6128</v>
      </c>
      <c r="C515" s="232">
        <f t="shared" si="8"/>
        <v>-6128</v>
      </c>
      <c r="D515" s="217" t="s">
        <v>2293</v>
      </c>
    </row>
    <row r="516" spans="2:4" ht="17.25" customHeight="1" thickBot="1" x14ac:dyDescent="0.35">
      <c r="B516" s="229"/>
      <c r="C516" s="232">
        <f t="shared" si="8"/>
        <v>0</v>
      </c>
      <c r="D516" s="212" t="s">
        <v>2294</v>
      </c>
    </row>
    <row r="517" spans="2:4" ht="17.25" customHeight="1" thickBot="1" x14ac:dyDescent="0.35">
      <c r="B517" s="220">
        <v>6129</v>
      </c>
      <c r="C517" s="232">
        <f t="shared" si="8"/>
        <v>-6129</v>
      </c>
      <c r="D517" s="217" t="s">
        <v>2295</v>
      </c>
    </row>
    <row r="518" spans="2:4" ht="17.25" customHeight="1" thickBot="1" x14ac:dyDescent="0.35">
      <c r="B518" s="229"/>
      <c r="C518" s="232">
        <f t="shared" si="8"/>
        <v>0</v>
      </c>
      <c r="D518" s="212" t="s">
        <v>2296</v>
      </c>
    </row>
    <row r="519" spans="2:4" ht="17.25" customHeight="1" thickBot="1" x14ac:dyDescent="0.35">
      <c r="B519" s="214"/>
      <c r="C519" s="232">
        <f t="shared" si="8"/>
        <v>0</v>
      </c>
      <c r="D519" s="215" t="s">
        <v>2297</v>
      </c>
    </row>
    <row r="520" spans="2:4" ht="17.25" customHeight="1" thickBot="1" x14ac:dyDescent="0.35">
      <c r="B520" s="214"/>
      <c r="C520" s="232">
        <f t="shared" si="8"/>
        <v>0</v>
      </c>
      <c r="D520" s="215" t="s">
        <v>2298</v>
      </c>
    </row>
    <row r="521" spans="2:4" ht="17.25" customHeight="1" thickBot="1" x14ac:dyDescent="0.35">
      <c r="B521" s="229">
        <v>6131</v>
      </c>
      <c r="C521" s="232">
        <f t="shared" si="8"/>
        <v>-6131</v>
      </c>
      <c r="D521" s="218"/>
    </row>
    <row r="522" spans="2:4" ht="17.25" customHeight="1" thickBot="1" x14ac:dyDescent="0.35">
      <c r="B522" s="224">
        <v>6132</v>
      </c>
      <c r="C522" s="232">
        <f t="shared" si="8"/>
        <v>-6132</v>
      </c>
      <c r="D522" s="225" t="s">
        <v>2285</v>
      </c>
    </row>
    <row r="523" spans="2:4" ht="17.25" customHeight="1" thickBot="1" x14ac:dyDescent="0.35">
      <c r="B523" s="211">
        <v>6133</v>
      </c>
      <c r="C523" s="232">
        <f t="shared" si="8"/>
        <v>-6133</v>
      </c>
      <c r="D523" s="212" t="s">
        <v>2286</v>
      </c>
    </row>
    <row r="524" spans="2:4" ht="17.25" customHeight="1" thickBot="1" x14ac:dyDescent="0.35">
      <c r="B524" s="214"/>
      <c r="C524" s="232">
        <f t="shared" si="8"/>
        <v>0</v>
      </c>
      <c r="D524" s="215" t="s">
        <v>2287</v>
      </c>
    </row>
    <row r="525" spans="2:4" ht="17.25" customHeight="1" thickBot="1" x14ac:dyDescent="0.35">
      <c r="B525" s="214"/>
      <c r="C525" s="232">
        <f t="shared" si="8"/>
        <v>0</v>
      </c>
      <c r="D525" s="215" t="s">
        <v>2288</v>
      </c>
    </row>
    <row r="526" spans="2:4" ht="17.25" customHeight="1" thickBot="1" x14ac:dyDescent="0.35">
      <c r="B526" s="211">
        <v>6134</v>
      </c>
      <c r="C526" s="232">
        <f t="shared" si="8"/>
        <v>-6134</v>
      </c>
      <c r="D526" s="218"/>
    </row>
    <row r="527" spans="2:4" ht="17.25" customHeight="1" thickBot="1" x14ac:dyDescent="0.35">
      <c r="B527" s="214"/>
      <c r="C527" s="232">
        <f t="shared" si="8"/>
        <v>0</v>
      </c>
      <c r="D527" s="215" t="s">
        <v>2289</v>
      </c>
    </row>
    <row r="528" spans="2:4" ht="17.25" customHeight="1" thickBot="1" x14ac:dyDescent="0.35">
      <c r="B528" s="211">
        <v>6135</v>
      </c>
      <c r="C528" s="232">
        <f t="shared" si="8"/>
        <v>-6135</v>
      </c>
      <c r="D528" s="216" t="s">
        <v>2290</v>
      </c>
    </row>
    <row r="529" spans="2:4" ht="17.25" customHeight="1" thickBot="1" x14ac:dyDescent="0.35">
      <c r="B529" s="211">
        <v>6136</v>
      </c>
      <c r="C529" s="232">
        <f t="shared" si="8"/>
        <v>-6136</v>
      </c>
      <c r="D529" s="212" t="s">
        <v>2291</v>
      </c>
    </row>
    <row r="530" spans="2:4" ht="17.25" customHeight="1" thickBot="1" x14ac:dyDescent="0.35">
      <c r="B530" s="211">
        <v>6137</v>
      </c>
      <c r="C530" s="232">
        <f t="shared" si="8"/>
        <v>-6137</v>
      </c>
      <c r="D530" s="212" t="s">
        <v>2292</v>
      </c>
    </row>
    <row r="531" spans="2:4" ht="17.25" customHeight="1" thickBot="1" x14ac:dyDescent="0.35">
      <c r="B531" s="211">
        <v>6138</v>
      </c>
      <c r="C531" s="232">
        <f t="shared" si="8"/>
        <v>-6138</v>
      </c>
      <c r="D531" s="216" t="s">
        <v>2299</v>
      </c>
    </row>
    <row r="532" spans="2:4" ht="17.25" customHeight="1" thickBot="1" x14ac:dyDescent="0.35">
      <c r="B532" s="211">
        <v>6139</v>
      </c>
      <c r="C532" s="232">
        <f t="shared" si="8"/>
        <v>-6139</v>
      </c>
      <c r="D532" s="212" t="s">
        <v>2300</v>
      </c>
    </row>
    <row r="533" spans="2:4" ht="17.25" customHeight="1" thickBot="1" x14ac:dyDescent="0.35">
      <c r="B533" s="214"/>
      <c r="C533" s="232">
        <f t="shared" si="8"/>
        <v>0</v>
      </c>
      <c r="D533" s="217" t="s">
        <v>2301</v>
      </c>
    </row>
    <row r="534" spans="2:4" ht="17.25" customHeight="1" thickBot="1" x14ac:dyDescent="0.35">
      <c r="B534" s="211">
        <v>6141</v>
      </c>
      <c r="C534" s="232">
        <f t="shared" si="8"/>
        <v>-6141</v>
      </c>
      <c r="D534" s="212" t="s">
        <v>2302</v>
      </c>
    </row>
    <row r="535" spans="2:4" ht="17.25" customHeight="1" thickBot="1" x14ac:dyDescent="0.35">
      <c r="B535" s="214"/>
      <c r="C535" s="232">
        <f t="shared" si="8"/>
        <v>0</v>
      </c>
      <c r="D535" s="401" t="s">
        <v>2305</v>
      </c>
    </row>
    <row r="536" spans="2:4" ht="17.25" customHeight="1" thickBot="1" x14ac:dyDescent="0.35">
      <c r="B536" s="214"/>
      <c r="C536" s="232">
        <f t="shared" si="8"/>
        <v>0</v>
      </c>
      <c r="D536" s="403"/>
    </row>
    <row r="537" spans="2:4" ht="17.25" customHeight="1" thickBot="1" x14ac:dyDescent="0.35">
      <c r="B537" s="211">
        <v>6151</v>
      </c>
      <c r="C537" s="232">
        <f t="shared" si="8"/>
        <v>-6151</v>
      </c>
      <c r="D537" s="402"/>
    </row>
    <row r="538" spans="2:4" ht="17.25" customHeight="1" thickBot="1" x14ac:dyDescent="0.35">
      <c r="B538" s="211">
        <v>6152</v>
      </c>
      <c r="C538" s="232">
        <f t="shared" si="8"/>
        <v>-6152</v>
      </c>
      <c r="D538" s="212" t="s">
        <v>2285</v>
      </c>
    </row>
    <row r="539" spans="2:4" ht="17.25" customHeight="1" thickBot="1" x14ac:dyDescent="0.35">
      <c r="B539" s="211">
        <v>6153</v>
      </c>
      <c r="C539" s="232">
        <f t="shared" si="8"/>
        <v>-6153</v>
      </c>
      <c r="D539" s="212" t="s">
        <v>2286</v>
      </c>
    </row>
    <row r="540" spans="2:4" ht="17.25" customHeight="1" thickBot="1" x14ac:dyDescent="0.35">
      <c r="B540" s="214"/>
      <c r="C540" s="232">
        <f t="shared" si="8"/>
        <v>0</v>
      </c>
      <c r="D540" s="215" t="s">
        <v>2306</v>
      </c>
    </row>
    <row r="541" spans="2:4" ht="17.25" customHeight="1" thickBot="1" x14ac:dyDescent="0.35">
      <c r="B541" s="214"/>
      <c r="C541" s="232">
        <f t="shared" si="8"/>
        <v>0</v>
      </c>
      <c r="D541" s="215" t="s">
        <v>2307</v>
      </c>
    </row>
    <row r="542" spans="2:4" ht="17.25" customHeight="1" thickBot="1" x14ac:dyDescent="0.35">
      <c r="B542" s="211">
        <v>6154</v>
      </c>
      <c r="C542" s="232">
        <f t="shared" si="8"/>
        <v>-6154</v>
      </c>
      <c r="D542" s="218"/>
    </row>
    <row r="543" spans="2:4" ht="17.25" customHeight="1" thickBot="1" x14ac:dyDescent="0.35">
      <c r="B543" s="214"/>
      <c r="C543" s="232">
        <f t="shared" si="8"/>
        <v>0</v>
      </c>
      <c r="D543" s="401" t="s">
        <v>2308</v>
      </c>
    </row>
    <row r="544" spans="2:4" ht="17.25" customHeight="1" thickBot="1" x14ac:dyDescent="0.35">
      <c r="B544" s="214"/>
      <c r="C544" s="232">
        <f t="shared" si="8"/>
        <v>0</v>
      </c>
      <c r="D544" s="403"/>
    </row>
    <row r="545" spans="2:4" ht="17.25" customHeight="1" thickBot="1" x14ac:dyDescent="0.35">
      <c r="B545" s="211">
        <v>6155</v>
      </c>
      <c r="C545" s="232">
        <f t="shared" si="8"/>
        <v>-6155</v>
      </c>
      <c r="D545" s="402"/>
    </row>
    <row r="546" spans="2:4" ht="17.25" customHeight="1" thickBot="1" x14ac:dyDescent="0.35">
      <c r="B546" s="211">
        <v>6156</v>
      </c>
      <c r="C546" s="232">
        <f t="shared" si="8"/>
        <v>-6156</v>
      </c>
      <c r="D546" s="212" t="s">
        <v>2291</v>
      </c>
    </row>
    <row r="547" spans="2:4" ht="17.25" customHeight="1" thickBot="1" x14ac:dyDescent="0.35">
      <c r="B547" s="211">
        <v>6157</v>
      </c>
      <c r="C547" s="232">
        <f t="shared" si="8"/>
        <v>-6157</v>
      </c>
      <c r="D547" s="212" t="s">
        <v>2292</v>
      </c>
    </row>
    <row r="548" spans="2:4" ht="17.25" customHeight="1" thickBot="1" x14ac:dyDescent="0.35">
      <c r="B548" s="214"/>
      <c r="C548" s="232">
        <f t="shared" si="8"/>
        <v>0</v>
      </c>
      <c r="D548" s="217" t="s">
        <v>2295</v>
      </c>
    </row>
    <row r="549" spans="2:4" ht="17.25" customHeight="1" thickBot="1" x14ac:dyDescent="0.35">
      <c r="B549" s="211">
        <v>6158</v>
      </c>
      <c r="C549" s="232">
        <f t="shared" si="8"/>
        <v>-6158</v>
      </c>
      <c r="D549" s="212" t="s">
        <v>2296</v>
      </c>
    </row>
    <row r="550" spans="2:4" ht="17.25" customHeight="1" thickBot="1" x14ac:dyDescent="0.35">
      <c r="B550" s="211">
        <v>6159</v>
      </c>
      <c r="C550" s="232">
        <f t="shared" si="8"/>
        <v>-6159</v>
      </c>
      <c r="D550" s="212" t="s">
        <v>2309</v>
      </c>
    </row>
    <row r="551" spans="2:4" ht="17.25" customHeight="1" thickBot="1" x14ac:dyDescent="0.35">
      <c r="B551" s="220"/>
      <c r="C551" s="232">
        <f t="shared" si="8"/>
        <v>0</v>
      </c>
      <c r="D551" s="221" t="s">
        <v>2283</v>
      </c>
    </row>
    <row r="552" spans="2:4" ht="17.25" customHeight="1" thickBot="1" x14ac:dyDescent="0.35">
      <c r="B552" s="214"/>
      <c r="C552" s="232">
        <f t="shared" si="8"/>
        <v>0</v>
      </c>
      <c r="D552" s="215" t="s">
        <v>2284</v>
      </c>
    </row>
    <row r="553" spans="2:4" ht="17.25" customHeight="1" thickBot="1" x14ac:dyDescent="0.35">
      <c r="B553" s="211">
        <v>6161</v>
      </c>
      <c r="C553" s="232">
        <f t="shared" si="8"/>
        <v>-6161</v>
      </c>
      <c r="D553" s="218"/>
    </row>
    <row r="554" spans="2:4" ht="17.25" customHeight="1" thickBot="1" x14ac:dyDescent="0.35">
      <c r="B554" s="220">
        <v>6162</v>
      </c>
      <c r="C554" s="232">
        <f t="shared" si="8"/>
        <v>-6162</v>
      </c>
      <c r="D554" s="217" t="s">
        <v>2311</v>
      </c>
    </row>
    <row r="555" spans="2:4" ht="17.25" customHeight="1" thickBot="1" x14ac:dyDescent="0.35">
      <c r="B555" s="229"/>
      <c r="C555" s="232">
        <f t="shared" si="8"/>
        <v>0</v>
      </c>
      <c r="D555" s="212" t="s">
        <v>2312</v>
      </c>
    </row>
    <row r="556" spans="2:4" ht="17.25" customHeight="1" thickBot="1" x14ac:dyDescent="0.35">
      <c r="B556" s="211">
        <v>6163</v>
      </c>
      <c r="C556" s="232">
        <f t="shared" si="8"/>
        <v>-6163</v>
      </c>
      <c r="D556" s="212" t="s">
        <v>2286</v>
      </c>
    </row>
    <row r="557" spans="2:4" ht="17.25" customHeight="1" thickBot="1" x14ac:dyDescent="0.35">
      <c r="B557" s="214"/>
      <c r="C557" s="232">
        <f t="shared" si="8"/>
        <v>0</v>
      </c>
      <c r="D557" s="215" t="s">
        <v>2306</v>
      </c>
    </row>
    <row r="558" spans="2:4" ht="17.25" customHeight="1" thickBot="1" x14ac:dyDescent="0.35">
      <c r="B558" s="211">
        <v>6164</v>
      </c>
      <c r="C558" s="232">
        <f t="shared" si="8"/>
        <v>-6164</v>
      </c>
      <c r="D558" s="216" t="s">
        <v>2307</v>
      </c>
    </row>
    <row r="559" spans="2:4" ht="17.25" customHeight="1" thickBot="1" x14ac:dyDescent="0.35">
      <c r="B559" s="214"/>
      <c r="C559" s="232">
        <f t="shared" si="8"/>
        <v>0</v>
      </c>
      <c r="D559" s="215" t="s">
        <v>2313</v>
      </c>
    </row>
    <row r="560" spans="2:4" ht="17.25" customHeight="1" thickBot="1" x14ac:dyDescent="0.35">
      <c r="B560" s="211">
        <v>6165</v>
      </c>
      <c r="C560" s="232">
        <f t="shared" si="8"/>
        <v>-6165</v>
      </c>
      <c r="D560" s="216" t="s">
        <v>2314</v>
      </c>
    </row>
    <row r="561" spans="2:4" ht="17.25" customHeight="1" thickBot="1" x14ac:dyDescent="0.35">
      <c r="B561" s="220">
        <v>6166</v>
      </c>
      <c r="C561" s="232">
        <f t="shared" si="8"/>
        <v>-6166</v>
      </c>
      <c r="D561" s="217" t="s">
        <v>2315</v>
      </c>
    </row>
    <row r="562" spans="2:4" ht="17.25" customHeight="1" thickBot="1" x14ac:dyDescent="0.35">
      <c r="B562" s="229"/>
      <c r="C562" s="232">
        <f t="shared" si="8"/>
        <v>0</v>
      </c>
      <c r="D562" s="212" t="s">
        <v>2316</v>
      </c>
    </row>
    <row r="563" spans="2:4" ht="17.25" customHeight="1" thickBot="1" x14ac:dyDescent="0.35">
      <c r="B563" s="211">
        <v>6167</v>
      </c>
      <c r="C563" s="232">
        <f t="shared" si="8"/>
        <v>-6167</v>
      </c>
      <c r="D563" s="212" t="s">
        <v>2292</v>
      </c>
    </row>
    <row r="564" spans="2:4" ht="17.25" customHeight="1" thickBot="1" x14ac:dyDescent="0.35">
      <c r="B564" s="211">
        <v>6168</v>
      </c>
      <c r="C564" s="232">
        <f t="shared" si="8"/>
        <v>-6168</v>
      </c>
      <c r="D564" s="216" t="s">
        <v>2299</v>
      </c>
    </row>
    <row r="565" spans="2:4" ht="17.25" customHeight="1" thickBot="1" x14ac:dyDescent="0.35">
      <c r="B565" s="220">
        <v>6171</v>
      </c>
      <c r="C565" s="232">
        <f t="shared" si="8"/>
        <v>-6171</v>
      </c>
      <c r="D565" s="217" t="s">
        <v>2317</v>
      </c>
    </row>
    <row r="566" spans="2:4" ht="17.25" customHeight="1" thickBot="1" x14ac:dyDescent="0.35">
      <c r="B566" s="229"/>
      <c r="C566" s="232">
        <f t="shared" si="8"/>
        <v>0</v>
      </c>
      <c r="D566" s="212" t="s">
        <v>2318</v>
      </c>
    </row>
    <row r="567" spans="2:4" ht="17.25" customHeight="1" thickBot="1" x14ac:dyDescent="0.35">
      <c r="B567" s="214"/>
      <c r="C567" s="232">
        <f t="shared" si="8"/>
        <v>0</v>
      </c>
      <c r="D567" s="401" t="s">
        <v>2319</v>
      </c>
    </row>
    <row r="568" spans="2:4" ht="17.25" customHeight="1" thickBot="1" x14ac:dyDescent="0.35">
      <c r="B568" s="211">
        <v>6191</v>
      </c>
      <c r="C568" s="232">
        <f t="shared" si="8"/>
        <v>-6191</v>
      </c>
      <c r="D568" s="402"/>
    </row>
    <row r="569" spans="2:4" ht="17.25" customHeight="1" thickBot="1" x14ac:dyDescent="0.35">
      <c r="B569" s="220">
        <v>6211</v>
      </c>
      <c r="C569" s="232">
        <f t="shared" si="8"/>
        <v>-6211</v>
      </c>
      <c r="D569" s="217" t="s">
        <v>2320</v>
      </c>
    </row>
    <row r="570" spans="2:4" ht="17.25" customHeight="1" thickBot="1" x14ac:dyDescent="0.35">
      <c r="B570" s="229"/>
      <c r="C570" s="232">
        <f t="shared" si="8"/>
        <v>0</v>
      </c>
      <c r="D570" s="212" t="s">
        <v>2458</v>
      </c>
    </row>
    <row r="571" spans="2:4" ht="17.25" customHeight="1" thickBot="1" x14ac:dyDescent="0.35">
      <c r="B571" s="220">
        <v>6221</v>
      </c>
      <c r="C571" s="232">
        <f t="shared" si="8"/>
        <v>-6221</v>
      </c>
      <c r="D571" s="217" t="s">
        <v>2321</v>
      </c>
    </row>
    <row r="572" spans="2:4" ht="17.25" customHeight="1" thickBot="1" x14ac:dyDescent="0.35">
      <c r="B572" s="229"/>
      <c r="C572" s="232">
        <f t="shared" si="8"/>
        <v>0</v>
      </c>
      <c r="D572" s="212" t="s">
        <v>2322</v>
      </c>
    </row>
    <row r="573" spans="2:4" ht="17.25" customHeight="1" thickBot="1" x14ac:dyDescent="0.35">
      <c r="B573" s="214"/>
      <c r="C573" s="232">
        <f t="shared" si="8"/>
        <v>0</v>
      </c>
      <c r="D573" s="217" t="s">
        <v>2323</v>
      </c>
    </row>
    <row r="574" spans="2:4" ht="17.25" customHeight="1" thickBot="1" x14ac:dyDescent="0.35">
      <c r="B574" s="211">
        <v>6231</v>
      </c>
      <c r="C574" s="232">
        <f t="shared" si="8"/>
        <v>-6231</v>
      </c>
      <c r="D574" s="212" t="s">
        <v>2459</v>
      </c>
    </row>
    <row r="575" spans="2:4" ht="17.25" customHeight="1" thickBot="1" x14ac:dyDescent="0.35">
      <c r="B575" s="220"/>
      <c r="C575" s="232">
        <f t="shared" si="8"/>
        <v>0</v>
      </c>
      <c r="D575" s="223" t="s">
        <v>2301</v>
      </c>
    </row>
    <row r="576" spans="2:4" ht="17.25" customHeight="1" thickBot="1" x14ac:dyDescent="0.35">
      <c r="B576" s="211">
        <v>6241</v>
      </c>
      <c r="C576" s="232">
        <f t="shared" si="8"/>
        <v>-6241</v>
      </c>
      <c r="D576" s="212" t="s">
        <v>2302</v>
      </c>
    </row>
    <row r="577" spans="2:4" ht="17.25" customHeight="1" thickBot="1" x14ac:dyDescent="0.35">
      <c r="B577" s="214"/>
      <c r="C577" s="232">
        <f t="shared" ref="C577:C640" si="9">A577-B577</f>
        <v>0</v>
      </c>
      <c r="D577" s="217" t="s">
        <v>2303</v>
      </c>
    </row>
    <row r="578" spans="2:4" ht="17.25" customHeight="1" thickBot="1" x14ac:dyDescent="0.35">
      <c r="B578" s="211">
        <v>6251</v>
      </c>
      <c r="C578" s="232">
        <f t="shared" si="9"/>
        <v>-6251</v>
      </c>
      <c r="D578" s="212" t="s">
        <v>2304</v>
      </c>
    </row>
    <row r="579" spans="2:4" ht="17.25" customHeight="1" thickBot="1" x14ac:dyDescent="0.35">
      <c r="B579" s="211">
        <v>6261</v>
      </c>
      <c r="C579" s="232">
        <f t="shared" si="9"/>
        <v>-6261</v>
      </c>
      <c r="D579" s="216" t="s">
        <v>2310</v>
      </c>
    </row>
    <row r="580" spans="2:4" ht="17.25" customHeight="1" thickBot="1" x14ac:dyDescent="0.35">
      <c r="B580" s="220">
        <v>6271</v>
      </c>
      <c r="C580" s="232">
        <f t="shared" si="9"/>
        <v>-6271</v>
      </c>
      <c r="D580" s="217" t="s">
        <v>2317</v>
      </c>
    </row>
    <row r="581" spans="2:4" ht="17.25" customHeight="1" thickBot="1" x14ac:dyDescent="0.35">
      <c r="B581" s="229"/>
      <c r="C581" s="232">
        <f t="shared" si="9"/>
        <v>0</v>
      </c>
      <c r="D581" s="212" t="s">
        <v>2318</v>
      </c>
    </row>
    <row r="582" spans="2:4" ht="17.25" customHeight="1" thickBot="1" x14ac:dyDescent="0.35">
      <c r="B582" s="214"/>
      <c r="C582" s="232">
        <f t="shared" si="9"/>
        <v>0</v>
      </c>
      <c r="D582" s="215" t="s">
        <v>2324</v>
      </c>
    </row>
    <row r="583" spans="2:4" ht="17.25" customHeight="1" thickBot="1" x14ac:dyDescent="0.35">
      <c r="B583" s="211">
        <v>6291</v>
      </c>
      <c r="C583" s="232">
        <f t="shared" si="9"/>
        <v>-6291</v>
      </c>
      <c r="D583" s="216" t="s">
        <v>2325</v>
      </c>
    </row>
    <row r="584" spans="2:4" ht="17.25" customHeight="1" thickBot="1" x14ac:dyDescent="0.35">
      <c r="B584" s="214"/>
      <c r="C584" s="232">
        <f t="shared" si="9"/>
        <v>0</v>
      </c>
      <c r="D584" s="215" t="s">
        <v>2326</v>
      </c>
    </row>
    <row r="585" spans="2:4" ht="17.25" customHeight="1" thickBot="1" x14ac:dyDescent="0.35">
      <c r="B585" s="214"/>
      <c r="C585" s="232">
        <f t="shared" si="9"/>
        <v>0</v>
      </c>
      <c r="D585" s="215" t="s">
        <v>2327</v>
      </c>
    </row>
    <row r="586" spans="2:4" ht="17.25" customHeight="1" thickBot="1" x14ac:dyDescent="0.35">
      <c r="B586" s="211">
        <v>6311</v>
      </c>
      <c r="C586" s="232">
        <f t="shared" si="9"/>
        <v>-6311</v>
      </c>
      <c r="D586" s="218"/>
    </row>
    <row r="587" spans="2:4" ht="17.25" customHeight="1" thickBot="1" x14ac:dyDescent="0.35">
      <c r="B587" s="214"/>
      <c r="C587" s="232">
        <f t="shared" si="9"/>
        <v>0</v>
      </c>
      <c r="D587" s="215" t="s">
        <v>2328</v>
      </c>
    </row>
    <row r="588" spans="2:4" ht="17.25" customHeight="1" thickBot="1" x14ac:dyDescent="0.35">
      <c r="B588" s="214"/>
      <c r="C588" s="232">
        <f t="shared" si="9"/>
        <v>0</v>
      </c>
      <c r="D588" s="215" t="s">
        <v>1969</v>
      </c>
    </row>
    <row r="589" spans="2:4" ht="17.25" customHeight="1" thickBot="1" x14ac:dyDescent="0.35">
      <c r="B589" s="211">
        <v>6321</v>
      </c>
      <c r="C589" s="232">
        <f t="shared" si="9"/>
        <v>-6321</v>
      </c>
      <c r="D589" s="218"/>
    </row>
    <row r="590" spans="2:4" ht="17.25" customHeight="1" thickBot="1" x14ac:dyDescent="0.35">
      <c r="B590" s="214"/>
      <c r="C590" s="232">
        <f t="shared" si="9"/>
        <v>0</v>
      </c>
      <c r="D590" s="217" t="s">
        <v>2329</v>
      </c>
    </row>
    <row r="591" spans="2:4" ht="17.25" customHeight="1" thickBot="1" x14ac:dyDescent="0.35">
      <c r="B591" s="228">
        <v>7111</v>
      </c>
      <c r="C591" s="232">
        <f t="shared" si="9"/>
        <v>-7111</v>
      </c>
      <c r="D591" s="212" t="s">
        <v>2330</v>
      </c>
    </row>
    <row r="592" spans="2:4" ht="17.25" customHeight="1" thickBot="1" x14ac:dyDescent="0.35">
      <c r="B592" s="224">
        <v>7112</v>
      </c>
      <c r="C592" s="232">
        <f t="shared" si="9"/>
        <v>-7112</v>
      </c>
      <c r="D592" s="225" t="s">
        <v>2331</v>
      </c>
    </row>
    <row r="593" spans="2:4" ht="17.25" customHeight="1" thickBot="1" x14ac:dyDescent="0.35">
      <c r="B593" s="211">
        <v>7121</v>
      </c>
      <c r="C593" s="232">
        <f t="shared" si="9"/>
        <v>-7121</v>
      </c>
      <c r="D593" s="212" t="s">
        <v>2332</v>
      </c>
    </row>
    <row r="594" spans="2:4" ht="17.25" customHeight="1" thickBot="1" x14ac:dyDescent="0.35">
      <c r="B594" s="220">
        <v>7122</v>
      </c>
      <c r="C594" s="232">
        <f t="shared" si="9"/>
        <v>-7122</v>
      </c>
      <c r="D594" s="217" t="s">
        <v>2333</v>
      </c>
    </row>
    <row r="595" spans="2:4" ht="17.25" customHeight="1" thickBot="1" x14ac:dyDescent="0.35">
      <c r="B595" s="229"/>
      <c r="C595" s="232">
        <f t="shared" si="9"/>
        <v>0</v>
      </c>
      <c r="D595" s="212" t="s">
        <v>2334</v>
      </c>
    </row>
    <row r="596" spans="2:4" ht="17.25" customHeight="1" thickBot="1" x14ac:dyDescent="0.35">
      <c r="B596" s="220">
        <v>7123</v>
      </c>
      <c r="C596" s="232">
        <f t="shared" si="9"/>
        <v>-7123</v>
      </c>
      <c r="D596" s="217" t="s">
        <v>2335</v>
      </c>
    </row>
    <row r="597" spans="2:4" ht="17.25" customHeight="1" thickBot="1" x14ac:dyDescent="0.35">
      <c r="B597" s="229"/>
      <c r="C597" s="232">
        <f t="shared" si="9"/>
        <v>0</v>
      </c>
      <c r="D597" s="212" t="s">
        <v>2336</v>
      </c>
    </row>
    <row r="598" spans="2:4" ht="17.25" customHeight="1" thickBot="1" x14ac:dyDescent="0.35">
      <c r="B598" s="211">
        <v>7124</v>
      </c>
      <c r="C598" s="232">
        <f t="shared" si="9"/>
        <v>-7124</v>
      </c>
      <c r="D598" s="212" t="s">
        <v>2337</v>
      </c>
    </row>
    <row r="599" spans="2:4" ht="17.25" customHeight="1" thickBot="1" x14ac:dyDescent="0.35">
      <c r="B599" s="214"/>
      <c r="C599" s="232">
        <f t="shared" si="9"/>
        <v>0</v>
      </c>
      <c r="D599" s="215" t="s">
        <v>2338</v>
      </c>
    </row>
    <row r="600" spans="2:4" ht="17.25" customHeight="1" thickBot="1" x14ac:dyDescent="0.35">
      <c r="B600" s="214"/>
      <c r="C600" s="232">
        <f t="shared" si="9"/>
        <v>0</v>
      </c>
      <c r="D600" s="215" t="s">
        <v>2339</v>
      </c>
    </row>
    <row r="601" spans="2:4" ht="17.25" customHeight="1" thickBot="1" x14ac:dyDescent="0.35">
      <c r="B601" s="211">
        <v>7211</v>
      </c>
      <c r="C601" s="232">
        <f t="shared" si="9"/>
        <v>-7211</v>
      </c>
      <c r="D601" s="218"/>
    </row>
    <row r="602" spans="2:4" ht="17.25" customHeight="1" thickBot="1" x14ac:dyDescent="0.35">
      <c r="B602" s="214"/>
      <c r="C602" s="232">
        <f t="shared" si="9"/>
        <v>0</v>
      </c>
      <c r="D602" s="215" t="s">
        <v>2340</v>
      </c>
    </row>
    <row r="603" spans="2:4" ht="17.25" customHeight="1" thickBot="1" x14ac:dyDescent="0.35">
      <c r="B603" s="214"/>
      <c r="C603" s="232">
        <f t="shared" si="9"/>
        <v>0</v>
      </c>
      <c r="D603" s="215" t="s">
        <v>2341</v>
      </c>
    </row>
    <row r="604" spans="2:4" ht="17.25" customHeight="1" thickBot="1" x14ac:dyDescent="0.35">
      <c r="B604" s="211">
        <v>7221</v>
      </c>
      <c r="C604" s="232">
        <f t="shared" si="9"/>
        <v>-7221</v>
      </c>
      <c r="D604" s="218"/>
    </row>
    <row r="605" spans="2:4" ht="17.25" customHeight="1" thickBot="1" x14ac:dyDescent="0.35">
      <c r="B605" s="214"/>
      <c r="C605" s="232">
        <f t="shared" si="9"/>
        <v>0</v>
      </c>
      <c r="D605" s="401" t="s">
        <v>2342</v>
      </c>
    </row>
    <row r="606" spans="2:4" ht="17.25" customHeight="1" thickBot="1" x14ac:dyDescent="0.35">
      <c r="B606" s="211">
        <v>7231</v>
      </c>
      <c r="C606" s="232">
        <f t="shared" si="9"/>
        <v>-7231</v>
      </c>
      <c r="D606" s="402"/>
    </row>
    <row r="607" spans="2:4" ht="17.25" customHeight="1" thickBot="1" x14ac:dyDescent="0.35">
      <c r="B607" s="214"/>
      <c r="C607" s="232">
        <f t="shared" si="9"/>
        <v>0</v>
      </c>
      <c r="D607" s="215" t="s">
        <v>2343</v>
      </c>
    </row>
    <row r="608" spans="2:4" ht="17.25" customHeight="1" thickBot="1" x14ac:dyDescent="0.35">
      <c r="B608" s="229">
        <v>7241</v>
      </c>
      <c r="C608" s="232">
        <f t="shared" si="9"/>
        <v>-7241</v>
      </c>
      <c r="D608" s="216" t="s">
        <v>2344</v>
      </c>
    </row>
    <row r="609" spans="2:4" ht="17.25" customHeight="1" thickBot="1" x14ac:dyDescent="0.35">
      <c r="B609" s="214"/>
      <c r="C609" s="232">
        <f t="shared" si="9"/>
        <v>0</v>
      </c>
      <c r="D609" s="401" t="s">
        <v>2345</v>
      </c>
    </row>
    <row r="610" spans="2:4" ht="17.25" customHeight="1" thickBot="1" x14ac:dyDescent="0.35">
      <c r="B610" s="211">
        <v>7251</v>
      </c>
      <c r="C610" s="232">
        <f t="shared" si="9"/>
        <v>-7251</v>
      </c>
      <c r="D610" s="402"/>
    </row>
    <row r="611" spans="2:4" ht="17.25" customHeight="1" thickBot="1" x14ac:dyDescent="0.35">
      <c r="B611" s="214"/>
      <c r="C611" s="232">
        <f t="shared" si="9"/>
        <v>0</v>
      </c>
      <c r="D611" s="215" t="s">
        <v>2346</v>
      </c>
    </row>
    <row r="612" spans="2:4" ht="17.25" customHeight="1" thickBot="1" x14ac:dyDescent="0.35">
      <c r="B612" s="214"/>
      <c r="C612" s="232">
        <f t="shared" si="9"/>
        <v>0</v>
      </c>
      <c r="D612" s="215" t="s">
        <v>2347</v>
      </c>
    </row>
    <row r="613" spans="2:4" ht="17.25" customHeight="1" thickBot="1" x14ac:dyDescent="0.35">
      <c r="B613" s="229">
        <v>7261</v>
      </c>
      <c r="C613" s="232">
        <f t="shared" si="9"/>
        <v>-7261</v>
      </c>
      <c r="D613" s="218"/>
    </row>
    <row r="614" spans="2:4" ht="17.25" customHeight="1" thickBot="1" x14ac:dyDescent="0.35">
      <c r="B614" s="229">
        <v>7271</v>
      </c>
      <c r="C614" s="232">
        <f t="shared" si="9"/>
        <v>-7271</v>
      </c>
      <c r="D614" s="212" t="s">
        <v>2349</v>
      </c>
    </row>
    <row r="615" spans="2:4" ht="17.25" customHeight="1" thickBot="1" x14ac:dyDescent="0.35">
      <c r="B615" s="214"/>
      <c r="C615" s="232">
        <f t="shared" si="9"/>
        <v>0</v>
      </c>
      <c r="D615" s="401" t="s">
        <v>2350</v>
      </c>
    </row>
    <row r="616" spans="2:4" ht="17.25" customHeight="1" thickBot="1" x14ac:dyDescent="0.35">
      <c r="B616" s="211">
        <v>7281</v>
      </c>
      <c r="C616" s="232">
        <f t="shared" si="9"/>
        <v>-7281</v>
      </c>
      <c r="D616" s="402"/>
    </row>
    <row r="617" spans="2:4" ht="17.25" customHeight="1" thickBot="1" x14ac:dyDescent="0.35">
      <c r="B617" s="214"/>
      <c r="C617" s="232">
        <f t="shared" si="9"/>
        <v>0</v>
      </c>
      <c r="D617" s="217" t="s">
        <v>2351</v>
      </c>
    </row>
    <row r="618" spans="2:4" ht="17.25" customHeight="1" thickBot="1" x14ac:dyDescent="0.35">
      <c r="B618" s="229">
        <v>7291</v>
      </c>
      <c r="C618" s="232">
        <f t="shared" si="9"/>
        <v>-7291</v>
      </c>
      <c r="D618" s="212" t="s">
        <v>2352</v>
      </c>
    </row>
    <row r="619" spans="2:4" ht="17.25" customHeight="1" thickBot="1" x14ac:dyDescent="0.35">
      <c r="B619" s="214"/>
      <c r="C619" s="232">
        <f t="shared" si="9"/>
        <v>0</v>
      </c>
      <c r="D619" s="217" t="s">
        <v>2353</v>
      </c>
    </row>
    <row r="620" spans="2:4" ht="17.25" customHeight="1" thickBot="1" x14ac:dyDescent="0.35">
      <c r="B620" s="211">
        <v>7311</v>
      </c>
      <c r="C620" s="232">
        <f t="shared" si="9"/>
        <v>-7311</v>
      </c>
      <c r="D620" s="212" t="s">
        <v>2354</v>
      </c>
    </row>
    <row r="621" spans="2:4" ht="17.25" customHeight="1" thickBot="1" x14ac:dyDescent="0.35">
      <c r="B621" s="214"/>
      <c r="C621" s="232">
        <f t="shared" si="9"/>
        <v>0</v>
      </c>
      <c r="D621" s="215" t="s">
        <v>2355</v>
      </c>
    </row>
    <row r="622" spans="2:4" ht="17.25" customHeight="1" thickBot="1" x14ac:dyDescent="0.35">
      <c r="B622" s="214"/>
      <c r="C622" s="232">
        <f t="shared" si="9"/>
        <v>0</v>
      </c>
      <c r="D622" s="215" t="s">
        <v>2348</v>
      </c>
    </row>
    <row r="623" spans="2:4" ht="17.25" customHeight="1" thickBot="1" x14ac:dyDescent="0.35">
      <c r="B623" s="211">
        <v>7331</v>
      </c>
      <c r="C623" s="232">
        <f t="shared" si="9"/>
        <v>-7331</v>
      </c>
      <c r="D623" s="218"/>
    </row>
    <row r="624" spans="2:4" ht="17.25" customHeight="1" thickBot="1" x14ac:dyDescent="0.35">
      <c r="B624" s="214"/>
      <c r="C624" s="232">
        <f t="shared" si="9"/>
        <v>0</v>
      </c>
      <c r="D624" s="215" t="s">
        <v>2356</v>
      </c>
    </row>
    <row r="625" spans="2:4" ht="17.25" customHeight="1" thickBot="1" x14ac:dyDescent="0.35">
      <c r="B625" s="229">
        <v>7341</v>
      </c>
      <c r="C625" s="232">
        <f t="shared" si="9"/>
        <v>-7341</v>
      </c>
      <c r="D625" s="216" t="s">
        <v>2357</v>
      </c>
    </row>
    <row r="626" spans="2:4" ht="17.25" customHeight="1" thickBot="1" x14ac:dyDescent="0.35">
      <c r="B626" s="220">
        <v>7351</v>
      </c>
      <c r="C626" s="232">
        <f t="shared" si="9"/>
        <v>-7351</v>
      </c>
      <c r="D626" s="217" t="s">
        <v>2358</v>
      </c>
    </row>
    <row r="627" spans="2:4" ht="17.25" customHeight="1" thickBot="1" x14ac:dyDescent="0.35">
      <c r="B627" s="229"/>
      <c r="C627" s="232">
        <f t="shared" si="9"/>
        <v>0</v>
      </c>
      <c r="D627" s="212" t="s">
        <v>2357</v>
      </c>
    </row>
    <row r="628" spans="2:4" ht="17.25" customHeight="1" thickBot="1" x14ac:dyDescent="0.35">
      <c r="B628" s="214"/>
      <c r="C628" s="232">
        <f t="shared" si="9"/>
        <v>0</v>
      </c>
      <c r="D628" s="217" t="s">
        <v>2359</v>
      </c>
    </row>
    <row r="629" spans="2:4" ht="17.25" customHeight="1" thickBot="1" x14ac:dyDescent="0.35">
      <c r="B629" s="211">
        <v>7391</v>
      </c>
      <c r="C629" s="232">
        <f t="shared" si="9"/>
        <v>-7391</v>
      </c>
      <c r="D629" s="212" t="s">
        <v>2360</v>
      </c>
    </row>
    <row r="630" spans="2:4" ht="17.25" customHeight="1" thickBot="1" x14ac:dyDescent="0.35">
      <c r="B630" s="220">
        <v>7392</v>
      </c>
      <c r="C630" s="232">
        <f t="shared" si="9"/>
        <v>-7392</v>
      </c>
      <c r="D630" s="217" t="s">
        <v>2361</v>
      </c>
    </row>
    <row r="631" spans="2:4" ht="17.25" customHeight="1" thickBot="1" x14ac:dyDescent="0.35">
      <c r="B631" s="229"/>
      <c r="C631" s="232">
        <f t="shared" si="9"/>
        <v>0</v>
      </c>
      <c r="D631" s="212" t="s">
        <v>2362</v>
      </c>
    </row>
    <row r="632" spans="2:4" ht="17.25" customHeight="1" thickBot="1" x14ac:dyDescent="0.35">
      <c r="B632" s="211">
        <v>7393</v>
      </c>
      <c r="C632" s="232">
        <f t="shared" si="9"/>
        <v>-7393</v>
      </c>
      <c r="D632" s="216" t="s">
        <v>2363</v>
      </c>
    </row>
    <row r="633" spans="2:4" ht="17.25" customHeight="1" thickBot="1" x14ac:dyDescent="0.35">
      <c r="B633" s="220">
        <v>7411</v>
      </c>
      <c r="C633" s="232">
        <f t="shared" si="9"/>
        <v>-7411</v>
      </c>
      <c r="D633" s="217" t="s">
        <v>2364</v>
      </c>
    </row>
    <row r="634" spans="2:4" ht="17.25" customHeight="1" thickBot="1" x14ac:dyDescent="0.35">
      <c r="B634" s="229"/>
      <c r="C634" s="232">
        <f t="shared" si="9"/>
        <v>0</v>
      </c>
      <c r="D634" s="212" t="s">
        <v>2365</v>
      </c>
    </row>
    <row r="635" spans="2:4" ht="17.25" customHeight="1" thickBot="1" x14ac:dyDescent="0.35">
      <c r="B635" s="220">
        <v>7421</v>
      </c>
      <c r="C635" s="232">
        <f t="shared" si="9"/>
        <v>-7421</v>
      </c>
      <c r="D635" s="217" t="s">
        <v>2366</v>
      </c>
    </row>
    <row r="636" spans="2:4" ht="17.25" customHeight="1" thickBot="1" x14ac:dyDescent="0.35">
      <c r="B636" s="229"/>
      <c r="C636" s="232">
        <f t="shared" si="9"/>
        <v>0</v>
      </c>
      <c r="D636" s="212" t="s">
        <v>2367</v>
      </c>
    </row>
    <row r="637" spans="2:4" ht="17.25" customHeight="1" thickBot="1" x14ac:dyDescent="0.35">
      <c r="B637" s="211">
        <v>7431</v>
      </c>
      <c r="C637" s="232">
        <f t="shared" si="9"/>
        <v>-7431</v>
      </c>
      <c r="D637" s="212" t="s">
        <v>2368</v>
      </c>
    </row>
    <row r="638" spans="2:4" ht="17.25" customHeight="1" thickBot="1" x14ac:dyDescent="0.35">
      <c r="B638" s="211">
        <v>7441</v>
      </c>
      <c r="C638" s="232">
        <f t="shared" si="9"/>
        <v>-7441</v>
      </c>
      <c r="D638" s="212" t="s">
        <v>2369</v>
      </c>
    </row>
    <row r="639" spans="2:4" ht="17.25" customHeight="1" thickBot="1" x14ac:dyDescent="0.35">
      <c r="B639" s="220">
        <v>7451</v>
      </c>
      <c r="C639" s="232">
        <f t="shared" si="9"/>
        <v>-7451</v>
      </c>
      <c r="D639" s="217" t="s">
        <v>2370</v>
      </c>
    </row>
    <row r="640" spans="2:4" ht="17.25" customHeight="1" thickBot="1" x14ac:dyDescent="0.35">
      <c r="B640" s="229"/>
      <c r="C640" s="232">
        <f t="shared" si="9"/>
        <v>0</v>
      </c>
      <c r="D640" s="212" t="s">
        <v>2371</v>
      </c>
    </row>
    <row r="641" spans="2:4" ht="17.25" customHeight="1" thickBot="1" x14ac:dyDescent="0.35">
      <c r="B641" s="211">
        <v>7461</v>
      </c>
      <c r="C641" s="232">
        <f t="shared" ref="C641:C647" si="10">A641-B641</f>
        <v>-7461</v>
      </c>
      <c r="D641" s="212" t="s">
        <v>2372</v>
      </c>
    </row>
    <row r="642" spans="2:4" ht="17.25" customHeight="1" thickBot="1" x14ac:dyDescent="0.35">
      <c r="B642" s="211">
        <v>7471</v>
      </c>
      <c r="C642" s="232">
        <f t="shared" si="10"/>
        <v>-7471</v>
      </c>
      <c r="D642" s="212" t="s">
        <v>2373</v>
      </c>
    </row>
    <row r="643" spans="2:4" ht="17.25" customHeight="1" thickBot="1" x14ac:dyDescent="0.35">
      <c r="B643" s="220">
        <v>7481</v>
      </c>
      <c r="C643" s="232">
        <f t="shared" si="10"/>
        <v>-7481</v>
      </c>
      <c r="D643" s="217" t="s">
        <v>2374</v>
      </c>
    </row>
    <row r="644" spans="2:4" ht="17.25" customHeight="1" thickBot="1" x14ac:dyDescent="0.35">
      <c r="B644" s="229"/>
      <c r="C644" s="232">
        <f t="shared" si="10"/>
        <v>0</v>
      </c>
      <c r="D644" s="212" t="s">
        <v>2375</v>
      </c>
    </row>
    <row r="645" spans="2:4" ht="17.25" customHeight="1" thickBot="1" x14ac:dyDescent="0.35">
      <c r="B645" s="220">
        <v>7491</v>
      </c>
      <c r="C645" s="232">
        <f t="shared" si="10"/>
        <v>-7491</v>
      </c>
      <c r="D645" s="217" t="s">
        <v>2376</v>
      </c>
    </row>
    <row r="646" spans="2:4" ht="17.25" customHeight="1" thickBot="1" x14ac:dyDescent="0.35">
      <c r="B646" s="229"/>
      <c r="C646" s="232">
        <f t="shared" si="10"/>
        <v>0</v>
      </c>
      <c r="D646" s="212" t="s">
        <v>2377</v>
      </c>
    </row>
    <row r="647" spans="2:4" ht="17.25" customHeight="1" thickBot="1" x14ac:dyDescent="0.35">
      <c r="B647" s="211">
        <v>7511</v>
      </c>
      <c r="C647" s="232">
        <f t="shared" si="10"/>
        <v>-7511</v>
      </c>
      <c r="D647" s="212" t="s">
        <v>2378</v>
      </c>
    </row>
    <row r="648" spans="2:4" ht="17.25" customHeight="1" x14ac:dyDescent="0.3"/>
    <row r="649" spans="2:4" ht="17.25" customHeight="1" thickBot="1" x14ac:dyDescent="0.35">
      <c r="B649" s="213"/>
      <c r="C649" s="213"/>
    </row>
    <row r="650" spans="2:4" ht="17.25" customHeight="1" x14ac:dyDescent="0.3">
      <c r="B650" s="220">
        <v>7521</v>
      </c>
      <c r="C650" s="217"/>
      <c r="D650" s="217" t="s">
        <v>2379</v>
      </c>
    </row>
    <row r="651" spans="2:4" ht="17.25" customHeight="1" thickBot="1" x14ac:dyDescent="0.35">
      <c r="B651" s="229"/>
      <c r="C651" s="212"/>
      <c r="D651" s="212" t="s">
        <v>2380</v>
      </c>
    </row>
    <row r="652" spans="2:4" ht="17.25" customHeight="1" thickBot="1" x14ac:dyDescent="0.35">
      <c r="B652" s="211">
        <v>7531</v>
      </c>
      <c r="C652" s="232"/>
      <c r="D652" s="212" t="s">
        <v>2381</v>
      </c>
    </row>
    <row r="653" spans="2:4" ht="17.25" customHeight="1" x14ac:dyDescent="0.3">
      <c r="B653" s="220">
        <v>7541</v>
      </c>
      <c r="C653" s="217"/>
      <c r="D653" s="217" t="s">
        <v>2382</v>
      </c>
    </row>
    <row r="654" spans="2:4" ht="17.25" customHeight="1" thickBot="1" x14ac:dyDescent="0.35">
      <c r="B654" s="229"/>
      <c r="C654" s="212"/>
      <c r="D654" s="212" t="s">
        <v>2383</v>
      </c>
    </row>
    <row r="655" spans="2:4" ht="17.25" customHeight="1" thickBot="1" x14ac:dyDescent="0.35">
      <c r="B655" s="211">
        <v>7551</v>
      </c>
      <c r="C655" s="232"/>
      <c r="D655" s="212" t="s">
        <v>2384</v>
      </c>
    </row>
    <row r="656" spans="2:4" ht="17.25" customHeight="1" thickBot="1" x14ac:dyDescent="0.35">
      <c r="B656" s="211">
        <v>7561</v>
      </c>
      <c r="C656" s="232"/>
      <c r="D656" s="212" t="s">
        <v>2385</v>
      </c>
    </row>
    <row r="657" spans="2:4" ht="17.25" customHeight="1" x14ac:dyDescent="0.3">
      <c r="B657" s="220">
        <v>7571</v>
      </c>
      <c r="C657" s="217"/>
      <c r="D657" s="217" t="s">
        <v>2386</v>
      </c>
    </row>
    <row r="658" spans="2:4" ht="17.25" customHeight="1" thickBot="1" x14ac:dyDescent="0.35">
      <c r="B658" s="229"/>
      <c r="C658" s="212"/>
      <c r="D658" s="212" t="s">
        <v>2387</v>
      </c>
    </row>
    <row r="659" spans="2:4" ht="17.25" customHeight="1" thickBot="1" x14ac:dyDescent="0.35">
      <c r="B659" s="211">
        <v>7581</v>
      </c>
      <c r="C659" s="232"/>
      <c r="D659" s="212" t="s">
        <v>2388</v>
      </c>
    </row>
    <row r="660" spans="2:4" ht="17.25" customHeight="1" thickBot="1" x14ac:dyDescent="0.35">
      <c r="B660" s="211">
        <v>7591</v>
      </c>
      <c r="C660" s="232"/>
      <c r="D660" s="212" t="s">
        <v>2389</v>
      </c>
    </row>
    <row r="661" spans="2:4" ht="17.25" customHeight="1" thickBot="1" x14ac:dyDescent="0.35">
      <c r="B661" s="211">
        <v>7611</v>
      </c>
      <c r="C661" s="232"/>
      <c r="D661" s="212" t="s">
        <v>2390</v>
      </c>
    </row>
    <row r="662" spans="2:4" ht="17.25" customHeight="1" thickBot="1" x14ac:dyDescent="0.35">
      <c r="B662" s="211">
        <v>7621</v>
      </c>
      <c r="C662" s="232"/>
      <c r="D662" s="212" t="s">
        <v>2391</v>
      </c>
    </row>
    <row r="663" spans="2:4" ht="17.25" customHeight="1" x14ac:dyDescent="0.3">
      <c r="B663" s="214"/>
      <c r="C663" s="217"/>
      <c r="D663" s="215" t="s">
        <v>2392</v>
      </c>
    </row>
    <row r="664" spans="2:4" ht="17.25" customHeight="1" thickBot="1" x14ac:dyDescent="0.35">
      <c r="B664" s="211">
        <v>7911</v>
      </c>
      <c r="C664" s="232"/>
      <c r="D664" s="216" t="s">
        <v>2393</v>
      </c>
    </row>
    <row r="665" spans="2:4" ht="17.25" customHeight="1" x14ac:dyDescent="0.3">
      <c r="B665" s="214"/>
      <c r="C665" s="217"/>
      <c r="D665" s="215" t="s">
        <v>2394</v>
      </c>
    </row>
    <row r="666" spans="2:4" ht="17.25" customHeight="1" thickBot="1" x14ac:dyDescent="0.35">
      <c r="B666" s="211">
        <v>7921</v>
      </c>
      <c r="C666" s="232"/>
      <c r="D666" s="216" t="s">
        <v>2395</v>
      </c>
    </row>
    <row r="667" spans="2:4" ht="17.25" customHeight="1" x14ac:dyDescent="0.3">
      <c r="B667" s="214"/>
      <c r="C667" s="217"/>
      <c r="D667" s="215" t="s">
        <v>2396</v>
      </c>
    </row>
    <row r="668" spans="2:4" ht="17.25" customHeight="1" thickBot="1" x14ac:dyDescent="0.35">
      <c r="B668" s="211">
        <v>7991</v>
      </c>
      <c r="C668" s="232"/>
      <c r="D668" s="216" t="s">
        <v>2397</v>
      </c>
    </row>
    <row r="669" spans="2:4" ht="17.25" customHeight="1" x14ac:dyDescent="0.3">
      <c r="B669" s="214"/>
      <c r="C669" s="217"/>
      <c r="D669" s="227" t="s">
        <v>2460</v>
      </c>
    </row>
    <row r="670" spans="2:4" ht="17.25" customHeight="1" thickBot="1" x14ac:dyDescent="0.35">
      <c r="B670" s="211">
        <v>8111</v>
      </c>
      <c r="C670" s="232"/>
      <c r="D670" s="212" t="s">
        <v>2398</v>
      </c>
    </row>
    <row r="671" spans="2:4" ht="17.25" customHeight="1" thickBot="1" x14ac:dyDescent="0.35">
      <c r="B671" s="211">
        <v>8121</v>
      </c>
      <c r="C671" s="232"/>
      <c r="D671" s="212" t="s">
        <v>2399</v>
      </c>
    </row>
    <row r="672" spans="2:4" ht="17.25" customHeight="1" thickBot="1" x14ac:dyDescent="0.35">
      <c r="B672" s="211">
        <v>8131</v>
      </c>
      <c r="C672" s="232"/>
      <c r="D672" s="212" t="s">
        <v>2400</v>
      </c>
    </row>
    <row r="673" spans="2:4" ht="17.25" customHeight="1" thickBot="1" x14ac:dyDescent="0.35">
      <c r="B673" s="211">
        <v>8132</v>
      </c>
      <c r="C673" s="232"/>
      <c r="D673" s="212" t="s">
        <v>2401</v>
      </c>
    </row>
    <row r="674" spans="2:4" ht="17.25" customHeight="1" x14ac:dyDescent="0.3">
      <c r="B674" s="214"/>
      <c r="C674" s="217"/>
      <c r="D674" s="215" t="s">
        <v>2402</v>
      </c>
    </row>
    <row r="675" spans="2:4" ht="17.25" customHeight="1" x14ac:dyDescent="0.3">
      <c r="B675" s="214"/>
      <c r="C675" s="217"/>
      <c r="D675" s="215" t="s">
        <v>2403</v>
      </c>
    </row>
    <row r="676" spans="2:4" ht="17.25" customHeight="1" x14ac:dyDescent="0.3">
      <c r="B676" s="214"/>
      <c r="C676" s="217"/>
      <c r="D676" s="219"/>
    </row>
    <row r="677" spans="2:4" ht="17.25" customHeight="1" thickBot="1" x14ac:dyDescent="0.35">
      <c r="B677" s="211">
        <v>8141</v>
      </c>
      <c r="C677" s="232"/>
      <c r="D677" s="218"/>
    </row>
    <row r="678" spans="2:4" ht="17.25" customHeight="1" x14ac:dyDescent="0.3">
      <c r="B678" s="214"/>
      <c r="C678" s="217"/>
      <c r="D678" s="215" t="s">
        <v>2404</v>
      </c>
    </row>
    <row r="679" spans="2:4" ht="17.25" customHeight="1" x14ac:dyDescent="0.3">
      <c r="B679" s="214"/>
      <c r="C679" s="217"/>
      <c r="D679" s="215" t="s">
        <v>2405</v>
      </c>
    </row>
    <row r="680" spans="2:4" ht="17.25" customHeight="1" thickBot="1" x14ac:dyDescent="0.35">
      <c r="B680" s="211">
        <v>8151</v>
      </c>
      <c r="C680" s="232"/>
      <c r="D680" s="218"/>
    </row>
    <row r="681" spans="2:4" ht="17.25" customHeight="1" thickBot="1" x14ac:dyDescent="0.35">
      <c r="B681" s="211">
        <v>8161</v>
      </c>
      <c r="C681" s="232"/>
      <c r="D681" s="212" t="s">
        <v>2406</v>
      </c>
    </row>
    <row r="682" spans="2:4" ht="17.25" customHeight="1" x14ac:dyDescent="0.3">
      <c r="B682" s="214"/>
      <c r="C682" s="217"/>
      <c r="D682" s="215" t="s">
        <v>2407</v>
      </c>
    </row>
    <row r="683" spans="2:4" ht="17.25" customHeight="1" thickBot="1" x14ac:dyDescent="0.35">
      <c r="B683" s="211">
        <v>8311</v>
      </c>
      <c r="C683" s="232"/>
      <c r="D683" s="216" t="s">
        <v>2408</v>
      </c>
    </row>
    <row r="684" spans="2:4" ht="17.25" customHeight="1" x14ac:dyDescent="0.3">
      <c r="B684" s="220"/>
      <c r="C684" s="223"/>
      <c r="D684" s="221" t="s">
        <v>2410</v>
      </c>
    </row>
    <row r="685" spans="2:4" ht="17.25" customHeight="1" thickBot="1" x14ac:dyDescent="0.35">
      <c r="B685" s="211">
        <v>8321</v>
      </c>
      <c r="C685" s="232"/>
      <c r="D685" s="216" t="s">
        <v>2409</v>
      </c>
    </row>
    <row r="686" spans="2:4" ht="17.25" customHeight="1" thickBot="1" x14ac:dyDescent="0.35">
      <c r="B686" s="211">
        <v>8331</v>
      </c>
      <c r="C686" s="232"/>
      <c r="D686" s="216" t="s">
        <v>2411</v>
      </c>
    </row>
    <row r="687" spans="2:4" ht="17.25" customHeight="1" thickBot="1" x14ac:dyDescent="0.35">
      <c r="B687" s="211">
        <v>8332</v>
      </c>
      <c r="C687" s="232"/>
      <c r="D687" s="216" t="s">
        <v>2412</v>
      </c>
    </row>
    <row r="688" spans="2:4" ht="17.25" customHeight="1" x14ac:dyDescent="0.3">
      <c r="B688" s="220">
        <v>8341</v>
      </c>
      <c r="C688" s="217"/>
      <c r="D688" s="217" t="s">
        <v>2413</v>
      </c>
    </row>
    <row r="689" spans="2:4" ht="17.25" customHeight="1" thickBot="1" x14ac:dyDescent="0.35">
      <c r="B689" s="229"/>
      <c r="C689" s="212"/>
      <c r="D689" s="212" t="s">
        <v>2414</v>
      </c>
    </row>
    <row r="690" spans="2:4" ht="17.25" customHeight="1" thickBot="1" x14ac:dyDescent="0.35">
      <c r="B690" s="211">
        <v>8351</v>
      </c>
      <c r="C690" s="232"/>
      <c r="D690" s="212" t="s">
        <v>2415</v>
      </c>
    </row>
    <row r="691" spans="2:4" ht="17.25" customHeight="1" x14ac:dyDescent="0.3">
      <c r="B691" s="220">
        <v>8511</v>
      </c>
      <c r="C691" s="217"/>
      <c r="D691" s="217" t="s">
        <v>2416</v>
      </c>
    </row>
    <row r="692" spans="2:4" ht="17.25" customHeight="1" thickBot="1" x14ac:dyDescent="0.35">
      <c r="B692" s="229"/>
      <c r="C692" s="212"/>
      <c r="D692" s="212" t="s">
        <v>2417</v>
      </c>
    </row>
    <row r="693" spans="2:4" ht="17.25" customHeight="1" thickBot="1" x14ac:dyDescent="0.35">
      <c r="B693" s="211">
        <v>8521</v>
      </c>
      <c r="C693" s="232"/>
      <c r="D693" s="212" t="s">
        <v>2418</v>
      </c>
    </row>
    <row r="694" spans="2:4" ht="17.25" customHeight="1" x14ac:dyDescent="0.3">
      <c r="B694" s="220">
        <v>8531</v>
      </c>
      <c r="C694" s="217"/>
      <c r="D694" s="217" t="s">
        <v>2419</v>
      </c>
    </row>
    <row r="695" spans="2:4" ht="17.25" customHeight="1" thickBot="1" x14ac:dyDescent="0.35">
      <c r="B695" s="229"/>
      <c r="C695" s="212"/>
      <c r="D695" s="212" t="s">
        <v>2420</v>
      </c>
    </row>
    <row r="696" spans="2:4" ht="17.25" customHeight="1" x14ac:dyDescent="0.3">
      <c r="B696" s="226"/>
      <c r="C696" s="226"/>
    </row>
    <row r="697" spans="2:4" ht="17.25" customHeight="1" thickBot="1" x14ac:dyDescent="0.35">
      <c r="B697" s="229">
        <v>9111</v>
      </c>
      <c r="C697" s="212"/>
      <c r="D697" s="212" t="s">
        <v>2421</v>
      </c>
    </row>
    <row r="698" spans="2:4" ht="17.25" customHeight="1" thickBot="1" x14ac:dyDescent="0.35">
      <c r="B698" s="229">
        <v>9112</v>
      </c>
      <c r="C698" s="212"/>
      <c r="D698" s="212" t="s">
        <v>2422</v>
      </c>
    </row>
    <row r="699" spans="2:4" ht="17.25" customHeight="1" x14ac:dyDescent="0.3">
      <c r="B699" s="220">
        <v>9121</v>
      </c>
      <c r="C699" s="217"/>
      <c r="D699" s="217" t="s">
        <v>2423</v>
      </c>
    </row>
    <row r="700" spans="2:4" ht="17.25" customHeight="1" thickBot="1" x14ac:dyDescent="0.35">
      <c r="B700" s="229"/>
      <c r="C700" s="212"/>
      <c r="D700" s="212" t="s">
        <v>2424</v>
      </c>
    </row>
    <row r="701" spans="2:4" ht="17.25" customHeight="1" x14ac:dyDescent="0.3">
      <c r="B701" s="220">
        <v>9131</v>
      </c>
      <c r="C701" s="217"/>
      <c r="D701" s="217" t="s">
        <v>2425</v>
      </c>
    </row>
    <row r="702" spans="2:4" ht="17.25" customHeight="1" thickBot="1" x14ac:dyDescent="0.35">
      <c r="B702" s="229"/>
      <c r="C702" s="212"/>
      <c r="D702" s="212" t="s">
        <v>2426</v>
      </c>
    </row>
    <row r="703" spans="2:4" ht="17.25" customHeight="1" x14ac:dyDescent="0.3">
      <c r="B703" s="220">
        <v>9141</v>
      </c>
      <c r="C703" s="217"/>
      <c r="D703" s="217" t="s">
        <v>2427</v>
      </c>
    </row>
    <row r="704" spans="2:4" ht="17.25" customHeight="1" thickBot="1" x14ac:dyDescent="0.35">
      <c r="B704" s="229"/>
      <c r="C704" s="212"/>
      <c r="D704" s="212" t="s">
        <v>2428</v>
      </c>
    </row>
    <row r="705" spans="2:4" ht="17.25" customHeight="1" thickBot="1" x14ac:dyDescent="0.35">
      <c r="B705" s="211">
        <v>9151</v>
      </c>
      <c r="C705" s="232"/>
      <c r="D705" s="216" t="s">
        <v>2429</v>
      </c>
    </row>
    <row r="706" spans="2:4" ht="17.25" customHeight="1" thickBot="1" x14ac:dyDescent="0.35">
      <c r="B706" s="224">
        <v>9161</v>
      </c>
      <c r="C706" s="233"/>
      <c r="D706" s="225" t="s">
        <v>2430</v>
      </c>
    </row>
    <row r="707" spans="2:4" ht="17.25" customHeight="1" thickBot="1" x14ac:dyDescent="0.35">
      <c r="B707" s="211">
        <v>9171</v>
      </c>
      <c r="C707" s="232"/>
      <c r="D707" s="212" t="s">
        <v>2431</v>
      </c>
    </row>
    <row r="708" spans="2:4" ht="17.25" customHeight="1" thickBot="1" x14ac:dyDescent="0.35">
      <c r="B708" s="211">
        <v>9181</v>
      </c>
      <c r="C708" s="232"/>
      <c r="D708" s="212" t="s">
        <v>2432</v>
      </c>
    </row>
    <row r="709" spans="2:4" ht="17.25" customHeight="1" thickBot="1" x14ac:dyDescent="0.35">
      <c r="B709" s="229">
        <v>9211</v>
      </c>
      <c r="C709" s="212"/>
      <c r="D709" s="212" t="s">
        <v>2433</v>
      </c>
    </row>
    <row r="710" spans="2:4" ht="17.25" customHeight="1" thickBot="1" x14ac:dyDescent="0.35">
      <c r="B710" s="229">
        <v>9221</v>
      </c>
      <c r="C710" s="212"/>
      <c r="D710" s="212" t="s">
        <v>2434</v>
      </c>
    </row>
    <row r="711" spans="2:4" ht="17.25" customHeight="1" thickBot="1" x14ac:dyDescent="0.35">
      <c r="B711" s="211">
        <v>9231</v>
      </c>
      <c r="C711" s="232"/>
      <c r="D711" s="212" t="s">
        <v>2435</v>
      </c>
    </row>
    <row r="712" spans="2:4" ht="17.25" customHeight="1" thickBot="1" x14ac:dyDescent="0.35">
      <c r="B712" s="211">
        <v>9241</v>
      </c>
      <c r="C712" s="232"/>
      <c r="D712" s="212" t="s">
        <v>2436</v>
      </c>
    </row>
    <row r="713" spans="2:4" ht="17.25" customHeight="1" x14ac:dyDescent="0.3">
      <c r="B713" s="214"/>
      <c r="C713" s="214"/>
      <c r="D713" s="401" t="s">
        <v>2437</v>
      </c>
    </row>
    <row r="714" spans="2:4" ht="17.25" customHeight="1" thickBot="1" x14ac:dyDescent="0.35">
      <c r="B714" s="229">
        <v>9251</v>
      </c>
      <c r="C714" s="229"/>
      <c r="D714" s="402"/>
    </row>
    <row r="715" spans="2:4" ht="17.25" customHeight="1" thickBot="1" x14ac:dyDescent="0.35">
      <c r="B715" s="211">
        <v>9261</v>
      </c>
      <c r="C715" s="232"/>
      <c r="D715" s="212" t="s">
        <v>2438</v>
      </c>
    </row>
    <row r="716" spans="2:4" ht="17.25" customHeight="1" thickBot="1" x14ac:dyDescent="0.35">
      <c r="B716" s="229">
        <v>9271</v>
      </c>
      <c r="C716" s="212"/>
      <c r="D716" s="212" t="s">
        <v>2439</v>
      </c>
    </row>
    <row r="717" spans="2:4" ht="17.25" customHeight="1" x14ac:dyDescent="0.3">
      <c r="B717" s="214"/>
      <c r="C717" s="217"/>
      <c r="D717" s="217" t="s">
        <v>2440</v>
      </c>
    </row>
    <row r="718" spans="2:4" ht="17.25" customHeight="1" thickBot="1" x14ac:dyDescent="0.35">
      <c r="B718" s="211">
        <v>9281</v>
      </c>
      <c r="C718" s="232"/>
      <c r="D718" s="212" t="s">
        <v>2441</v>
      </c>
    </row>
    <row r="719" spans="2:4" ht="17.25" customHeight="1" thickBot="1" x14ac:dyDescent="0.35">
      <c r="B719" s="211">
        <v>9311</v>
      </c>
      <c r="C719" s="232"/>
      <c r="D719" s="212" t="s">
        <v>2442</v>
      </c>
    </row>
    <row r="720" spans="2:4" ht="17.25" customHeight="1" thickBot="1" x14ac:dyDescent="0.35">
      <c r="B720" s="211">
        <v>9321</v>
      </c>
      <c r="C720" s="232"/>
      <c r="D720" s="212" t="s">
        <v>2443</v>
      </c>
    </row>
    <row r="721" spans="2:4" ht="17.25" customHeight="1" x14ac:dyDescent="0.3">
      <c r="B721" s="214"/>
      <c r="C721" s="214"/>
      <c r="D721" s="401" t="s">
        <v>2444</v>
      </c>
    </row>
    <row r="722" spans="2:4" ht="17.25" customHeight="1" thickBot="1" x14ac:dyDescent="0.35">
      <c r="B722" s="211">
        <v>9411</v>
      </c>
      <c r="C722" s="211"/>
      <c r="D722" s="402"/>
    </row>
    <row r="723" spans="2:4" ht="17.25" customHeight="1" x14ac:dyDescent="0.3">
      <c r="B723" s="214"/>
      <c r="C723" s="217"/>
      <c r="D723" s="215" t="s">
        <v>2445</v>
      </c>
    </row>
    <row r="724" spans="2:4" ht="17.25" customHeight="1" thickBot="1" x14ac:dyDescent="0.35">
      <c r="B724" s="229">
        <v>9421</v>
      </c>
      <c r="C724" s="212"/>
      <c r="D724" s="216" t="s">
        <v>2446</v>
      </c>
    </row>
    <row r="725" spans="2:4" ht="17.25" customHeight="1" x14ac:dyDescent="0.3">
      <c r="B725" s="220">
        <v>9511</v>
      </c>
      <c r="C725" s="217"/>
      <c r="D725" s="217" t="s">
        <v>2447</v>
      </c>
    </row>
    <row r="726" spans="2:4" ht="17.25" customHeight="1" thickBot="1" x14ac:dyDescent="0.35">
      <c r="B726" s="229"/>
      <c r="C726" s="212"/>
      <c r="D726" s="212" t="s">
        <v>2448</v>
      </c>
    </row>
    <row r="727" spans="2:4" ht="17.25" customHeight="1" thickBot="1" x14ac:dyDescent="0.35">
      <c r="B727" s="211">
        <v>9512</v>
      </c>
      <c r="C727" s="232"/>
      <c r="D727" s="216" t="s">
        <v>2449</v>
      </c>
    </row>
    <row r="728" spans="2:4" ht="17.25" customHeight="1" x14ac:dyDescent="0.3">
      <c r="B728" s="220">
        <v>9611</v>
      </c>
      <c r="C728" s="217"/>
      <c r="D728" s="217" t="s">
        <v>2450</v>
      </c>
    </row>
    <row r="729" spans="2:4" ht="17.25" customHeight="1" thickBot="1" x14ac:dyDescent="0.35">
      <c r="B729" s="229"/>
      <c r="C729" s="212"/>
      <c r="D729" s="212" t="s">
        <v>2451</v>
      </c>
    </row>
    <row r="730" spans="2:4" ht="17.25" customHeight="1" thickBot="1" x14ac:dyDescent="0.35">
      <c r="B730" s="211">
        <v>9621</v>
      </c>
      <c r="C730" s="232"/>
      <c r="D730" s="212" t="s">
        <v>2452</v>
      </c>
    </row>
    <row r="731" spans="2:4" ht="17.25" customHeight="1" thickBot="1" x14ac:dyDescent="0.35">
      <c r="B731" s="211">
        <v>9911</v>
      </c>
      <c r="C731" s="232"/>
      <c r="D731" s="216" t="s">
        <v>2453</v>
      </c>
    </row>
    <row r="732" spans="2:4" ht="17.25" customHeight="1" x14ac:dyDescent="0.3">
      <c r="B732" s="220">
        <v>9912</v>
      </c>
      <c r="C732" s="217"/>
      <c r="D732" s="217" t="s">
        <v>2454</v>
      </c>
    </row>
    <row r="733" spans="2:4" ht="17.25" customHeight="1" thickBot="1" x14ac:dyDescent="0.35">
      <c r="B733" s="229"/>
      <c r="C733" s="212"/>
      <c r="D733" s="212" t="s">
        <v>2455</v>
      </c>
    </row>
  </sheetData>
  <mergeCells count="33">
    <mergeCell ref="D186:D188"/>
    <mergeCell ref="D189:D190"/>
    <mergeCell ref="D173:D176"/>
    <mergeCell ref="D181:D182"/>
    <mergeCell ref="D282:D283"/>
    <mergeCell ref="D287:D288"/>
    <mergeCell ref="D289:D290"/>
    <mergeCell ref="D291:D292"/>
    <mergeCell ref="D269:D271"/>
    <mergeCell ref="D272:D275"/>
    <mergeCell ref="D277:D278"/>
    <mergeCell ref="D429:D430"/>
    <mergeCell ref="D403:D404"/>
    <mergeCell ref="D373:D374"/>
    <mergeCell ref="D341:D342"/>
    <mergeCell ref="D308:D310"/>
    <mergeCell ref="D311:D312"/>
    <mergeCell ref="D313:D314"/>
    <mergeCell ref="D454:D456"/>
    <mergeCell ref="D436:D437"/>
    <mergeCell ref="D439:D440"/>
    <mergeCell ref="D431:D433"/>
    <mergeCell ref="D434:D435"/>
    <mergeCell ref="D567:D568"/>
    <mergeCell ref="D535:D537"/>
    <mergeCell ref="D543:D545"/>
    <mergeCell ref="D487:D488"/>
    <mergeCell ref="D475:D476"/>
    <mergeCell ref="D721:D722"/>
    <mergeCell ref="D713:D714"/>
    <mergeCell ref="D605:D606"/>
    <mergeCell ref="D609:D610"/>
    <mergeCell ref="D615:D61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06E2-CCD1-4AA1-9277-8A3B6122F3FE}">
  <dimension ref="A2:C499"/>
  <sheetViews>
    <sheetView topLeftCell="A409" zoomScale="220" zoomScaleNormal="220" workbookViewId="0">
      <selection activeCell="C375" sqref="C375:C379"/>
    </sheetView>
  </sheetViews>
  <sheetFormatPr baseColWidth="10" defaultRowHeight="14.4" x14ac:dyDescent="0.3"/>
  <sheetData>
    <row r="2" spans="1:3" x14ac:dyDescent="0.3">
      <c r="A2">
        <v>1111</v>
      </c>
      <c r="B2">
        <v>1111</v>
      </c>
      <c r="C2">
        <f>A2-B2</f>
        <v>0</v>
      </c>
    </row>
    <row r="3" spans="1:3" x14ac:dyDescent="0.3">
      <c r="A3">
        <v>1121</v>
      </c>
      <c r="B3">
        <v>1121</v>
      </c>
      <c r="C3">
        <f t="shared" ref="C3:C66" si="0">A3-B3</f>
        <v>0</v>
      </c>
    </row>
    <row r="4" spans="1:3" x14ac:dyDescent="0.3">
      <c r="A4">
        <v>1131</v>
      </c>
      <c r="B4">
        <v>1131</v>
      </c>
      <c r="C4">
        <f t="shared" si="0"/>
        <v>0</v>
      </c>
    </row>
    <row r="5" spans="1:3" x14ac:dyDescent="0.3">
      <c r="A5">
        <v>1132</v>
      </c>
      <c r="B5">
        <v>1132</v>
      </c>
      <c r="C5">
        <f t="shared" si="0"/>
        <v>0</v>
      </c>
    </row>
    <row r="6" spans="1:3" x14ac:dyDescent="0.3">
      <c r="A6">
        <v>1133</v>
      </c>
      <c r="B6">
        <v>1133</v>
      </c>
      <c r="C6">
        <f t="shared" si="0"/>
        <v>0</v>
      </c>
    </row>
    <row r="7" spans="1:3" x14ac:dyDescent="0.3">
      <c r="A7">
        <v>1134</v>
      </c>
      <c r="B7">
        <v>1134</v>
      </c>
      <c r="C7">
        <f t="shared" si="0"/>
        <v>0</v>
      </c>
    </row>
    <row r="8" spans="1:3" x14ac:dyDescent="0.3">
      <c r="A8">
        <v>1135</v>
      </c>
      <c r="B8">
        <v>1135</v>
      </c>
      <c r="C8">
        <f t="shared" si="0"/>
        <v>0</v>
      </c>
    </row>
    <row r="9" spans="1:3" x14ac:dyDescent="0.3">
      <c r="A9">
        <v>1141</v>
      </c>
      <c r="B9">
        <v>1141</v>
      </c>
      <c r="C9">
        <f t="shared" si="0"/>
        <v>0</v>
      </c>
    </row>
    <row r="10" spans="1:3" x14ac:dyDescent="0.3">
      <c r="A10">
        <v>1211</v>
      </c>
      <c r="B10">
        <v>1211</v>
      </c>
      <c r="C10">
        <f t="shared" si="0"/>
        <v>0</v>
      </c>
    </row>
    <row r="11" spans="1:3" x14ac:dyDescent="0.3">
      <c r="A11">
        <v>1221</v>
      </c>
      <c r="B11">
        <v>1221</v>
      </c>
      <c r="C11">
        <f t="shared" si="0"/>
        <v>0</v>
      </c>
    </row>
    <row r="12" spans="1:3" x14ac:dyDescent="0.3">
      <c r="A12">
        <v>1222</v>
      </c>
      <c r="B12">
        <v>1222</v>
      </c>
      <c r="C12">
        <f t="shared" si="0"/>
        <v>0</v>
      </c>
    </row>
    <row r="13" spans="1:3" x14ac:dyDescent="0.3">
      <c r="A13">
        <v>1223</v>
      </c>
      <c r="B13">
        <v>1223</v>
      </c>
      <c r="C13">
        <f t="shared" si="0"/>
        <v>0</v>
      </c>
    </row>
    <row r="14" spans="1:3" x14ac:dyDescent="0.3">
      <c r="A14">
        <v>1231</v>
      </c>
      <c r="B14">
        <v>1231</v>
      </c>
      <c r="C14">
        <f t="shared" si="0"/>
        <v>0</v>
      </c>
    </row>
    <row r="15" spans="1:3" x14ac:dyDescent="0.3">
      <c r="A15">
        <v>1241</v>
      </c>
      <c r="B15">
        <v>1241</v>
      </c>
      <c r="C15">
        <f t="shared" si="0"/>
        <v>0</v>
      </c>
    </row>
    <row r="16" spans="1:3" x14ac:dyDescent="0.3">
      <c r="A16">
        <v>1311</v>
      </c>
      <c r="B16">
        <v>1311</v>
      </c>
      <c r="C16">
        <f t="shared" si="0"/>
        <v>0</v>
      </c>
    </row>
    <row r="17" spans="1:3" x14ac:dyDescent="0.3">
      <c r="A17">
        <v>1312</v>
      </c>
      <c r="B17">
        <v>1312</v>
      </c>
      <c r="C17">
        <f t="shared" si="0"/>
        <v>0</v>
      </c>
    </row>
    <row r="18" spans="1:3" x14ac:dyDescent="0.3">
      <c r="A18">
        <v>1313</v>
      </c>
      <c r="B18">
        <v>1313</v>
      </c>
      <c r="C18">
        <f t="shared" si="0"/>
        <v>0</v>
      </c>
    </row>
    <row r="19" spans="1:3" x14ac:dyDescent="0.3">
      <c r="A19">
        <v>1321</v>
      </c>
      <c r="B19">
        <v>1321</v>
      </c>
      <c r="C19">
        <f t="shared" si="0"/>
        <v>0</v>
      </c>
    </row>
    <row r="20" spans="1:3" x14ac:dyDescent="0.3">
      <c r="A20">
        <v>1322</v>
      </c>
      <c r="B20">
        <v>1322</v>
      </c>
      <c r="C20">
        <f t="shared" si="0"/>
        <v>0</v>
      </c>
    </row>
    <row r="21" spans="1:3" x14ac:dyDescent="0.3">
      <c r="A21">
        <v>1323</v>
      </c>
      <c r="B21">
        <v>1323</v>
      </c>
      <c r="C21">
        <f t="shared" si="0"/>
        <v>0</v>
      </c>
    </row>
    <row r="22" spans="1:3" x14ac:dyDescent="0.3">
      <c r="A22">
        <v>1324</v>
      </c>
      <c r="B22">
        <v>1324</v>
      </c>
      <c r="C22">
        <f t="shared" si="0"/>
        <v>0</v>
      </c>
    </row>
    <row r="23" spans="1:3" x14ac:dyDescent="0.3">
      <c r="A23">
        <v>1325</v>
      </c>
      <c r="B23">
        <v>1325</v>
      </c>
      <c r="C23">
        <f t="shared" si="0"/>
        <v>0</v>
      </c>
    </row>
    <row r="24" spans="1:3" x14ac:dyDescent="0.3">
      <c r="A24">
        <v>1331</v>
      </c>
      <c r="B24">
        <v>1331</v>
      </c>
      <c r="C24">
        <f t="shared" si="0"/>
        <v>0</v>
      </c>
    </row>
    <row r="25" spans="1:3" x14ac:dyDescent="0.3">
      <c r="A25">
        <v>1341</v>
      </c>
      <c r="B25">
        <v>1341</v>
      </c>
      <c r="C25">
        <f t="shared" si="0"/>
        <v>0</v>
      </c>
    </row>
    <row r="26" spans="1:3" x14ac:dyDescent="0.3">
      <c r="A26">
        <v>1342</v>
      </c>
      <c r="B26">
        <v>1342</v>
      </c>
      <c r="C26">
        <f t="shared" si="0"/>
        <v>0</v>
      </c>
    </row>
    <row r="27" spans="1:3" x14ac:dyDescent="0.3">
      <c r="A27">
        <v>1343</v>
      </c>
      <c r="B27">
        <v>1343</v>
      </c>
      <c r="C27">
        <f t="shared" si="0"/>
        <v>0</v>
      </c>
    </row>
    <row r="28" spans="1:3" x14ac:dyDescent="0.3">
      <c r="A28">
        <v>1344</v>
      </c>
      <c r="B28">
        <v>1344</v>
      </c>
      <c r="C28">
        <f t="shared" si="0"/>
        <v>0</v>
      </c>
    </row>
    <row r="29" spans="1:3" x14ac:dyDescent="0.3">
      <c r="A29">
        <v>1345</v>
      </c>
      <c r="B29">
        <v>1345</v>
      </c>
      <c r="C29">
        <f t="shared" si="0"/>
        <v>0</v>
      </c>
    </row>
    <row r="30" spans="1:3" x14ac:dyDescent="0.3">
      <c r="A30">
        <v>1346</v>
      </c>
      <c r="B30">
        <v>1346</v>
      </c>
      <c r="C30">
        <f t="shared" si="0"/>
        <v>0</v>
      </c>
    </row>
    <row r="31" spans="1:3" x14ac:dyDescent="0.3">
      <c r="A31">
        <v>1347</v>
      </c>
      <c r="B31">
        <v>1347</v>
      </c>
      <c r="C31">
        <f t="shared" si="0"/>
        <v>0</v>
      </c>
    </row>
    <row r="32" spans="1:3" x14ac:dyDescent="0.3">
      <c r="A32">
        <v>1348</v>
      </c>
      <c r="B32">
        <v>1348</v>
      </c>
      <c r="C32">
        <f t="shared" si="0"/>
        <v>0</v>
      </c>
    </row>
    <row r="33" spans="1:3" x14ac:dyDescent="0.3">
      <c r="A33">
        <v>1349</v>
      </c>
      <c r="B33">
        <v>1349</v>
      </c>
      <c r="C33">
        <f t="shared" si="0"/>
        <v>0</v>
      </c>
    </row>
    <row r="34" spans="1:3" x14ac:dyDescent="0.3">
      <c r="A34">
        <v>1351</v>
      </c>
      <c r="B34">
        <v>1351</v>
      </c>
      <c r="C34">
        <f t="shared" si="0"/>
        <v>0</v>
      </c>
    </row>
    <row r="35" spans="1:3" x14ac:dyDescent="0.3">
      <c r="A35">
        <v>1361</v>
      </c>
      <c r="B35">
        <v>1361</v>
      </c>
      <c r="C35">
        <f t="shared" si="0"/>
        <v>0</v>
      </c>
    </row>
    <row r="36" spans="1:3" x14ac:dyDescent="0.3">
      <c r="A36">
        <v>1371</v>
      </c>
      <c r="B36">
        <v>1371</v>
      </c>
      <c r="C36">
        <f t="shared" si="0"/>
        <v>0</v>
      </c>
    </row>
    <row r="37" spans="1:3" x14ac:dyDescent="0.3">
      <c r="A37">
        <v>1381</v>
      </c>
      <c r="B37">
        <v>1381</v>
      </c>
      <c r="C37">
        <f t="shared" si="0"/>
        <v>0</v>
      </c>
    </row>
    <row r="38" spans="1:3" x14ac:dyDescent="0.3">
      <c r="A38">
        <v>1411</v>
      </c>
      <c r="B38">
        <v>1411</v>
      </c>
      <c r="C38">
        <f t="shared" si="0"/>
        <v>0</v>
      </c>
    </row>
    <row r="39" spans="1:3" x14ac:dyDescent="0.3">
      <c r="A39">
        <v>1412</v>
      </c>
      <c r="B39">
        <v>1412</v>
      </c>
      <c r="C39">
        <f t="shared" si="0"/>
        <v>0</v>
      </c>
    </row>
    <row r="40" spans="1:3" x14ac:dyDescent="0.3">
      <c r="A40">
        <v>1413</v>
      </c>
      <c r="B40">
        <v>1413</v>
      </c>
      <c r="C40">
        <f t="shared" si="0"/>
        <v>0</v>
      </c>
    </row>
    <row r="41" spans="1:3" x14ac:dyDescent="0.3">
      <c r="A41">
        <v>1414</v>
      </c>
      <c r="B41">
        <v>1414</v>
      </c>
      <c r="C41">
        <f t="shared" si="0"/>
        <v>0</v>
      </c>
    </row>
    <row r="42" spans="1:3" x14ac:dyDescent="0.3">
      <c r="A42">
        <v>1415</v>
      </c>
      <c r="B42">
        <v>1415</v>
      </c>
      <c r="C42">
        <f t="shared" si="0"/>
        <v>0</v>
      </c>
    </row>
    <row r="43" spans="1:3" x14ac:dyDescent="0.3">
      <c r="A43">
        <v>1416</v>
      </c>
      <c r="B43">
        <v>1416</v>
      </c>
      <c r="C43">
        <f t="shared" si="0"/>
        <v>0</v>
      </c>
    </row>
    <row r="44" spans="1:3" x14ac:dyDescent="0.3">
      <c r="A44">
        <v>1417</v>
      </c>
      <c r="B44">
        <v>1417</v>
      </c>
      <c r="C44">
        <f t="shared" si="0"/>
        <v>0</v>
      </c>
    </row>
    <row r="45" spans="1:3" x14ac:dyDescent="0.3">
      <c r="A45">
        <v>1421</v>
      </c>
      <c r="B45">
        <v>1421</v>
      </c>
      <c r="C45">
        <f t="shared" si="0"/>
        <v>0</v>
      </c>
    </row>
    <row r="46" spans="1:3" x14ac:dyDescent="0.3">
      <c r="A46">
        <v>1431</v>
      </c>
      <c r="B46">
        <v>1431</v>
      </c>
      <c r="C46">
        <f t="shared" si="0"/>
        <v>0</v>
      </c>
    </row>
    <row r="47" spans="1:3" x14ac:dyDescent="0.3">
      <c r="A47">
        <v>1441</v>
      </c>
      <c r="B47">
        <v>1441</v>
      </c>
      <c r="C47">
        <f t="shared" si="0"/>
        <v>0</v>
      </c>
    </row>
    <row r="48" spans="1:3" x14ac:dyDescent="0.3">
      <c r="A48">
        <v>1511</v>
      </c>
      <c r="B48">
        <v>1511</v>
      </c>
      <c r="C48">
        <f t="shared" si="0"/>
        <v>0</v>
      </c>
    </row>
    <row r="49" spans="1:3" x14ac:dyDescent="0.3">
      <c r="A49">
        <v>1512</v>
      </c>
      <c r="B49">
        <v>1512</v>
      </c>
      <c r="C49">
        <f t="shared" si="0"/>
        <v>0</v>
      </c>
    </row>
    <row r="50" spans="1:3" x14ac:dyDescent="0.3">
      <c r="A50">
        <v>1521</v>
      </c>
      <c r="B50">
        <v>1521</v>
      </c>
      <c r="C50">
        <f t="shared" si="0"/>
        <v>0</v>
      </c>
    </row>
    <row r="51" spans="1:3" x14ac:dyDescent="0.3">
      <c r="A51">
        <v>1522</v>
      </c>
      <c r="B51">
        <v>1522</v>
      </c>
      <c r="C51">
        <f t="shared" si="0"/>
        <v>0</v>
      </c>
    </row>
    <row r="52" spans="1:3" x14ac:dyDescent="0.3">
      <c r="A52">
        <v>1531</v>
      </c>
      <c r="B52">
        <v>1531</v>
      </c>
      <c r="C52">
        <f t="shared" si="0"/>
        <v>0</v>
      </c>
    </row>
    <row r="53" spans="1:3" x14ac:dyDescent="0.3">
      <c r="A53">
        <v>1541</v>
      </c>
      <c r="B53">
        <v>1541</v>
      </c>
      <c r="C53">
        <f t="shared" si="0"/>
        <v>0</v>
      </c>
    </row>
    <row r="54" spans="1:3" x14ac:dyDescent="0.3">
      <c r="A54">
        <v>1542</v>
      </c>
      <c r="B54">
        <v>1542</v>
      </c>
      <c r="C54">
        <f t="shared" si="0"/>
        <v>0</v>
      </c>
    </row>
    <row r="55" spans="1:3" x14ac:dyDescent="0.3">
      <c r="A55">
        <v>1543</v>
      </c>
      <c r="B55">
        <v>1543</v>
      </c>
      <c r="C55">
        <f t="shared" si="0"/>
        <v>0</v>
      </c>
    </row>
    <row r="56" spans="1:3" x14ac:dyDescent="0.3">
      <c r="A56">
        <v>1544</v>
      </c>
      <c r="B56">
        <v>1544</v>
      </c>
      <c r="C56">
        <f t="shared" si="0"/>
        <v>0</v>
      </c>
    </row>
    <row r="57" spans="1:3" x14ac:dyDescent="0.3">
      <c r="A57">
        <v>1545</v>
      </c>
      <c r="B57">
        <v>1545</v>
      </c>
      <c r="C57">
        <f t="shared" si="0"/>
        <v>0</v>
      </c>
    </row>
    <row r="58" spans="1:3" x14ac:dyDescent="0.3">
      <c r="A58">
        <v>1546</v>
      </c>
      <c r="B58">
        <v>1546</v>
      </c>
      <c r="C58">
        <f t="shared" si="0"/>
        <v>0</v>
      </c>
    </row>
    <row r="59" spans="1:3" x14ac:dyDescent="0.3">
      <c r="A59">
        <v>1547</v>
      </c>
      <c r="B59">
        <v>1547</v>
      </c>
      <c r="C59">
        <f t="shared" si="0"/>
        <v>0</v>
      </c>
    </row>
    <row r="60" spans="1:3" x14ac:dyDescent="0.3">
      <c r="A60">
        <v>1551</v>
      </c>
      <c r="B60">
        <v>1551</v>
      </c>
      <c r="C60">
        <f t="shared" si="0"/>
        <v>0</v>
      </c>
    </row>
    <row r="61" spans="1:3" x14ac:dyDescent="0.3">
      <c r="A61">
        <v>1552</v>
      </c>
      <c r="B61">
        <v>1552</v>
      </c>
      <c r="C61">
        <f t="shared" si="0"/>
        <v>0</v>
      </c>
    </row>
    <row r="62" spans="1:3" x14ac:dyDescent="0.3">
      <c r="A62">
        <v>1591</v>
      </c>
      <c r="B62">
        <v>1591</v>
      </c>
      <c r="C62">
        <f t="shared" si="0"/>
        <v>0</v>
      </c>
    </row>
    <row r="63" spans="1:3" x14ac:dyDescent="0.3">
      <c r="A63">
        <v>1592</v>
      </c>
      <c r="B63">
        <v>1592</v>
      </c>
      <c r="C63">
        <f t="shared" si="0"/>
        <v>0</v>
      </c>
    </row>
    <row r="64" spans="1:3" x14ac:dyDescent="0.3">
      <c r="A64">
        <v>1593</v>
      </c>
      <c r="B64">
        <v>1593</v>
      </c>
      <c r="C64">
        <f t="shared" si="0"/>
        <v>0</v>
      </c>
    </row>
    <row r="65" spans="1:3" x14ac:dyDescent="0.3">
      <c r="A65">
        <v>1594</v>
      </c>
      <c r="B65">
        <v>1594</v>
      </c>
      <c r="C65">
        <f t="shared" si="0"/>
        <v>0</v>
      </c>
    </row>
    <row r="66" spans="1:3" x14ac:dyDescent="0.3">
      <c r="A66">
        <v>1595</v>
      </c>
      <c r="B66">
        <v>1595</v>
      </c>
      <c r="C66">
        <f t="shared" si="0"/>
        <v>0</v>
      </c>
    </row>
    <row r="67" spans="1:3" x14ac:dyDescent="0.3">
      <c r="A67">
        <v>1611</v>
      </c>
      <c r="B67">
        <v>1611</v>
      </c>
      <c r="C67">
        <f t="shared" ref="C67:C130" si="1">A67-B67</f>
        <v>0</v>
      </c>
    </row>
    <row r="68" spans="1:3" x14ac:dyDescent="0.3">
      <c r="A68">
        <v>1711</v>
      </c>
      <c r="B68">
        <v>1711</v>
      </c>
      <c r="C68">
        <f t="shared" si="1"/>
        <v>0</v>
      </c>
    </row>
    <row r="69" spans="1:3" x14ac:dyDescent="0.3">
      <c r="A69">
        <v>1712</v>
      </c>
      <c r="B69">
        <v>1712</v>
      </c>
      <c r="C69">
        <f t="shared" si="1"/>
        <v>0</v>
      </c>
    </row>
    <row r="70" spans="1:3" x14ac:dyDescent="0.3">
      <c r="A70">
        <v>1721</v>
      </c>
      <c r="B70">
        <v>1721</v>
      </c>
      <c r="C70">
        <f t="shared" si="1"/>
        <v>0</v>
      </c>
    </row>
    <row r="71" spans="1:3" x14ac:dyDescent="0.3">
      <c r="A71">
        <v>2111</v>
      </c>
      <c r="B71">
        <v>2111</v>
      </c>
      <c r="C71">
        <f t="shared" si="1"/>
        <v>0</v>
      </c>
    </row>
    <row r="72" spans="1:3" x14ac:dyDescent="0.3">
      <c r="A72">
        <v>2112</v>
      </c>
      <c r="B72">
        <v>2112</v>
      </c>
      <c r="C72">
        <f t="shared" si="1"/>
        <v>0</v>
      </c>
    </row>
    <row r="73" spans="1:3" x14ac:dyDescent="0.3">
      <c r="A73">
        <v>2121</v>
      </c>
      <c r="B73">
        <v>2121</v>
      </c>
      <c r="C73">
        <f t="shared" si="1"/>
        <v>0</v>
      </c>
    </row>
    <row r="74" spans="1:3" x14ac:dyDescent="0.3">
      <c r="A74">
        <v>2122</v>
      </c>
      <c r="B74">
        <v>2122</v>
      </c>
      <c r="C74">
        <f t="shared" si="1"/>
        <v>0</v>
      </c>
    </row>
    <row r="75" spans="1:3" x14ac:dyDescent="0.3">
      <c r="A75">
        <v>2131</v>
      </c>
      <c r="B75">
        <v>2131</v>
      </c>
      <c r="C75">
        <f t="shared" si="1"/>
        <v>0</v>
      </c>
    </row>
    <row r="76" spans="1:3" x14ac:dyDescent="0.3">
      <c r="A76">
        <v>2141</v>
      </c>
      <c r="B76">
        <v>2141</v>
      </c>
      <c r="C76">
        <f t="shared" si="1"/>
        <v>0</v>
      </c>
    </row>
    <row r="77" spans="1:3" x14ac:dyDescent="0.3">
      <c r="A77">
        <v>2151</v>
      </c>
      <c r="B77">
        <v>2151</v>
      </c>
      <c r="C77">
        <f t="shared" si="1"/>
        <v>0</v>
      </c>
    </row>
    <row r="78" spans="1:3" x14ac:dyDescent="0.3">
      <c r="A78">
        <v>2161</v>
      </c>
      <c r="B78">
        <v>2161</v>
      </c>
      <c r="C78">
        <f t="shared" si="1"/>
        <v>0</v>
      </c>
    </row>
    <row r="79" spans="1:3" x14ac:dyDescent="0.3">
      <c r="A79">
        <v>2171</v>
      </c>
      <c r="B79">
        <v>2171</v>
      </c>
      <c r="C79">
        <f t="shared" si="1"/>
        <v>0</v>
      </c>
    </row>
    <row r="80" spans="1:3" x14ac:dyDescent="0.3">
      <c r="A80">
        <v>2181</v>
      </c>
      <c r="B80">
        <v>2181</v>
      </c>
      <c r="C80">
        <f t="shared" si="1"/>
        <v>0</v>
      </c>
    </row>
    <row r="81" spans="1:3" x14ac:dyDescent="0.3">
      <c r="A81">
        <v>2211</v>
      </c>
      <c r="B81">
        <v>2211</v>
      </c>
      <c r="C81">
        <f t="shared" si="1"/>
        <v>0</v>
      </c>
    </row>
    <row r="82" spans="1:3" x14ac:dyDescent="0.3">
      <c r="A82">
        <v>2221</v>
      </c>
      <c r="B82">
        <v>2221</v>
      </c>
      <c r="C82">
        <f t="shared" si="1"/>
        <v>0</v>
      </c>
    </row>
    <row r="83" spans="1:3" x14ac:dyDescent="0.3">
      <c r="A83">
        <v>2222</v>
      </c>
      <c r="B83">
        <v>2222</v>
      </c>
      <c r="C83">
        <f t="shared" si="1"/>
        <v>0</v>
      </c>
    </row>
    <row r="84" spans="1:3" x14ac:dyDescent="0.3">
      <c r="A84">
        <v>2231</v>
      </c>
      <c r="B84">
        <v>2231</v>
      </c>
      <c r="C84">
        <f t="shared" si="1"/>
        <v>0</v>
      </c>
    </row>
    <row r="85" spans="1:3" x14ac:dyDescent="0.3">
      <c r="A85">
        <v>2311</v>
      </c>
      <c r="B85">
        <v>2311</v>
      </c>
      <c r="C85">
        <f t="shared" si="1"/>
        <v>0</v>
      </c>
    </row>
    <row r="86" spans="1:3" x14ac:dyDescent="0.3">
      <c r="A86">
        <v>2321</v>
      </c>
      <c r="B86">
        <v>2321</v>
      </c>
      <c r="C86">
        <f t="shared" si="1"/>
        <v>0</v>
      </c>
    </row>
    <row r="87" spans="1:3" x14ac:dyDescent="0.3">
      <c r="A87">
        <v>2331</v>
      </c>
      <c r="B87">
        <v>2331</v>
      </c>
      <c r="C87">
        <f t="shared" si="1"/>
        <v>0</v>
      </c>
    </row>
    <row r="88" spans="1:3" x14ac:dyDescent="0.3">
      <c r="A88">
        <v>2341</v>
      </c>
      <c r="B88">
        <v>2341</v>
      </c>
      <c r="C88">
        <f t="shared" si="1"/>
        <v>0</v>
      </c>
    </row>
    <row r="89" spans="1:3" x14ac:dyDescent="0.3">
      <c r="A89">
        <v>2351</v>
      </c>
      <c r="B89">
        <v>2351</v>
      </c>
      <c r="C89">
        <f t="shared" si="1"/>
        <v>0</v>
      </c>
    </row>
    <row r="90" spans="1:3" x14ac:dyDescent="0.3">
      <c r="A90">
        <v>2361</v>
      </c>
      <c r="B90">
        <v>2361</v>
      </c>
      <c r="C90">
        <f t="shared" si="1"/>
        <v>0</v>
      </c>
    </row>
    <row r="91" spans="1:3" x14ac:dyDescent="0.3">
      <c r="A91">
        <v>2371</v>
      </c>
      <c r="B91">
        <v>2371</v>
      </c>
      <c r="C91">
        <f t="shared" si="1"/>
        <v>0</v>
      </c>
    </row>
    <row r="92" spans="1:3" x14ac:dyDescent="0.3">
      <c r="A92">
        <v>2381</v>
      </c>
      <c r="B92">
        <v>2381</v>
      </c>
      <c r="C92">
        <f t="shared" si="1"/>
        <v>0</v>
      </c>
    </row>
    <row r="93" spans="1:3" x14ac:dyDescent="0.3">
      <c r="A93">
        <v>2391</v>
      </c>
      <c r="B93">
        <v>2391</v>
      </c>
      <c r="C93">
        <f t="shared" si="1"/>
        <v>0</v>
      </c>
    </row>
    <row r="94" spans="1:3" x14ac:dyDescent="0.3">
      <c r="A94">
        <v>2411</v>
      </c>
      <c r="B94">
        <v>2411</v>
      </c>
      <c r="C94">
        <f t="shared" si="1"/>
        <v>0</v>
      </c>
    </row>
    <row r="95" spans="1:3" x14ac:dyDescent="0.3">
      <c r="A95">
        <v>2421</v>
      </c>
      <c r="B95">
        <v>2421</v>
      </c>
      <c r="C95">
        <f t="shared" si="1"/>
        <v>0</v>
      </c>
    </row>
    <row r="96" spans="1:3" x14ac:dyDescent="0.3">
      <c r="A96">
        <v>2431</v>
      </c>
      <c r="B96">
        <v>2431</v>
      </c>
      <c r="C96">
        <f t="shared" si="1"/>
        <v>0</v>
      </c>
    </row>
    <row r="97" spans="1:3" x14ac:dyDescent="0.3">
      <c r="A97">
        <v>2441</v>
      </c>
      <c r="B97">
        <v>2441</v>
      </c>
      <c r="C97">
        <f t="shared" si="1"/>
        <v>0</v>
      </c>
    </row>
    <row r="98" spans="1:3" x14ac:dyDescent="0.3">
      <c r="A98">
        <v>2451</v>
      </c>
      <c r="B98">
        <v>2451</v>
      </c>
      <c r="C98">
        <f t="shared" si="1"/>
        <v>0</v>
      </c>
    </row>
    <row r="99" spans="1:3" x14ac:dyDescent="0.3">
      <c r="A99">
        <v>2461</v>
      </c>
      <c r="B99">
        <v>2461</v>
      </c>
      <c r="C99">
        <f t="shared" si="1"/>
        <v>0</v>
      </c>
    </row>
    <row r="100" spans="1:3" x14ac:dyDescent="0.3">
      <c r="A100">
        <v>2471</v>
      </c>
      <c r="B100">
        <v>2471</v>
      </c>
      <c r="C100">
        <f t="shared" si="1"/>
        <v>0</v>
      </c>
    </row>
    <row r="101" spans="1:3" x14ac:dyDescent="0.3">
      <c r="A101">
        <v>2481</v>
      </c>
      <c r="B101">
        <v>2481</v>
      </c>
      <c r="C101">
        <f t="shared" si="1"/>
        <v>0</v>
      </c>
    </row>
    <row r="102" spans="1:3" x14ac:dyDescent="0.3">
      <c r="A102">
        <v>2482</v>
      </c>
      <c r="B102">
        <v>2482</v>
      </c>
      <c r="C102">
        <f t="shared" si="1"/>
        <v>0</v>
      </c>
    </row>
    <row r="103" spans="1:3" x14ac:dyDescent="0.3">
      <c r="A103">
        <v>2483</v>
      </c>
      <c r="B103">
        <v>2483</v>
      </c>
      <c r="C103">
        <f t="shared" si="1"/>
        <v>0</v>
      </c>
    </row>
    <row r="104" spans="1:3" x14ac:dyDescent="0.3">
      <c r="A104">
        <v>2491</v>
      </c>
      <c r="B104">
        <v>2491</v>
      </c>
      <c r="C104">
        <f t="shared" si="1"/>
        <v>0</v>
      </c>
    </row>
    <row r="105" spans="1:3" x14ac:dyDescent="0.3">
      <c r="A105">
        <v>2492</v>
      </c>
      <c r="B105">
        <v>2492</v>
      </c>
      <c r="C105">
        <f t="shared" si="1"/>
        <v>0</v>
      </c>
    </row>
    <row r="106" spans="1:3" x14ac:dyDescent="0.3">
      <c r="A106">
        <v>2511</v>
      </c>
      <c r="B106">
        <v>2511</v>
      </c>
      <c r="C106">
        <f t="shared" si="1"/>
        <v>0</v>
      </c>
    </row>
    <row r="107" spans="1:3" x14ac:dyDescent="0.3">
      <c r="A107">
        <v>2521</v>
      </c>
      <c r="B107">
        <v>2521</v>
      </c>
      <c r="C107">
        <f t="shared" si="1"/>
        <v>0</v>
      </c>
    </row>
    <row r="108" spans="1:3" x14ac:dyDescent="0.3">
      <c r="A108">
        <v>2531</v>
      </c>
      <c r="B108">
        <v>2531</v>
      </c>
      <c r="C108">
        <f t="shared" si="1"/>
        <v>0</v>
      </c>
    </row>
    <row r="109" spans="1:3" x14ac:dyDescent="0.3">
      <c r="A109">
        <v>2541</v>
      </c>
      <c r="B109">
        <v>2541</v>
      </c>
      <c r="C109">
        <f t="shared" si="1"/>
        <v>0</v>
      </c>
    </row>
    <row r="110" spans="1:3" x14ac:dyDescent="0.3">
      <c r="A110">
        <v>2551</v>
      </c>
      <c r="B110">
        <v>2551</v>
      </c>
      <c r="C110">
        <f t="shared" si="1"/>
        <v>0</v>
      </c>
    </row>
    <row r="111" spans="1:3" x14ac:dyDescent="0.3">
      <c r="A111">
        <v>2561</v>
      </c>
      <c r="B111">
        <v>2561</v>
      </c>
      <c r="C111">
        <f t="shared" si="1"/>
        <v>0</v>
      </c>
    </row>
    <row r="112" spans="1:3" x14ac:dyDescent="0.3">
      <c r="A112">
        <v>2591</v>
      </c>
      <c r="B112">
        <v>2591</v>
      </c>
      <c r="C112">
        <f t="shared" si="1"/>
        <v>0</v>
      </c>
    </row>
    <row r="113" spans="1:3" x14ac:dyDescent="0.3">
      <c r="A113">
        <v>2611</v>
      </c>
      <c r="B113">
        <v>2611</v>
      </c>
      <c r="C113">
        <f t="shared" si="1"/>
        <v>0</v>
      </c>
    </row>
    <row r="114" spans="1:3" x14ac:dyDescent="0.3">
      <c r="A114">
        <v>2621</v>
      </c>
      <c r="B114">
        <v>2621</v>
      </c>
      <c r="C114">
        <f t="shared" si="1"/>
        <v>0</v>
      </c>
    </row>
    <row r="115" spans="1:3" x14ac:dyDescent="0.3">
      <c r="A115">
        <v>2711</v>
      </c>
      <c r="B115">
        <v>2711</v>
      </c>
      <c r="C115">
        <f t="shared" si="1"/>
        <v>0</v>
      </c>
    </row>
    <row r="116" spans="1:3" x14ac:dyDescent="0.3">
      <c r="A116">
        <v>2721</v>
      </c>
      <c r="B116">
        <v>2721</v>
      </c>
      <c r="C116">
        <f t="shared" si="1"/>
        <v>0</v>
      </c>
    </row>
    <row r="117" spans="1:3" x14ac:dyDescent="0.3">
      <c r="A117">
        <v>2731</v>
      </c>
      <c r="B117">
        <v>2731</v>
      </c>
      <c r="C117">
        <f t="shared" si="1"/>
        <v>0</v>
      </c>
    </row>
    <row r="118" spans="1:3" x14ac:dyDescent="0.3">
      <c r="A118">
        <v>2741</v>
      </c>
      <c r="B118">
        <v>2741</v>
      </c>
      <c r="C118">
        <f t="shared" si="1"/>
        <v>0</v>
      </c>
    </row>
    <row r="119" spans="1:3" x14ac:dyDescent="0.3">
      <c r="A119">
        <v>2751</v>
      </c>
      <c r="B119">
        <v>2751</v>
      </c>
      <c r="C119">
        <f t="shared" si="1"/>
        <v>0</v>
      </c>
    </row>
    <row r="120" spans="1:3" x14ac:dyDescent="0.3">
      <c r="A120">
        <v>2811</v>
      </c>
      <c r="B120">
        <v>2811</v>
      </c>
      <c r="C120">
        <f t="shared" si="1"/>
        <v>0</v>
      </c>
    </row>
    <row r="121" spans="1:3" x14ac:dyDescent="0.3">
      <c r="A121">
        <v>2821</v>
      </c>
      <c r="B121">
        <v>2821</v>
      </c>
      <c r="C121">
        <f t="shared" si="1"/>
        <v>0</v>
      </c>
    </row>
    <row r="122" spans="1:3" x14ac:dyDescent="0.3">
      <c r="A122">
        <v>2831</v>
      </c>
      <c r="B122">
        <v>2831</v>
      </c>
      <c r="C122">
        <f t="shared" si="1"/>
        <v>0</v>
      </c>
    </row>
    <row r="123" spans="1:3" x14ac:dyDescent="0.3">
      <c r="A123">
        <v>2911</v>
      </c>
      <c r="B123">
        <v>2911</v>
      </c>
      <c r="C123">
        <f t="shared" si="1"/>
        <v>0</v>
      </c>
    </row>
    <row r="124" spans="1:3" x14ac:dyDescent="0.3">
      <c r="A124">
        <v>2921</v>
      </c>
      <c r="B124">
        <v>2921</v>
      </c>
      <c r="C124">
        <f t="shared" si="1"/>
        <v>0</v>
      </c>
    </row>
    <row r="125" spans="1:3" x14ac:dyDescent="0.3">
      <c r="A125">
        <v>2931</v>
      </c>
      <c r="B125">
        <v>2931</v>
      </c>
      <c r="C125">
        <f t="shared" si="1"/>
        <v>0</v>
      </c>
    </row>
    <row r="126" spans="1:3" x14ac:dyDescent="0.3">
      <c r="A126">
        <v>2941</v>
      </c>
      <c r="B126">
        <v>2941</v>
      </c>
      <c r="C126">
        <f t="shared" si="1"/>
        <v>0</v>
      </c>
    </row>
    <row r="127" spans="1:3" x14ac:dyDescent="0.3">
      <c r="A127">
        <v>2951</v>
      </c>
      <c r="B127">
        <v>2951</v>
      </c>
      <c r="C127">
        <f t="shared" si="1"/>
        <v>0</v>
      </c>
    </row>
    <row r="128" spans="1:3" x14ac:dyDescent="0.3">
      <c r="A128">
        <v>2961</v>
      </c>
      <c r="B128">
        <v>2961</v>
      </c>
      <c r="C128">
        <f t="shared" si="1"/>
        <v>0</v>
      </c>
    </row>
    <row r="129" spans="1:3" x14ac:dyDescent="0.3">
      <c r="A129">
        <v>2971</v>
      </c>
      <c r="B129">
        <v>2971</v>
      </c>
      <c r="C129">
        <f t="shared" si="1"/>
        <v>0</v>
      </c>
    </row>
    <row r="130" spans="1:3" x14ac:dyDescent="0.3">
      <c r="A130">
        <v>2972</v>
      </c>
      <c r="B130">
        <v>2972</v>
      </c>
      <c r="C130">
        <f t="shared" si="1"/>
        <v>0</v>
      </c>
    </row>
    <row r="131" spans="1:3" x14ac:dyDescent="0.3">
      <c r="A131">
        <v>2981</v>
      </c>
      <c r="B131">
        <v>2981</v>
      </c>
      <c r="C131">
        <f t="shared" ref="C131:C194" si="2">A131-B131</f>
        <v>0</v>
      </c>
    </row>
    <row r="132" spans="1:3" x14ac:dyDescent="0.3">
      <c r="A132">
        <v>2991</v>
      </c>
      <c r="B132">
        <v>2991</v>
      </c>
      <c r="C132">
        <f t="shared" si="2"/>
        <v>0</v>
      </c>
    </row>
    <row r="133" spans="1:3" x14ac:dyDescent="0.3">
      <c r="A133">
        <v>2992</v>
      </c>
      <c r="B133">
        <v>2992</v>
      </c>
      <c r="C133">
        <f t="shared" si="2"/>
        <v>0</v>
      </c>
    </row>
    <row r="134" spans="1:3" x14ac:dyDescent="0.3">
      <c r="A134">
        <v>3111</v>
      </c>
      <c r="B134">
        <v>3111</v>
      </c>
      <c r="C134">
        <f t="shared" si="2"/>
        <v>0</v>
      </c>
    </row>
    <row r="135" spans="1:3" x14ac:dyDescent="0.3">
      <c r="A135">
        <v>3112</v>
      </c>
      <c r="B135">
        <v>3112</v>
      </c>
      <c r="C135">
        <f t="shared" si="2"/>
        <v>0</v>
      </c>
    </row>
    <row r="136" spans="1:3" x14ac:dyDescent="0.3">
      <c r="A136">
        <v>3121</v>
      </c>
      <c r="B136">
        <v>3121</v>
      </c>
      <c r="C136">
        <f t="shared" si="2"/>
        <v>0</v>
      </c>
    </row>
    <row r="137" spans="1:3" x14ac:dyDescent="0.3">
      <c r="A137">
        <v>3131</v>
      </c>
      <c r="B137">
        <v>3131</v>
      </c>
      <c r="C137">
        <f t="shared" si="2"/>
        <v>0</v>
      </c>
    </row>
    <row r="138" spans="1:3" x14ac:dyDescent="0.3">
      <c r="A138">
        <v>3132</v>
      </c>
      <c r="B138">
        <v>3132</v>
      </c>
      <c r="C138">
        <f t="shared" si="2"/>
        <v>0</v>
      </c>
    </row>
    <row r="139" spans="1:3" x14ac:dyDescent="0.3">
      <c r="A139">
        <v>3141</v>
      </c>
      <c r="B139">
        <v>3141</v>
      </c>
      <c r="C139">
        <f t="shared" si="2"/>
        <v>0</v>
      </c>
    </row>
    <row r="140" spans="1:3" x14ac:dyDescent="0.3">
      <c r="A140">
        <v>3151</v>
      </c>
      <c r="B140">
        <v>3151</v>
      </c>
      <c r="C140">
        <f t="shared" si="2"/>
        <v>0</v>
      </c>
    </row>
    <row r="141" spans="1:3" x14ac:dyDescent="0.3">
      <c r="A141">
        <v>3161</v>
      </c>
      <c r="B141">
        <v>3161</v>
      </c>
      <c r="C141">
        <f t="shared" si="2"/>
        <v>0</v>
      </c>
    </row>
    <row r="142" spans="1:3" x14ac:dyDescent="0.3">
      <c r="A142">
        <v>3162</v>
      </c>
      <c r="B142">
        <v>3162</v>
      </c>
      <c r="C142">
        <f t="shared" si="2"/>
        <v>0</v>
      </c>
    </row>
    <row r="143" spans="1:3" x14ac:dyDescent="0.3">
      <c r="A143">
        <v>3171</v>
      </c>
      <c r="B143">
        <v>3171</v>
      </c>
      <c r="C143">
        <f t="shared" si="2"/>
        <v>0</v>
      </c>
    </row>
    <row r="144" spans="1:3" x14ac:dyDescent="0.3">
      <c r="A144">
        <v>3181</v>
      </c>
      <c r="B144">
        <v>3181</v>
      </c>
      <c r="C144">
        <f t="shared" si="2"/>
        <v>0</v>
      </c>
    </row>
    <row r="145" spans="1:3" x14ac:dyDescent="0.3">
      <c r="A145">
        <v>3191</v>
      </c>
      <c r="B145">
        <v>3191</v>
      </c>
      <c r="C145">
        <f t="shared" si="2"/>
        <v>0</v>
      </c>
    </row>
    <row r="146" spans="1:3" x14ac:dyDescent="0.3">
      <c r="A146">
        <v>3192</v>
      </c>
      <c r="B146">
        <v>3192</v>
      </c>
      <c r="C146">
        <f t="shared" si="2"/>
        <v>0</v>
      </c>
    </row>
    <row r="147" spans="1:3" x14ac:dyDescent="0.3">
      <c r="A147">
        <v>3211</v>
      </c>
      <c r="B147">
        <v>3211</v>
      </c>
      <c r="C147">
        <f t="shared" si="2"/>
        <v>0</v>
      </c>
    </row>
    <row r="148" spans="1:3" x14ac:dyDescent="0.3">
      <c r="A148">
        <v>3221</v>
      </c>
      <c r="B148">
        <v>3221</v>
      </c>
      <c r="C148">
        <f t="shared" si="2"/>
        <v>0</v>
      </c>
    </row>
    <row r="149" spans="1:3" x14ac:dyDescent="0.3">
      <c r="A149">
        <v>3231</v>
      </c>
      <c r="B149">
        <v>3231</v>
      </c>
      <c r="C149">
        <f t="shared" si="2"/>
        <v>0</v>
      </c>
    </row>
    <row r="150" spans="1:3" x14ac:dyDescent="0.3">
      <c r="A150">
        <v>3241</v>
      </c>
      <c r="B150">
        <v>3241</v>
      </c>
      <c r="C150">
        <f t="shared" si="2"/>
        <v>0</v>
      </c>
    </row>
    <row r="151" spans="1:3" x14ac:dyDescent="0.3">
      <c r="A151">
        <v>3251</v>
      </c>
      <c r="B151">
        <v>3251</v>
      </c>
      <c r="C151">
        <f t="shared" si="2"/>
        <v>0</v>
      </c>
    </row>
    <row r="152" spans="1:3" x14ac:dyDescent="0.3">
      <c r="A152">
        <v>3261</v>
      </c>
      <c r="B152">
        <v>3261</v>
      </c>
      <c r="C152">
        <f t="shared" si="2"/>
        <v>0</v>
      </c>
    </row>
    <row r="153" spans="1:3" x14ac:dyDescent="0.3">
      <c r="A153">
        <v>3271</v>
      </c>
      <c r="B153">
        <v>3271</v>
      </c>
      <c r="C153">
        <f t="shared" si="2"/>
        <v>0</v>
      </c>
    </row>
    <row r="154" spans="1:3" x14ac:dyDescent="0.3">
      <c r="A154">
        <v>3281</v>
      </c>
      <c r="B154">
        <v>3281</v>
      </c>
      <c r="C154">
        <f t="shared" si="2"/>
        <v>0</v>
      </c>
    </row>
    <row r="155" spans="1:3" x14ac:dyDescent="0.3">
      <c r="A155">
        <v>3291</v>
      </c>
      <c r="B155">
        <v>3291</v>
      </c>
      <c r="C155">
        <f t="shared" si="2"/>
        <v>0</v>
      </c>
    </row>
    <row r="156" spans="1:3" x14ac:dyDescent="0.3">
      <c r="A156">
        <v>3311</v>
      </c>
      <c r="B156">
        <v>3311</v>
      </c>
      <c r="C156">
        <f t="shared" si="2"/>
        <v>0</v>
      </c>
    </row>
    <row r="157" spans="1:3" x14ac:dyDescent="0.3">
      <c r="A157">
        <v>3321</v>
      </c>
      <c r="B157">
        <v>3321</v>
      </c>
      <c r="C157">
        <f t="shared" si="2"/>
        <v>0</v>
      </c>
    </row>
    <row r="158" spans="1:3" x14ac:dyDescent="0.3">
      <c r="A158">
        <v>3331</v>
      </c>
      <c r="B158">
        <v>3331</v>
      </c>
      <c r="C158">
        <f t="shared" si="2"/>
        <v>0</v>
      </c>
    </row>
    <row r="159" spans="1:3" x14ac:dyDescent="0.3">
      <c r="A159">
        <v>3341</v>
      </c>
      <c r="B159">
        <v>3341</v>
      </c>
      <c r="C159">
        <f t="shared" si="2"/>
        <v>0</v>
      </c>
    </row>
    <row r="160" spans="1:3" x14ac:dyDescent="0.3">
      <c r="A160">
        <v>3351</v>
      </c>
      <c r="B160">
        <v>3351</v>
      </c>
      <c r="C160">
        <f t="shared" si="2"/>
        <v>0</v>
      </c>
    </row>
    <row r="161" spans="1:3" x14ac:dyDescent="0.3">
      <c r="A161">
        <v>3361</v>
      </c>
      <c r="B161">
        <v>3361</v>
      </c>
      <c r="C161">
        <f t="shared" si="2"/>
        <v>0</v>
      </c>
    </row>
    <row r="162" spans="1:3" x14ac:dyDescent="0.3">
      <c r="A162">
        <v>3362</v>
      </c>
      <c r="B162">
        <v>3362</v>
      </c>
      <c r="C162">
        <f t="shared" si="2"/>
        <v>0</v>
      </c>
    </row>
    <row r="163" spans="1:3" x14ac:dyDescent="0.3">
      <c r="A163">
        <v>3363</v>
      </c>
      <c r="B163">
        <v>3363</v>
      </c>
      <c r="C163">
        <f t="shared" si="2"/>
        <v>0</v>
      </c>
    </row>
    <row r="164" spans="1:3" x14ac:dyDescent="0.3">
      <c r="A164">
        <v>3371</v>
      </c>
      <c r="B164">
        <v>3371</v>
      </c>
      <c r="C164">
        <f t="shared" si="2"/>
        <v>0</v>
      </c>
    </row>
    <row r="165" spans="1:3" x14ac:dyDescent="0.3">
      <c r="A165">
        <v>3381</v>
      </c>
      <c r="B165">
        <v>3381</v>
      </c>
      <c r="C165">
        <f t="shared" si="2"/>
        <v>0</v>
      </c>
    </row>
    <row r="166" spans="1:3" x14ac:dyDescent="0.3">
      <c r="A166">
        <v>3391</v>
      </c>
      <c r="B166">
        <v>3391</v>
      </c>
      <c r="C166">
        <f t="shared" si="2"/>
        <v>0</v>
      </c>
    </row>
    <row r="167" spans="1:3" x14ac:dyDescent="0.3">
      <c r="A167">
        <v>3411</v>
      </c>
      <c r="B167">
        <v>3411</v>
      </c>
      <c r="C167">
        <f t="shared" si="2"/>
        <v>0</v>
      </c>
    </row>
    <row r="168" spans="1:3" x14ac:dyDescent="0.3">
      <c r="A168">
        <v>3421</v>
      </c>
      <c r="B168">
        <v>3421</v>
      </c>
      <c r="C168">
        <f t="shared" si="2"/>
        <v>0</v>
      </c>
    </row>
    <row r="169" spans="1:3" x14ac:dyDescent="0.3">
      <c r="A169">
        <v>3431</v>
      </c>
      <c r="B169">
        <v>3431</v>
      </c>
      <c r="C169">
        <f t="shared" si="2"/>
        <v>0</v>
      </c>
    </row>
    <row r="170" spans="1:3" x14ac:dyDescent="0.3">
      <c r="A170">
        <v>3441</v>
      </c>
      <c r="B170">
        <v>3441</v>
      </c>
      <c r="C170">
        <f t="shared" si="2"/>
        <v>0</v>
      </c>
    </row>
    <row r="171" spans="1:3" x14ac:dyDescent="0.3">
      <c r="A171">
        <v>3451</v>
      </c>
      <c r="B171">
        <v>3451</v>
      </c>
      <c r="C171">
        <f t="shared" si="2"/>
        <v>0</v>
      </c>
    </row>
    <row r="172" spans="1:3" x14ac:dyDescent="0.3">
      <c r="A172">
        <v>3461</v>
      </c>
      <c r="B172">
        <v>3461</v>
      </c>
      <c r="C172">
        <f t="shared" si="2"/>
        <v>0</v>
      </c>
    </row>
    <row r="173" spans="1:3" x14ac:dyDescent="0.3">
      <c r="A173">
        <v>3471</v>
      </c>
      <c r="B173">
        <v>3471</v>
      </c>
      <c r="C173">
        <f t="shared" si="2"/>
        <v>0</v>
      </c>
    </row>
    <row r="174" spans="1:3" x14ac:dyDescent="0.3">
      <c r="A174">
        <v>3481</v>
      </c>
      <c r="B174">
        <v>3481</v>
      </c>
      <c r="C174">
        <f t="shared" si="2"/>
        <v>0</v>
      </c>
    </row>
    <row r="175" spans="1:3" x14ac:dyDescent="0.3">
      <c r="A175">
        <v>3491</v>
      </c>
      <c r="B175">
        <v>3491</v>
      </c>
      <c r="C175">
        <f t="shared" si="2"/>
        <v>0</v>
      </c>
    </row>
    <row r="176" spans="1:3" x14ac:dyDescent="0.3">
      <c r="A176">
        <v>3511</v>
      </c>
      <c r="B176">
        <v>3511</v>
      </c>
      <c r="C176">
        <f t="shared" si="2"/>
        <v>0</v>
      </c>
    </row>
    <row r="177" spans="1:3" x14ac:dyDescent="0.3">
      <c r="A177">
        <v>3512</v>
      </c>
      <c r="B177">
        <v>3512</v>
      </c>
      <c r="C177">
        <f t="shared" si="2"/>
        <v>0</v>
      </c>
    </row>
    <row r="178" spans="1:3" x14ac:dyDescent="0.3">
      <c r="A178">
        <v>3521</v>
      </c>
      <c r="B178">
        <v>3521</v>
      </c>
      <c r="C178">
        <f t="shared" si="2"/>
        <v>0</v>
      </c>
    </row>
    <row r="179" spans="1:3" x14ac:dyDescent="0.3">
      <c r="A179">
        <v>3531</v>
      </c>
      <c r="B179">
        <v>3531</v>
      </c>
      <c r="C179">
        <f t="shared" si="2"/>
        <v>0</v>
      </c>
    </row>
    <row r="180" spans="1:3" x14ac:dyDescent="0.3">
      <c r="A180">
        <v>3532</v>
      </c>
      <c r="B180">
        <v>3532</v>
      </c>
      <c r="C180">
        <f t="shared" si="2"/>
        <v>0</v>
      </c>
    </row>
    <row r="181" spans="1:3" x14ac:dyDescent="0.3">
      <c r="A181">
        <v>3541</v>
      </c>
      <c r="B181">
        <v>3541</v>
      </c>
      <c r="C181">
        <f t="shared" si="2"/>
        <v>0</v>
      </c>
    </row>
    <row r="182" spans="1:3" x14ac:dyDescent="0.3">
      <c r="A182">
        <v>3551</v>
      </c>
      <c r="B182">
        <v>3551</v>
      </c>
      <c r="C182">
        <f t="shared" si="2"/>
        <v>0</v>
      </c>
    </row>
    <row r="183" spans="1:3" x14ac:dyDescent="0.3">
      <c r="A183">
        <v>3561</v>
      </c>
      <c r="B183">
        <v>3561</v>
      </c>
      <c r="C183">
        <f t="shared" si="2"/>
        <v>0</v>
      </c>
    </row>
    <row r="184" spans="1:3" x14ac:dyDescent="0.3">
      <c r="A184">
        <v>3571</v>
      </c>
      <c r="B184">
        <v>3571</v>
      </c>
      <c r="C184">
        <f t="shared" si="2"/>
        <v>0</v>
      </c>
    </row>
    <row r="185" spans="1:3" x14ac:dyDescent="0.3">
      <c r="A185">
        <v>3581</v>
      </c>
      <c r="B185">
        <v>3581</v>
      </c>
      <c r="C185">
        <f t="shared" si="2"/>
        <v>0</v>
      </c>
    </row>
    <row r="186" spans="1:3" x14ac:dyDescent="0.3">
      <c r="A186">
        <v>3591</v>
      </c>
      <c r="B186">
        <v>3591</v>
      </c>
      <c r="C186">
        <f t="shared" si="2"/>
        <v>0</v>
      </c>
    </row>
    <row r="187" spans="1:3" x14ac:dyDescent="0.3">
      <c r="A187">
        <v>3611</v>
      </c>
      <c r="B187">
        <v>3611</v>
      </c>
      <c r="C187">
        <f t="shared" si="2"/>
        <v>0</v>
      </c>
    </row>
    <row r="188" spans="1:3" x14ac:dyDescent="0.3">
      <c r="A188">
        <v>3612</v>
      </c>
      <c r="B188">
        <v>3612</v>
      </c>
      <c r="C188">
        <f t="shared" si="2"/>
        <v>0</v>
      </c>
    </row>
    <row r="189" spans="1:3" x14ac:dyDescent="0.3">
      <c r="A189">
        <v>3613</v>
      </c>
      <c r="B189">
        <v>3613</v>
      </c>
      <c r="C189">
        <f t="shared" si="2"/>
        <v>0</v>
      </c>
    </row>
    <row r="190" spans="1:3" x14ac:dyDescent="0.3">
      <c r="A190">
        <v>3621</v>
      </c>
      <c r="B190">
        <v>3621</v>
      </c>
      <c r="C190">
        <f t="shared" si="2"/>
        <v>0</v>
      </c>
    </row>
    <row r="191" spans="1:3" x14ac:dyDescent="0.3">
      <c r="A191">
        <v>3631</v>
      </c>
      <c r="B191">
        <v>3631</v>
      </c>
      <c r="C191">
        <f t="shared" si="2"/>
        <v>0</v>
      </c>
    </row>
    <row r="192" spans="1:3" x14ac:dyDescent="0.3">
      <c r="A192">
        <v>3641</v>
      </c>
      <c r="B192">
        <v>3641</v>
      </c>
      <c r="C192">
        <f t="shared" si="2"/>
        <v>0</v>
      </c>
    </row>
    <row r="193" spans="1:3" x14ac:dyDescent="0.3">
      <c r="A193">
        <v>3651</v>
      </c>
      <c r="B193">
        <v>3651</v>
      </c>
      <c r="C193">
        <f t="shared" si="2"/>
        <v>0</v>
      </c>
    </row>
    <row r="194" spans="1:3" x14ac:dyDescent="0.3">
      <c r="A194">
        <v>3661</v>
      </c>
      <c r="B194">
        <v>3661</v>
      </c>
      <c r="C194">
        <f t="shared" si="2"/>
        <v>0</v>
      </c>
    </row>
    <row r="195" spans="1:3" x14ac:dyDescent="0.3">
      <c r="A195">
        <v>3691</v>
      </c>
      <c r="B195">
        <v>3691</v>
      </c>
      <c r="C195">
        <f t="shared" ref="C195:C258" si="3">A195-B195</f>
        <v>0</v>
      </c>
    </row>
    <row r="196" spans="1:3" x14ac:dyDescent="0.3">
      <c r="A196">
        <v>3711</v>
      </c>
      <c r="B196">
        <v>3711</v>
      </c>
      <c r="C196">
        <f t="shared" si="3"/>
        <v>0</v>
      </c>
    </row>
    <row r="197" spans="1:3" x14ac:dyDescent="0.3">
      <c r="A197">
        <v>3721</v>
      </c>
      <c r="B197">
        <v>3721</v>
      </c>
      <c r="C197">
        <f t="shared" si="3"/>
        <v>0</v>
      </c>
    </row>
    <row r="198" spans="1:3" x14ac:dyDescent="0.3">
      <c r="A198">
        <v>3731</v>
      </c>
      <c r="B198">
        <v>3731</v>
      </c>
      <c r="C198">
        <f t="shared" si="3"/>
        <v>0</v>
      </c>
    </row>
    <row r="199" spans="1:3" x14ac:dyDescent="0.3">
      <c r="A199">
        <v>3741</v>
      </c>
      <c r="B199">
        <v>3741</v>
      </c>
      <c r="C199">
        <f t="shared" si="3"/>
        <v>0</v>
      </c>
    </row>
    <row r="200" spans="1:3" x14ac:dyDescent="0.3">
      <c r="A200">
        <v>3751</v>
      </c>
      <c r="B200">
        <v>3751</v>
      </c>
      <c r="C200">
        <f t="shared" si="3"/>
        <v>0</v>
      </c>
    </row>
    <row r="201" spans="1:3" x14ac:dyDescent="0.3">
      <c r="A201">
        <v>3752</v>
      </c>
      <c r="B201">
        <v>3752</v>
      </c>
      <c r="C201">
        <f t="shared" si="3"/>
        <v>0</v>
      </c>
    </row>
    <row r="202" spans="1:3" x14ac:dyDescent="0.3">
      <c r="A202">
        <v>3753</v>
      </c>
      <c r="B202">
        <v>3753</v>
      </c>
      <c r="C202">
        <f t="shared" si="3"/>
        <v>0</v>
      </c>
    </row>
    <row r="203" spans="1:3" x14ac:dyDescent="0.3">
      <c r="A203">
        <v>3761</v>
      </c>
      <c r="B203">
        <v>3761</v>
      </c>
      <c r="C203">
        <f t="shared" si="3"/>
        <v>0</v>
      </c>
    </row>
    <row r="204" spans="1:3" x14ac:dyDescent="0.3">
      <c r="A204">
        <v>3762</v>
      </c>
      <c r="B204">
        <v>3762</v>
      </c>
      <c r="C204">
        <f t="shared" si="3"/>
        <v>0</v>
      </c>
    </row>
    <row r="205" spans="1:3" x14ac:dyDescent="0.3">
      <c r="A205">
        <v>3763</v>
      </c>
      <c r="B205">
        <v>3763</v>
      </c>
      <c r="C205">
        <f t="shared" si="3"/>
        <v>0</v>
      </c>
    </row>
    <row r="206" spans="1:3" x14ac:dyDescent="0.3">
      <c r="A206">
        <v>3771</v>
      </c>
      <c r="B206">
        <v>3771</v>
      </c>
      <c r="C206">
        <f t="shared" si="3"/>
        <v>0</v>
      </c>
    </row>
    <row r="207" spans="1:3" x14ac:dyDescent="0.3">
      <c r="A207">
        <v>3781</v>
      </c>
      <c r="B207">
        <v>3781</v>
      </c>
      <c r="C207">
        <f t="shared" si="3"/>
        <v>0</v>
      </c>
    </row>
    <row r="208" spans="1:3" x14ac:dyDescent="0.3">
      <c r="A208">
        <v>3791</v>
      </c>
      <c r="B208">
        <v>3791</v>
      </c>
      <c r="C208">
        <f t="shared" si="3"/>
        <v>0</v>
      </c>
    </row>
    <row r="209" spans="1:3" x14ac:dyDescent="0.3">
      <c r="A209">
        <v>3811</v>
      </c>
      <c r="B209">
        <v>3811</v>
      </c>
      <c r="C209">
        <f t="shared" si="3"/>
        <v>0</v>
      </c>
    </row>
    <row r="210" spans="1:3" x14ac:dyDescent="0.3">
      <c r="A210">
        <v>3821</v>
      </c>
      <c r="B210">
        <v>3821</v>
      </c>
      <c r="C210">
        <f t="shared" si="3"/>
        <v>0</v>
      </c>
    </row>
    <row r="211" spans="1:3" x14ac:dyDescent="0.3">
      <c r="A211">
        <v>3822</v>
      </c>
      <c r="B211">
        <v>3822</v>
      </c>
      <c r="C211">
        <f t="shared" si="3"/>
        <v>0</v>
      </c>
    </row>
    <row r="212" spans="1:3" x14ac:dyDescent="0.3">
      <c r="A212">
        <v>3831</v>
      </c>
      <c r="B212">
        <v>3831</v>
      </c>
      <c r="C212">
        <f t="shared" si="3"/>
        <v>0</v>
      </c>
    </row>
    <row r="213" spans="1:3" x14ac:dyDescent="0.3">
      <c r="A213">
        <v>3841</v>
      </c>
      <c r="B213">
        <v>3841</v>
      </c>
      <c r="C213">
        <f t="shared" si="3"/>
        <v>0</v>
      </c>
    </row>
    <row r="214" spans="1:3" x14ac:dyDescent="0.3">
      <c r="A214">
        <v>3851</v>
      </c>
      <c r="B214">
        <v>3851</v>
      </c>
      <c r="C214">
        <f t="shared" si="3"/>
        <v>0</v>
      </c>
    </row>
    <row r="215" spans="1:3" x14ac:dyDescent="0.3">
      <c r="A215">
        <v>3911</v>
      </c>
      <c r="B215">
        <v>3911</v>
      </c>
      <c r="C215">
        <f t="shared" si="3"/>
        <v>0</v>
      </c>
    </row>
    <row r="216" spans="1:3" x14ac:dyDescent="0.3">
      <c r="A216">
        <v>3921</v>
      </c>
      <c r="B216">
        <v>3921</v>
      </c>
      <c r="C216">
        <f t="shared" si="3"/>
        <v>0</v>
      </c>
    </row>
    <row r="217" spans="1:3" x14ac:dyDescent="0.3">
      <c r="A217">
        <v>3922</v>
      </c>
      <c r="B217">
        <v>3922</v>
      </c>
      <c r="C217">
        <f t="shared" si="3"/>
        <v>0</v>
      </c>
    </row>
    <row r="218" spans="1:3" x14ac:dyDescent="0.3">
      <c r="A218">
        <v>3931</v>
      </c>
      <c r="B218">
        <v>3931</v>
      </c>
      <c r="C218">
        <f t="shared" si="3"/>
        <v>0</v>
      </c>
    </row>
    <row r="219" spans="1:3" x14ac:dyDescent="0.3">
      <c r="A219">
        <v>3941</v>
      </c>
      <c r="B219">
        <v>3941</v>
      </c>
      <c r="C219">
        <f t="shared" si="3"/>
        <v>0</v>
      </c>
    </row>
    <row r="220" spans="1:3" x14ac:dyDescent="0.3">
      <c r="A220">
        <v>3942</v>
      </c>
      <c r="B220">
        <v>3942</v>
      </c>
      <c r="C220">
        <f t="shared" si="3"/>
        <v>0</v>
      </c>
    </row>
    <row r="221" spans="1:3" x14ac:dyDescent="0.3">
      <c r="A221">
        <v>3951</v>
      </c>
      <c r="B221">
        <v>3951</v>
      </c>
      <c r="C221">
        <f t="shared" si="3"/>
        <v>0</v>
      </c>
    </row>
    <row r="222" spans="1:3" x14ac:dyDescent="0.3">
      <c r="A222">
        <v>3961</v>
      </c>
      <c r="B222">
        <v>3961</v>
      </c>
      <c r="C222">
        <f t="shared" si="3"/>
        <v>0</v>
      </c>
    </row>
    <row r="223" spans="1:3" x14ac:dyDescent="0.3">
      <c r="A223">
        <v>3971</v>
      </c>
      <c r="B223">
        <v>3971</v>
      </c>
      <c r="C223">
        <f t="shared" si="3"/>
        <v>0</v>
      </c>
    </row>
    <row r="224" spans="1:3" x14ac:dyDescent="0.3">
      <c r="A224">
        <v>3981</v>
      </c>
      <c r="B224">
        <v>3981</v>
      </c>
      <c r="C224">
        <f t="shared" si="3"/>
        <v>0</v>
      </c>
    </row>
    <row r="225" spans="1:3" x14ac:dyDescent="0.3">
      <c r="A225">
        <v>3982</v>
      </c>
      <c r="B225">
        <v>3982</v>
      </c>
      <c r="C225">
        <f t="shared" si="3"/>
        <v>0</v>
      </c>
    </row>
    <row r="226" spans="1:3" x14ac:dyDescent="0.3">
      <c r="A226">
        <v>3983</v>
      </c>
      <c r="B226">
        <v>3983</v>
      </c>
      <c r="C226">
        <f t="shared" si="3"/>
        <v>0</v>
      </c>
    </row>
    <row r="227" spans="1:3" x14ac:dyDescent="0.3">
      <c r="A227">
        <v>3991</v>
      </c>
      <c r="B227">
        <v>3991</v>
      </c>
      <c r="C227">
        <f t="shared" si="3"/>
        <v>0</v>
      </c>
    </row>
    <row r="228" spans="1:3" x14ac:dyDescent="0.3">
      <c r="A228">
        <v>3992</v>
      </c>
      <c r="B228">
        <v>3992</v>
      </c>
      <c r="C228">
        <f t="shared" si="3"/>
        <v>0</v>
      </c>
    </row>
    <row r="229" spans="1:3" x14ac:dyDescent="0.3">
      <c r="A229">
        <v>3993</v>
      </c>
      <c r="B229">
        <v>3993</v>
      </c>
      <c r="C229">
        <f t="shared" si="3"/>
        <v>0</v>
      </c>
    </row>
    <row r="230" spans="1:3" x14ac:dyDescent="0.3">
      <c r="A230">
        <v>3994</v>
      </c>
      <c r="B230">
        <v>3994</v>
      </c>
      <c r="C230">
        <f t="shared" si="3"/>
        <v>0</v>
      </c>
    </row>
    <row r="231" spans="1:3" x14ac:dyDescent="0.3">
      <c r="A231">
        <v>3995</v>
      </c>
      <c r="B231">
        <v>3995</v>
      </c>
      <c r="C231">
        <f t="shared" si="3"/>
        <v>0</v>
      </c>
    </row>
    <row r="232" spans="1:3" x14ac:dyDescent="0.3">
      <c r="A232">
        <v>3996</v>
      </c>
      <c r="B232">
        <v>3996</v>
      </c>
      <c r="C232">
        <f t="shared" si="3"/>
        <v>0</v>
      </c>
    </row>
    <row r="233" spans="1:3" x14ac:dyDescent="0.3">
      <c r="A233">
        <v>3997</v>
      </c>
      <c r="B233">
        <v>3997</v>
      </c>
      <c r="C233">
        <f t="shared" si="3"/>
        <v>0</v>
      </c>
    </row>
    <row r="234" spans="1:3" x14ac:dyDescent="0.3">
      <c r="A234">
        <v>3998</v>
      </c>
      <c r="B234">
        <v>3998</v>
      </c>
      <c r="C234">
        <f t="shared" si="3"/>
        <v>0</v>
      </c>
    </row>
    <row r="235" spans="1:3" x14ac:dyDescent="0.3">
      <c r="A235">
        <v>4111</v>
      </c>
      <c r="B235">
        <v>4111</v>
      </c>
      <c r="C235">
        <f t="shared" si="3"/>
        <v>0</v>
      </c>
    </row>
    <row r="236" spans="1:3" x14ac:dyDescent="0.3">
      <c r="A236">
        <v>4121</v>
      </c>
      <c r="B236">
        <v>4121</v>
      </c>
      <c r="C236">
        <f t="shared" si="3"/>
        <v>0</v>
      </c>
    </row>
    <row r="237" spans="1:3" x14ac:dyDescent="0.3">
      <c r="A237">
        <v>4131</v>
      </c>
      <c r="B237">
        <v>4131</v>
      </c>
      <c r="C237">
        <f t="shared" si="3"/>
        <v>0</v>
      </c>
    </row>
    <row r="238" spans="1:3" x14ac:dyDescent="0.3">
      <c r="A238">
        <v>4141</v>
      </c>
      <c r="B238">
        <v>4141</v>
      </c>
      <c r="C238">
        <f t="shared" si="3"/>
        <v>0</v>
      </c>
    </row>
    <row r="239" spans="1:3" x14ac:dyDescent="0.3">
      <c r="A239">
        <v>4151</v>
      </c>
      <c r="B239">
        <v>4151</v>
      </c>
      <c r="C239">
        <f t="shared" si="3"/>
        <v>0</v>
      </c>
    </row>
    <row r="240" spans="1:3" x14ac:dyDescent="0.3">
      <c r="A240">
        <v>4161</v>
      </c>
      <c r="B240">
        <v>4161</v>
      </c>
      <c r="C240">
        <f t="shared" si="3"/>
        <v>0</v>
      </c>
    </row>
    <row r="241" spans="1:3" x14ac:dyDescent="0.3">
      <c r="A241">
        <v>4171</v>
      </c>
      <c r="B241">
        <v>4171</v>
      </c>
      <c r="C241">
        <f t="shared" si="3"/>
        <v>0</v>
      </c>
    </row>
    <row r="242" spans="1:3" x14ac:dyDescent="0.3">
      <c r="A242">
        <v>4181</v>
      </c>
      <c r="B242">
        <v>4181</v>
      </c>
      <c r="C242">
        <f t="shared" si="3"/>
        <v>0</v>
      </c>
    </row>
    <row r="243" spans="1:3" x14ac:dyDescent="0.3">
      <c r="A243">
        <v>4191</v>
      </c>
      <c r="B243">
        <v>4191</v>
      </c>
      <c r="C243">
        <f t="shared" si="3"/>
        <v>0</v>
      </c>
    </row>
    <row r="244" spans="1:3" x14ac:dyDescent="0.3">
      <c r="A244">
        <v>4211</v>
      </c>
      <c r="B244">
        <v>4211</v>
      </c>
      <c r="C244">
        <f t="shared" si="3"/>
        <v>0</v>
      </c>
    </row>
    <row r="245" spans="1:3" x14ac:dyDescent="0.3">
      <c r="A245">
        <v>4221</v>
      </c>
      <c r="B245">
        <v>4221</v>
      </c>
      <c r="C245">
        <f t="shared" si="3"/>
        <v>0</v>
      </c>
    </row>
    <row r="246" spans="1:3" x14ac:dyDescent="0.3">
      <c r="A246">
        <v>4231</v>
      </c>
      <c r="B246">
        <v>4231</v>
      </c>
      <c r="C246">
        <f t="shared" si="3"/>
        <v>0</v>
      </c>
    </row>
    <row r="247" spans="1:3" x14ac:dyDescent="0.3">
      <c r="A247">
        <v>4241</v>
      </c>
      <c r="B247">
        <v>4241</v>
      </c>
      <c r="C247">
        <f t="shared" si="3"/>
        <v>0</v>
      </c>
    </row>
    <row r="248" spans="1:3" x14ac:dyDescent="0.3">
      <c r="A248">
        <v>4242</v>
      </c>
      <c r="B248">
        <v>4242</v>
      </c>
      <c r="C248">
        <f t="shared" si="3"/>
        <v>0</v>
      </c>
    </row>
    <row r="249" spans="1:3" x14ac:dyDescent="0.3">
      <c r="A249">
        <v>4251</v>
      </c>
      <c r="B249">
        <v>4251</v>
      </c>
      <c r="C249">
        <f t="shared" si="3"/>
        <v>0</v>
      </c>
    </row>
    <row r="250" spans="1:3" x14ac:dyDescent="0.3">
      <c r="A250">
        <v>4311</v>
      </c>
      <c r="B250">
        <v>4311</v>
      </c>
      <c r="C250">
        <f t="shared" si="3"/>
        <v>0</v>
      </c>
    </row>
    <row r="251" spans="1:3" x14ac:dyDescent="0.3">
      <c r="A251">
        <v>4321</v>
      </c>
      <c r="B251">
        <v>4321</v>
      </c>
      <c r="C251">
        <f t="shared" si="3"/>
        <v>0</v>
      </c>
    </row>
    <row r="252" spans="1:3" x14ac:dyDescent="0.3">
      <c r="A252">
        <v>4331</v>
      </c>
      <c r="B252">
        <v>4331</v>
      </c>
      <c r="C252">
        <f t="shared" si="3"/>
        <v>0</v>
      </c>
    </row>
    <row r="253" spans="1:3" x14ac:dyDescent="0.3">
      <c r="A253">
        <v>4341</v>
      </c>
      <c r="B253">
        <v>4341</v>
      </c>
      <c r="C253">
        <f t="shared" si="3"/>
        <v>0</v>
      </c>
    </row>
    <row r="254" spans="1:3" x14ac:dyDescent="0.3">
      <c r="A254">
        <v>4351</v>
      </c>
      <c r="B254">
        <v>4351</v>
      </c>
      <c r="C254">
        <f t="shared" si="3"/>
        <v>0</v>
      </c>
    </row>
    <row r="255" spans="1:3" x14ac:dyDescent="0.3">
      <c r="A255">
        <v>4361</v>
      </c>
      <c r="B255">
        <v>4361</v>
      </c>
      <c r="C255">
        <f t="shared" si="3"/>
        <v>0</v>
      </c>
    </row>
    <row r="256" spans="1:3" x14ac:dyDescent="0.3">
      <c r="A256">
        <v>4371</v>
      </c>
      <c r="B256">
        <v>4371</v>
      </c>
      <c r="C256">
        <f t="shared" si="3"/>
        <v>0</v>
      </c>
    </row>
    <row r="257" spans="1:3" x14ac:dyDescent="0.3">
      <c r="A257">
        <v>4381</v>
      </c>
      <c r="B257">
        <v>4381</v>
      </c>
      <c r="C257">
        <f t="shared" si="3"/>
        <v>0</v>
      </c>
    </row>
    <row r="258" spans="1:3" x14ac:dyDescent="0.3">
      <c r="A258">
        <v>4382</v>
      </c>
      <c r="B258">
        <v>4382</v>
      </c>
      <c r="C258">
        <f t="shared" si="3"/>
        <v>0</v>
      </c>
    </row>
    <row r="259" spans="1:3" x14ac:dyDescent="0.3">
      <c r="A259">
        <v>4383</v>
      </c>
      <c r="B259">
        <v>4383</v>
      </c>
      <c r="C259">
        <f t="shared" ref="C259:C322" si="4">A259-B259</f>
        <v>0</v>
      </c>
    </row>
    <row r="260" spans="1:3" x14ac:dyDescent="0.3">
      <c r="A260">
        <v>4391</v>
      </c>
      <c r="B260">
        <v>4391</v>
      </c>
      <c r="C260">
        <f t="shared" si="4"/>
        <v>0</v>
      </c>
    </row>
    <row r="261" spans="1:3" x14ac:dyDescent="0.3">
      <c r="A261">
        <v>4392</v>
      </c>
      <c r="B261">
        <v>4392</v>
      </c>
      <c r="C261">
        <f t="shared" si="4"/>
        <v>0</v>
      </c>
    </row>
    <row r="262" spans="1:3" x14ac:dyDescent="0.3">
      <c r="A262">
        <v>4393</v>
      </c>
      <c r="B262">
        <v>4393</v>
      </c>
      <c r="C262">
        <f t="shared" si="4"/>
        <v>0</v>
      </c>
    </row>
    <row r="263" spans="1:3" x14ac:dyDescent="0.3">
      <c r="A263">
        <v>4394</v>
      </c>
      <c r="B263">
        <v>4394</v>
      </c>
      <c r="C263">
        <f t="shared" si="4"/>
        <v>0</v>
      </c>
    </row>
    <row r="264" spans="1:3" x14ac:dyDescent="0.3">
      <c r="A264">
        <v>4411</v>
      </c>
      <c r="B264">
        <v>4411</v>
      </c>
      <c r="C264">
        <f t="shared" si="4"/>
        <v>0</v>
      </c>
    </row>
    <row r="265" spans="1:3" x14ac:dyDescent="0.3">
      <c r="A265">
        <v>4412</v>
      </c>
      <c r="B265">
        <v>4412</v>
      </c>
      <c r="C265">
        <f t="shared" si="4"/>
        <v>0</v>
      </c>
    </row>
    <row r="266" spans="1:3" x14ac:dyDescent="0.3">
      <c r="A266">
        <v>4413</v>
      </c>
      <c r="B266">
        <v>4413</v>
      </c>
      <c r="C266">
        <f t="shared" si="4"/>
        <v>0</v>
      </c>
    </row>
    <row r="267" spans="1:3" x14ac:dyDescent="0.3">
      <c r="A267">
        <v>4414</v>
      </c>
      <c r="B267">
        <v>4414</v>
      </c>
      <c r="C267">
        <f t="shared" si="4"/>
        <v>0</v>
      </c>
    </row>
    <row r="268" spans="1:3" x14ac:dyDescent="0.3">
      <c r="A268">
        <v>4415</v>
      </c>
      <c r="B268">
        <v>4415</v>
      </c>
      <c r="C268">
        <f t="shared" si="4"/>
        <v>0</v>
      </c>
    </row>
    <row r="269" spans="1:3" x14ac:dyDescent="0.3">
      <c r="A269">
        <v>4416</v>
      </c>
      <c r="B269">
        <v>4416</v>
      </c>
      <c r="C269">
        <f t="shared" si="4"/>
        <v>0</v>
      </c>
    </row>
    <row r="270" spans="1:3" x14ac:dyDescent="0.3">
      <c r="A270">
        <v>4421</v>
      </c>
      <c r="B270">
        <v>4421</v>
      </c>
      <c r="C270">
        <f t="shared" si="4"/>
        <v>0</v>
      </c>
    </row>
    <row r="271" spans="1:3" x14ac:dyDescent="0.3">
      <c r="A271">
        <v>4422</v>
      </c>
      <c r="B271">
        <v>4422</v>
      </c>
      <c r="C271">
        <f t="shared" si="4"/>
        <v>0</v>
      </c>
    </row>
    <row r="272" spans="1:3" x14ac:dyDescent="0.3">
      <c r="A272">
        <v>4423</v>
      </c>
      <c r="B272">
        <v>4423</v>
      </c>
      <c r="C272">
        <f t="shared" si="4"/>
        <v>0</v>
      </c>
    </row>
    <row r="273" spans="1:3" x14ac:dyDescent="0.3">
      <c r="A273">
        <v>4431</v>
      </c>
      <c r="B273">
        <v>4431</v>
      </c>
      <c r="C273">
        <f t="shared" si="4"/>
        <v>0</v>
      </c>
    </row>
    <row r="274" spans="1:3" x14ac:dyDescent="0.3">
      <c r="A274">
        <v>4432</v>
      </c>
      <c r="B274">
        <v>4432</v>
      </c>
      <c r="C274">
        <f t="shared" si="4"/>
        <v>0</v>
      </c>
    </row>
    <row r="275" spans="1:3" x14ac:dyDescent="0.3">
      <c r="A275">
        <v>4441</v>
      </c>
      <c r="B275">
        <v>4441</v>
      </c>
      <c r="C275">
        <f t="shared" si="4"/>
        <v>0</v>
      </c>
    </row>
    <row r="276" spans="1:3" x14ac:dyDescent="0.3">
      <c r="A276">
        <v>4451</v>
      </c>
      <c r="B276">
        <v>4451</v>
      </c>
      <c r="C276">
        <f t="shared" si="4"/>
        <v>0</v>
      </c>
    </row>
    <row r="277" spans="1:3" x14ac:dyDescent="0.3">
      <c r="A277">
        <v>4452</v>
      </c>
      <c r="B277">
        <v>4452</v>
      </c>
      <c r="C277">
        <f t="shared" si="4"/>
        <v>0</v>
      </c>
    </row>
    <row r="278" spans="1:3" x14ac:dyDescent="0.3">
      <c r="A278">
        <v>4461</v>
      </c>
      <c r="B278">
        <v>4461</v>
      </c>
      <c r="C278">
        <f t="shared" si="4"/>
        <v>0</v>
      </c>
    </row>
    <row r="279" spans="1:3" x14ac:dyDescent="0.3">
      <c r="A279">
        <v>4471</v>
      </c>
      <c r="B279">
        <v>4471</v>
      </c>
      <c r="C279">
        <f t="shared" si="4"/>
        <v>0</v>
      </c>
    </row>
    <row r="280" spans="1:3" x14ac:dyDescent="0.3">
      <c r="A280">
        <v>4481</v>
      </c>
      <c r="B280">
        <v>4481</v>
      </c>
      <c r="C280">
        <f t="shared" si="4"/>
        <v>0</v>
      </c>
    </row>
    <row r="281" spans="1:3" x14ac:dyDescent="0.3">
      <c r="A281">
        <v>4482</v>
      </c>
      <c r="B281">
        <v>4482</v>
      </c>
      <c r="C281">
        <f t="shared" si="4"/>
        <v>0</v>
      </c>
    </row>
    <row r="282" spans="1:3" x14ac:dyDescent="0.3">
      <c r="A282">
        <v>4511</v>
      </c>
      <c r="B282">
        <v>4511</v>
      </c>
      <c r="C282">
        <f t="shared" si="4"/>
        <v>0</v>
      </c>
    </row>
    <row r="283" spans="1:3" x14ac:dyDescent="0.3">
      <c r="A283">
        <v>4521</v>
      </c>
      <c r="B283">
        <v>4521</v>
      </c>
      <c r="C283">
        <f t="shared" si="4"/>
        <v>0</v>
      </c>
    </row>
    <row r="284" spans="1:3" x14ac:dyDescent="0.3">
      <c r="A284">
        <v>4591</v>
      </c>
      <c r="B284">
        <v>4591</v>
      </c>
      <c r="C284">
        <f t="shared" si="4"/>
        <v>0</v>
      </c>
    </row>
    <row r="285" spans="1:3" x14ac:dyDescent="0.3">
      <c r="A285">
        <v>4592</v>
      </c>
      <c r="B285">
        <v>4592</v>
      </c>
      <c r="C285">
        <f t="shared" si="4"/>
        <v>0</v>
      </c>
    </row>
    <row r="286" spans="1:3" x14ac:dyDescent="0.3">
      <c r="A286">
        <v>4611</v>
      </c>
      <c r="B286">
        <v>4611</v>
      </c>
      <c r="C286">
        <f t="shared" si="4"/>
        <v>0</v>
      </c>
    </row>
    <row r="287" spans="1:3" x14ac:dyDescent="0.3">
      <c r="A287">
        <v>4621</v>
      </c>
      <c r="B287">
        <v>4621</v>
      </c>
      <c r="C287">
        <f t="shared" si="4"/>
        <v>0</v>
      </c>
    </row>
    <row r="288" spans="1:3" x14ac:dyDescent="0.3">
      <c r="A288">
        <v>4631</v>
      </c>
      <c r="B288">
        <v>4631</v>
      </c>
      <c r="C288">
        <f t="shared" si="4"/>
        <v>0</v>
      </c>
    </row>
    <row r="289" spans="1:3" x14ac:dyDescent="0.3">
      <c r="A289">
        <v>4641</v>
      </c>
      <c r="B289">
        <v>4641</v>
      </c>
      <c r="C289">
        <f t="shared" si="4"/>
        <v>0</v>
      </c>
    </row>
    <row r="290" spans="1:3" x14ac:dyDescent="0.3">
      <c r="A290">
        <v>4651</v>
      </c>
      <c r="B290">
        <v>4651</v>
      </c>
      <c r="C290">
        <f t="shared" si="4"/>
        <v>0</v>
      </c>
    </row>
    <row r="291" spans="1:3" x14ac:dyDescent="0.3">
      <c r="A291">
        <v>4661</v>
      </c>
      <c r="B291">
        <v>4661</v>
      </c>
      <c r="C291">
        <f t="shared" si="4"/>
        <v>0</v>
      </c>
    </row>
    <row r="292" spans="1:3" x14ac:dyDescent="0.3">
      <c r="A292">
        <v>4691</v>
      </c>
      <c r="B292">
        <v>4691</v>
      </c>
      <c r="C292">
        <f t="shared" si="4"/>
        <v>0</v>
      </c>
    </row>
    <row r="293" spans="1:3" x14ac:dyDescent="0.3">
      <c r="A293">
        <v>4711</v>
      </c>
      <c r="B293">
        <v>4711</v>
      </c>
      <c r="C293">
        <f t="shared" si="4"/>
        <v>0</v>
      </c>
    </row>
    <row r="294" spans="1:3" x14ac:dyDescent="0.3">
      <c r="A294">
        <v>4811</v>
      </c>
      <c r="B294">
        <v>4811</v>
      </c>
      <c r="C294">
        <f t="shared" si="4"/>
        <v>0</v>
      </c>
    </row>
    <row r="295" spans="1:3" x14ac:dyDescent="0.3">
      <c r="A295">
        <v>4821</v>
      </c>
      <c r="B295">
        <v>4821</v>
      </c>
      <c r="C295">
        <f t="shared" si="4"/>
        <v>0</v>
      </c>
    </row>
    <row r="296" spans="1:3" x14ac:dyDescent="0.3">
      <c r="A296">
        <v>4822</v>
      </c>
      <c r="B296">
        <v>4822</v>
      </c>
      <c r="C296">
        <f t="shared" si="4"/>
        <v>0</v>
      </c>
    </row>
    <row r="297" spans="1:3" x14ac:dyDescent="0.3">
      <c r="A297">
        <v>4831</v>
      </c>
      <c r="B297">
        <v>4831</v>
      </c>
      <c r="C297">
        <f t="shared" si="4"/>
        <v>0</v>
      </c>
    </row>
    <row r="298" spans="1:3" x14ac:dyDescent="0.3">
      <c r="A298">
        <v>4841</v>
      </c>
      <c r="B298">
        <v>4841</v>
      </c>
      <c r="C298">
        <f t="shared" si="4"/>
        <v>0</v>
      </c>
    </row>
    <row r="299" spans="1:3" x14ac:dyDescent="0.3">
      <c r="A299">
        <v>4851</v>
      </c>
      <c r="B299">
        <v>4851</v>
      </c>
      <c r="C299">
        <f t="shared" si="4"/>
        <v>0</v>
      </c>
    </row>
    <row r="300" spans="1:3" x14ac:dyDescent="0.3">
      <c r="A300">
        <v>4911</v>
      </c>
      <c r="B300">
        <v>4911</v>
      </c>
      <c r="C300">
        <f t="shared" si="4"/>
        <v>0</v>
      </c>
    </row>
    <row r="301" spans="1:3" x14ac:dyDescent="0.3">
      <c r="A301">
        <v>4921</v>
      </c>
      <c r="B301">
        <v>4921</v>
      </c>
      <c r="C301">
        <f t="shared" si="4"/>
        <v>0</v>
      </c>
    </row>
    <row r="302" spans="1:3" x14ac:dyDescent="0.3">
      <c r="A302">
        <v>4931</v>
      </c>
      <c r="B302">
        <v>4931</v>
      </c>
      <c r="C302">
        <f t="shared" si="4"/>
        <v>0</v>
      </c>
    </row>
    <row r="303" spans="1:3" x14ac:dyDescent="0.3">
      <c r="A303">
        <v>5111</v>
      </c>
      <c r="B303">
        <v>5111</v>
      </c>
      <c r="C303">
        <f t="shared" si="4"/>
        <v>0</v>
      </c>
    </row>
    <row r="304" spans="1:3" x14ac:dyDescent="0.3">
      <c r="A304">
        <v>5112</v>
      </c>
      <c r="B304">
        <v>5112</v>
      </c>
      <c r="C304">
        <f t="shared" si="4"/>
        <v>0</v>
      </c>
    </row>
    <row r="305" spans="1:3" x14ac:dyDescent="0.3">
      <c r="A305">
        <v>5121</v>
      </c>
      <c r="B305">
        <v>5121</v>
      </c>
      <c r="C305">
        <f t="shared" si="4"/>
        <v>0</v>
      </c>
    </row>
    <row r="306" spans="1:3" x14ac:dyDescent="0.3">
      <c r="A306">
        <v>5131</v>
      </c>
      <c r="B306">
        <v>5131</v>
      </c>
      <c r="C306">
        <f t="shared" si="4"/>
        <v>0</v>
      </c>
    </row>
    <row r="307" spans="1:3" x14ac:dyDescent="0.3">
      <c r="A307">
        <v>5132</v>
      </c>
      <c r="B307">
        <v>5132</v>
      </c>
      <c r="C307">
        <f t="shared" si="4"/>
        <v>0</v>
      </c>
    </row>
    <row r="308" spans="1:3" x14ac:dyDescent="0.3">
      <c r="A308">
        <v>5133</v>
      </c>
      <c r="B308">
        <v>5133</v>
      </c>
      <c r="C308">
        <f t="shared" si="4"/>
        <v>0</v>
      </c>
    </row>
    <row r="309" spans="1:3" x14ac:dyDescent="0.3">
      <c r="A309">
        <v>5141</v>
      </c>
      <c r="B309">
        <v>5141</v>
      </c>
      <c r="C309">
        <f t="shared" si="4"/>
        <v>0</v>
      </c>
    </row>
    <row r="310" spans="1:3" x14ac:dyDescent="0.3">
      <c r="A310">
        <v>5151</v>
      </c>
      <c r="B310">
        <v>5151</v>
      </c>
      <c r="C310">
        <f t="shared" si="4"/>
        <v>0</v>
      </c>
    </row>
    <row r="311" spans="1:3" x14ac:dyDescent="0.3">
      <c r="A311">
        <v>5191</v>
      </c>
      <c r="B311">
        <v>5191</v>
      </c>
      <c r="C311">
        <f t="shared" si="4"/>
        <v>0</v>
      </c>
    </row>
    <row r="312" spans="1:3" x14ac:dyDescent="0.3">
      <c r="A312">
        <v>5192</v>
      </c>
      <c r="B312">
        <v>5192</v>
      </c>
      <c r="C312">
        <f t="shared" si="4"/>
        <v>0</v>
      </c>
    </row>
    <row r="313" spans="1:3" x14ac:dyDescent="0.3">
      <c r="A313">
        <v>5211</v>
      </c>
      <c r="B313">
        <v>5211</v>
      </c>
      <c r="C313">
        <f t="shared" si="4"/>
        <v>0</v>
      </c>
    </row>
    <row r="314" spans="1:3" x14ac:dyDescent="0.3">
      <c r="A314">
        <v>5221</v>
      </c>
      <c r="B314">
        <v>5221</v>
      </c>
      <c r="C314">
        <f t="shared" si="4"/>
        <v>0</v>
      </c>
    </row>
    <row r="315" spans="1:3" x14ac:dyDescent="0.3">
      <c r="A315">
        <v>5231</v>
      </c>
      <c r="B315">
        <v>5231</v>
      </c>
      <c r="C315">
        <f t="shared" si="4"/>
        <v>0</v>
      </c>
    </row>
    <row r="316" spans="1:3" x14ac:dyDescent="0.3">
      <c r="A316">
        <v>5291</v>
      </c>
      <c r="B316">
        <v>5291</v>
      </c>
      <c r="C316">
        <f t="shared" si="4"/>
        <v>0</v>
      </c>
    </row>
    <row r="317" spans="1:3" x14ac:dyDescent="0.3">
      <c r="A317">
        <v>5311</v>
      </c>
      <c r="B317">
        <v>5311</v>
      </c>
      <c r="C317">
        <f t="shared" si="4"/>
        <v>0</v>
      </c>
    </row>
    <row r="318" spans="1:3" x14ac:dyDescent="0.3">
      <c r="A318">
        <v>5321</v>
      </c>
      <c r="B318">
        <v>5321</v>
      </c>
      <c r="C318">
        <f t="shared" si="4"/>
        <v>0</v>
      </c>
    </row>
    <row r="319" spans="1:3" x14ac:dyDescent="0.3">
      <c r="A319">
        <v>5411</v>
      </c>
      <c r="B319">
        <v>5411</v>
      </c>
      <c r="C319">
        <f t="shared" si="4"/>
        <v>0</v>
      </c>
    </row>
    <row r="320" spans="1:3" x14ac:dyDescent="0.3">
      <c r="A320">
        <v>5412</v>
      </c>
      <c r="B320">
        <v>5412</v>
      </c>
      <c r="C320">
        <f t="shared" si="4"/>
        <v>0</v>
      </c>
    </row>
    <row r="321" spans="1:3" x14ac:dyDescent="0.3">
      <c r="A321">
        <v>5421</v>
      </c>
      <c r="B321">
        <v>5421</v>
      </c>
      <c r="C321">
        <f t="shared" si="4"/>
        <v>0</v>
      </c>
    </row>
    <row r="322" spans="1:3" x14ac:dyDescent="0.3">
      <c r="A322">
        <v>5431</v>
      </c>
      <c r="B322">
        <v>5431</v>
      </c>
      <c r="C322">
        <f t="shared" si="4"/>
        <v>0</v>
      </c>
    </row>
    <row r="323" spans="1:3" x14ac:dyDescent="0.3">
      <c r="A323">
        <v>5441</v>
      </c>
      <c r="B323">
        <v>5441</v>
      </c>
      <c r="C323">
        <f t="shared" ref="C323:C386" si="5">A323-B323</f>
        <v>0</v>
      </c>
    </row>
    <row r="324" spans="1:3" x14ac:dyDescent="0.3">
      <c r="A324">
        <v>5451</v>
      </c>
      <c r="B324">
        <v>5451</v>
      </c>
      <c r="C324">
        <f t="shared" si="5"/>
        <v>0</v>
      </c>
    </row>
    <row r="325" spans="1:3" x14ac:dyDescent="0.3">
      <c r="A325">
        <v>5491</v>
      </c>
      <c r="B325">
        <v>5491</v>
      </c>
      <c r="C325">
        <f t="shared" si="5"/>
        <v>0</v>
      </c>
    </row>
    <row r="326" spans="1:3" x14ac:dyDescent="0.3">
      <c r="A326">
        <v>5511</v>
      </c>
      <c r="B326">
        <v>5511</v>
      </c>
      <c r="C326">
        <f t="shared" si="5"/>
        <v>0</v>
      </c>
    </row>
    <row r="327" spans="1:3" x14ac:dyDescent="0.3">
      <c r="A327">
        <v>5611</v>
      </c>
      <c r="B327">
        <v>5611</v>
      </c>
      <c r="C327">
        <f t="shared" si="5"/>
        <v>0</v>
      </c>
    </row>
    <row r="328" spans="1:3" x14ac:dyDescent="0.3">
      <c r="A328">
        <v>5621</v>
      </c>
      <c r="B328">
        <v>5621</v>
      </c>
      <c r="C328">
        <f t="shared" si="5"/>
        <v>0</v>
      </c>
    </row>
    <row r="329" spans="1:3" x14ac:dyDescent="0.3">
      <c r="A329">
        <v>5622</v>
      </c>
      <c r="B329">
        <v>5622</v>
      </c>
      <c r="C329">
        <f t="shared" si="5"/>
        <v>0</v>
      </c>
    </row>
    <row r="330" spans="1:3" x14ac:dyDescent="0.3">
      <c r="A330">
        <v>5631</v>
      </c>
      <c r="B330">
        <v>5631</v>
      </c>
      <c r="C330">
        <f t="shared" si="5"/>
        <v>0</v>
      </c>
    </row>
    <row r="331" spans="1:3" x14ac:dyDescent="0.3">
      <c r="A331">
        <v>5641</v>
      </c>
      <c r="B331">
        <v>5641</v>
      </c>
      <c r="C331">
        <f t="shared" si="5"/>
        <v>0</v>
      </c>
    </row>
    <row r="332" spans="1:3" x14ac:dyDescent="0.3">
      <c r="A332">
        <v>5651</v>
      </c>
      <c r="B332">
        <v>5651</v>
      </c>
      <c r="C332">
        <f t="shared" si="5"/>
        <v>0</v>
      </c>
    </row>
    <row r="333" spans="1:3" x14ac:dyDescent="0.3">
      <c r="A333">
        <v>5661</v>
      </c>
      <c r="B333">
        <v>5661</v>
      </c>
      <c r="C333">
        <f t="shared" si="5"/>
        <v>0</v>
      </c>
    </row>
    <row r="334" spans="1:3" x14ac:dyDescent="0.3">
      <c r="A334">
        <v>5671</v>
      </c>
      <c r="B334">
        <v>5671</v>
      </c>
      <c r="C334">
        <f t="shared" si="5"/>
        <v>0</v>
      </c>
    </row>
    <row r="335" spans="1:3" x14ac:dyDescent="0.3">
      <c r="A335">
        <v>5691</v>
      </c>
      <c r="B335">
        <v>5691</v>
      </c>
      <c r="C335">
        <f t="shared" si="5"/>
        <v>0</v>
      </c>
    </row>
    <row r="336" spans="1:3" x14ac:dyDescent="0.3">
      <c r="A336">
        <v>5692</v>
      </c>
      <c r="B336">
        <v>5692</v>
      </c>
      <c r="C336">
        <f t="shared" si="5"/>
        <v>0</v>
      </c>
    </row>
    <row r="337" spans="1:3" x14ac:dyDescent="0.3">
      <c r="A337">
        <v>5693</v>
      </c>
      <c r="B337">
        <v>5693</v>
      </c>
      <c r="C337">
        <f t="shared" si="5"/>
        <v>0</v>
      </c>
    </row>
    <row r="338" spans="1:3" x14ac:dyDescent="0.3">
      <c r="A338">
        <v>5711</v>
      </c>
      <c r="B338">
        <v>5711</v>
      </c>
      <c r="C338">
        <f t="shared" si="5"/>
        <v>0</v>
      </c>
    </row>
    <row r="339" spans="1:3" x14ac:dyDescent="0.3">
      <c r="A339">
        <v>5721</v>
      </c>
      <c r="B339">
        <v>5721</v>
      </c>
      <c r="C339">
        <f t="shared" si="5"/>
        <v>0</v>
      </c>
    </row>
    <row r="340" spans="1:3" x14ac:dyDescent="0.3">
      <c r="A340">
        <v>5731</v>
      </c>
      <c r="B340">
        <v>5731</v>
      </c>
      <c r="C340">
        <f t="shared" si="5"/>
        <v>0</v>
      </c>
    </row>
    <row r="341" spans="1:3" x14ac:dyDescent="0.3">
      <c r="A341">
        <v>5741</v>
      </c>
      <c r="B341">
        <v>5741</v>
      </c>
      <c r="C341">
        <f t="shared" si="5"/>
        <v>0</v>
      </c>
    </row>
    <row r="342" spans="1:3" x14ac:dyDescent="0.3">
      <c r="A342">
        <v>5751</v>
      </c>
      <c r="B342">
        <v>5751</v>
      </c>
      <c r="C342">
        <f t="shared" si="5"/>
        <v>0</v>
      </c>
    </row>
    <row r="343" spans="1:3" x14ac:dyDescent="0.3">
      <c r="A343">
        <v>5761</v>
      </c>
      <c r="B343">
        <v>5761</v>
      </c>
      <c r="C343">
        <f t="shared" si="5"/>
        <v>0</v>
      </c>
    </row>
    <row r="344" spans="1:3" x14ac:dyDescent="0.3">
      <c r="A344">
        <v>5771</v>
      </c>
      <c r="B344">
        <v>5771</v>
      </c>
      <c r="C344">
        <f t="shared" si="5"/>
        <v>0</v>
      </c>
    </row>
    <row r="345" spans="1:3" x14ac:dyDescent="0.3">
      <c r="A345">
        <v>5781</v>
      </c>
      <c r="B345">
        <v>5781</v>
      </c>
      <c r="C345">
        <f t="shared" si="5"/>
        <v>0</v>
      </c>
    </row>
    <row r="346" spans="1:3" x14ac:dyDescent="0.3">
      <c r="A346">
        <v>5791</v>
      </c>
      <c r="B346">
        <v>5791</v>
      </c>
      <c r="C346">
        <f t="shared" si="5"/>
        <v>0</v>
      </c>
    </row>
    <row r="347" spans="1:3" x14ac:dyDescent="0.3">
      <c r="A347">
        <v>5811</v>
      </c>
      <c r="B347">
        <v>5811</v>
      </c>
      <c r="C347">
        <f t="shared" si="5"/>
        <v>0</v>
      </c>
    </row>
    <row r="348" spans="1:3" x14ac:dyDescent="0.3">
      <c r="A348">
        <v>5821</v>
      </c>
      <c r="B348">
        <v>5821</v>
      </c>
      <c r="C348">
        <f t="shared" si="5"/>
        <v>0</v>
      </c>
    </row>
    <row r="349" spans="1:3" x14ac:dyDescent="0.3">
      <c r="A349">
        <v>5831</v>
      </c>
      <c r="B349">
        <v>5831</v>
      </c>
      <c r="C349">
        <f t="shared" si="5"/>
        <v>0</v>
      </c>
    </row>
    <row r="350" spans="1:3" x14ac:dyDescent="0.3">
      <c r="A350">
        <v>5891</v>
      </c>
      <c r="B350">
        <v>5891</v>
      </c>
      <c r="C350">
        <f t="shared" si="5"/>
        <v>0</v>
      </c>
    </row>
    <row r="351" spans="1:3" x14ac:dyDescent="0.3">
      <c r="A351">
        <v>5892</v>
      </c>
      <c r="B351">
        <v>5892</v>
      </c>
      <c r="C351">
        <f t="shared" si="5"/>
        <v>0</v>
      </c>
    </row>
    <row r="352" spans="1:3" x14ac:dyDescent="0.3">
      <c r="A352">
        <v>5893</v>
      </c>
      <c r="B352">
        <v>5893</v>
      </c>
      <c r="C352">
        <f t="shared" si="5"/>
        <v>0</v>
      </c>
    </row>
    <row r="353" spans="1:3" x14ac:dyDescent="0.3">
      <c r="A353">
        <v>5911</v>
      </c>
      <c r="B353">
        <v>5911</v>
      </c>
      <c r="C353">
        <f t="shared" si="5"/>
        <v>0</v>
      </c>
    </row>
    <row r="354" spans="1:3" x14ac:dyDescent="0.3">
      <c r="A354">
        <v>5921</v>
      </c>
      <c r="B354">
        <v>5921</v>
      </c>
      <c r="C354">
        <f t="shared" si="5"/>
        <v>0</v>
      </c>
    </row>
    <row r="355" spans="1:3" x14ac:dyDescent="0.3">
      <c r="A355">
        <v>5931</v>
      </c>
      <c r="B355">
        <v>5931</v>
      </c>
      <c r="C355">
        <f t="shared" si="5"/>
        <v>0</v>
      </c>
    </row>
    <row r="356" spans="1:3" x14ac:dyDescent="0.3">
      <c r="A356">
        <v>5941</v>
      </c>
      <c r="B356">
        <v>5941</v>
      </c>
      <c r="C356">
        <f t="shared" si="5"/>
        <v>0</v>
      </c>
    </row>
    <row r="357" spans="1:3" x14ac:dyDescent="0.3">
      <c r="A357">
        <v>5951</v>
      </c>
      <c r="B357">
        <v>5951</v>
      </c>
      <c r="C357">
        <f t="shared" si="5"/>
        <v>0</v>
      </c>
    </row>
    <row r="358" spans="1:3" x14ac:dyDescent="0.3">
      <c r="A358">
        <v>5961</v>
      </c>
      <c r="B358">
        <v>5961</v>
      </c>
      <c r="C358">
        <f t="shared" si="5"/>
        <v>0</v>
      </c>
    </row>
    <row r="359" spans="1:3" x14ac:dyDescent="0.3">
      <c r="A359">
        <v>5971</v>
      </c>
      <c r="B359">
        <v>5971</v>
      </c>
      <c r="C359">
        <f t="shared" si="5"/>
        <v>0</v>
      </c>
    </row>
    <row r="360" spans="1:3" x14ac:dyDescent="0.3">
      <c r="A360">
        <v>5981</v>
      </c>
      <c r="B360">
        <v>5981</v>
      </c>
      <c r="C360">
        <f t="shared" si="5"/>
        <v>0</v>
      </c>
    </row>
    <row r="361" spans="1:3" x14ac:dyDescent="0.3">
      <c r="A361">
        <v>5991</v>
      </c>
      <c r="B361">
        <v>5991</v>
      </c>
      <c r="C361">
        <f t="shared" si="5"/>
        <v>0</v>
      </c>
    </row>
    <row r="362" spans="1:3" x14ac:dyDescent="0.3">
      <c r="A362">
        <v>6111</v>
      </c>
      <c r="B362">
        <v>6111</v>
      </c>
      <c r="C362">
        <f t="shared" si="5"/>
        <v>0</v>
      </c>
    </row>
    <row r="363" spans="1:3" x14ac:dyDescent="0.3">
      <c r="A363">
        <v>6121</v>
      </c>
      <c r="B363">
        <v>6121</v>
      </c>
      <c r="C363">
        <f t="shared" si="5"/>
        <v>0</v>
      </c>
    </row>
    <row r="364" spans="1:3" x14ac:dyDescent="0.3">
      <c r="A364">
        <v>6122</v>
      </c>
      <c r="B364">
        <v>6122</v>
      </c>
      <c r="C364">
        <f t="shared" si="5"/>
        <v>0</v>
      </c>
    </row>
    <row r="365" spans="1:3" x14ac:dyDescent="0.3">
      <c r="A365">
        <v>6123</v>
      </c>
      <c r="B365">
        <v>6123</v>
      </c>
      <c r="C365">
        <f t="shared" si="5"/>
        <v>0</v>
      </c>
    </row>
    <row r="366" spans="1:3" x14ac:dyDescent="0.3">
      <c r="A366">
        <v>6124</v>
      </c>
      <c r="B366">
        <v>6124</v>
      </c>
      <c r="C366">
        <f t="shared" si="5"/>
        <v>0</v>
      </c>
    </row>
    <row r="367" spans="1:3" x14ac:dyDescent="0.3">
      <c r="A367">
        <v>6125</v>
      </c>
      <c r="B367">
        <v>6125</v>
      </c>
      <c r="C367">
        <f t="shared" si="5"/>
        <v>0</v>
      </c>
    </row>
    <row r="368" spans="1:3" x14ac:dyDescent="0.3">
      <c r="A368">
        <v>6126</v>
      </c>
      <c r="B368">
        <v>6126</v>
      </c>
      <c r="C368">
        <f t="shared" si="5"/>
        <v>0</v>
      </c>
    </row>
    <row r="369" spans="1:3" x14ac:dyDescent="0.3">
      <c r="A369">
        <v>6127</v>
      </c>
      <c r="B369">
        <v>6127</v>
      </c>
      <c r="C369">
        <f t="shared" si="5"/>
        <v>0</v>
      </c>
    </row>
    <row r="370" spans="1:3" x14ac:dyDescent="0.3">
      <c r="A370">
        <v>6128</v>
      </c>
      <c r="B370">
        <v>6128</v>
      </c>
      <c r="C370">
        <f t="shared" si="5"/>
        <v>0</v>
      </c>
    </row>
    <row r="371" spans="1:3" x14ac:dyDescent="0.3">
      <c r="A371">
        <v>6129</v>
      </c>
      <c r="B371">
        <v>6129</v>
      </c>
      <c r="C371">
        <f t="shared" si="5"/>
        <v>0</v>
      </c>
    </row>
    <row r="372" spans="1:3" x14ac:dyDescent="0.3">
      <c r="A372">
        <v>6131</v>
      </c>
      <c r="B372">
        <v>6131</v>
      </c>
      <c r="C372">
        <f t="shared" si="5"/>
        <v>0</v>
      </c>
    </row>
    <row r="373" spans="1:3" x14ac:dyDescent="0.3">
      <c r="A373">
        <v>6132</v>
      </c>
      <c r="B373">
        <v>6132</v>
      </c>
      <c r="C373">
        <f t="shared" si="5"/>
        <v>0</v>
      </c>
    </row>
    <row r="374" spans="1:3" x14ac:dyDescent="0.3">
      <c r="A374">
        <v>6133</v>
      </c>
      <c r="B374">
        <v>6133</v>
      </c>
      <c r="C374">
        <f t="shared" si="5"/>
        <v>0</v>
      </c>
    </row>
    <row r="375" spans="1:3" x14ac:dyDescent="0.3">
      <c r="A375">
        <v>6134</v>
      </c>
      <c r="B375">
        <v>6134</v>
      </c>
      <c r="C375">
        <f t="shared" si="5"/>
        <v>0</v>
      </c>
    </row>
    <row r="376" spans="1:3" x14ac:dyDescent="0.3">
      <c r="A376">
        <v>6135</v>
      </c>
      <c r="B376">
        <v>6135</v>
      </c>
      <c r="C376">
        <f t="shared" si="5"/>
        <v>0</v>
      </c>
    </row>
    <row r="377" spans="1:3" x14ac:dyDescent="0.3">
      <c r="A377">
        <v>6136</v>
      </c>
      <c r="B377">
        <v>6136</v>
      </c>
      <c r="C377">
        <f t="shared" si="5"/>
        <v>0</v>
      </c>
    </row>
    <row r="378" spans="1:3" x14ac:dyDescent="0.3">
      <c r="A378">
        <v>6137</v>
      </c>
      <c r="B378">
        <v>6137</v>
      </c>
      <c r="C378">
        <f t="shared" si="5"/>
        <v>0</v>
      </c>
    </row>
    <row r="379" spans="1:3" x14ac:dyDescent="0.3">
      <c r="A379">
        <v>6138</v>
      </c>
      <c r="B379">
        <v>6138</v>
      </c>
      <c r="C379">
        <f t="shared" si="5"/>
        <v>0</v>
      </c>
    </row>
    <row r="380" spans="1:3" x14ac:dyDescent="0.3">
      <c r="A380">
        <v>6139</v>
      </c>
      <c r="B380">
        <v>6139</v>
      </c>
      <c r="C380">
        <f t="shared" si="5"/>
        <v>0</v>
      </c>
    </row>
    <row r="381" spans="1:3" x14ac:dyDescent="0.3">
      <c r="A381">
        <v>6141</v>
      </c>
      <c r="B381">
        <v>6141</v>
      </c>
      <c r="C381">
        <f t="shared" si="5"/>
        <v>0</v>
      </c>
    </row>
    <row r="382" spans="1:3" x14ac:dyDescent="0.3">
      <c r="A382">
        <v>6151</v>
      </c>
      <c r="B382">
        <v>6151</v>
      </c>
      <c r="C382">
        <f t="shared" si="5"/>
        <v>0</v>
      </c>
    </row>
    <row r="383" spans="1:3" x14ac:dyDescent="0.3">
      <c r="A383">
        <v>6152</v>
      </c>
      <c r="B383">
        <v>6152</v>
      </c>
      <c r="C383">
        <f t="shared" si="5"/>
        <v>0</v>
      </c>
    </row>
    <row r="384" spans="1:3" x14ac:dyDescent="0.3">
      <c r="A384">
        <v>6153</v>
      </c>
      <c r="B384">
        <v>6153</v>
      </c>
      <c r="C384">
        <f t="shared" si="5"/>
        <v>0</v>
      </c>
    </row>
    <row r="385" spans="1:3" x14ac:dyDescent="0.3">
      <c r="A385">
        <v>6154</v>
      </c>
      <c r="B385">
        <v>6154</v>
      </c>
      <c r="C385">
        <f t="shared" si="5"/>
        <v>0</v>
      </c>
    </row>
    <row r="386" spans="1:3" x14ac:dyDescent="0.3">
      <c r="A386">
        <v>6155</v>
      </c>
      <c r="B386">
        <v>6155</v>
      </c>
      <c r="C386">
        <f t="shared" si="5"/>
        <v>0</v>
      </c>
    </row>
    <row r="387" spans="1:3" x14ac:dyDescent="0.3">
      <c r="A387">
        <v>6156</v>
      </c>
      <c r="B387">
        <v>6156</v>
      </c>
      <c r="C387">
        <f t="shared" ref="C387:C450" si="6">A387-B387</f>
        <v>0</v>
      </c>
    </row>
    <row r="388" spans="1:3" x14ac:dyDescent="0.3">
      <c r="A388">
        <v>6157</v>
      </c>
      <c r="B388">
        <v>6157</v>
      </c>
      <c r="C388">
        <f t="shared" si="6"/>
        <v>0</v>
      </c>
    </row>
    <row r="389" spans="1:3" x14ac:dyDescent="0.3">
      <c r="A389">
        <v>6158</v>
      </c>
      <c r="B389">
        <v>6158</v>
      </c>
      <c r="C389">
        <f t="shared" si="6"/>
        <v>0</v>
      </c>
    </row>
    <row r="390" spans="1:3" x14ac:dyDescent="0.3">
      <c r="A390">
        <v>6159</v>
      </c>
      <c r="B390">
        <v>6159</v>
      </c>
      <c r="C390">
        <f t="shared" si="6"/>
        <v>0</v>
      </c>
    </row>
    <row r="391" spans="1:3" x14ac:dyDescent="0.3">
      <c r="A391">
        <v>6161</v>
      </c>
      <c r="B391">
        <v>6161</v>
      </c>
      <c r="C391">
        <f t="shared" si="6"/>
        <v>0</v>
      </c>
    </row>
    <row r="392" spans="1:3" x14ac:dyDescent="0.3">
      <c r="A392">
        <v>6162</v>
      </c>
      <c r="B392">
        <v>6162</v>
      </c>
      <c r="C392">
        <f t="shared" si="6"/>
        <v>0</v>
      </c>
    </row>
    <row r="393" spans="1:3" x14ac:dyDescent="0.3">
      <c r="A393">
        <v>6163</v>
      </c>
      <c r="B393">
        <v>6163</v>
      </c>
      <c r="C393">
        <f t="shared" si="6"/>
        <v>0</v>
      </c>
    </row>
    <row r="394" spans="1:3" x14ac:dyDescent="0.3">
      <c r="A394">
        <v>6164</v>
      </c>
      <c r="B394">
        <v>6164</v>
      </c>
      <c r="C394">
        <f t="shared" si="6"/>
        <v>0</v>
      </c>
    </row>
    <row r="395" spans="1:3" x14ac:dyDescent="0.3">
      <c r="A395">
        <v>6165</v>
      </c>
      <c r="B395">
        <v>6165</v>
      </c>
      <c r="C395">
        <f t="shared" si="6"/>
        <v>0</v>
      </c>
    </row>
    <row r="396" spans="1:3" x14ac:dyDescent="0.3">
      <c r="A396">
        <v>6166</v>
      </c>
      <c r="B396">
        <v>6166</v>
      </c>
      <c r="C396">
        <f t="shared" si="6"/>
        <v>0</v>
      </c>
    </row>
    <row r="397" spans="1:3" x14ac:dyDescent="0.3">
      <c r="A397">
        <v>6167</v>
      </c>
      <c r="B397">
        <v>6167</v>
      </c>
      <c r="C397">
        <f t="shared" si="6"/>
        <v>0</v>
      </c>
    </row>
    <row r="398" spans="1:3" x14ac:dyDescent="0.3">
      <c r="A398">
        <v>6168</v>
      </c>
      <c r="B398">
        <v>6168</v>
      </c>
      <c r="C398">
        <f t="shared" si="6"/>
        <v>0</v>
      </c>
    </row>
    <row r="399" spans="1:3" x14ac:dyDescent="0.3">
      <c r="A399">
        <v>6171</v>
      </c>
      <c r="B399">
        <v>6171</v>
      </c>
      <c r="C399">
        <f t="shared" si="6"/>
        <v>0</v>
      </c>
    </row>
    <row r="400" spans="1:3" x14ac:dyDescent="0.3">
      <c r="A400">
        <v>6191</v>
      </c>
      <c r="B400">
        <v>6191</v>
      </c>
      <c r="C400">
        <f t="shared" si="6"/>
        <v>0</v>
      </c>
    </row>
    <row r="401" spans="1:3" x14ac:dyDescent="0.3">
      <c r="A401">
        <v>6211</v>
      </c>
      <c r="B401">
        <v>6211</v>
      </c>
      <c r="C401">
        <f t="shared" si="6"/>
        <v>0</v>
      </c>
    </row>
    <row r="402" spans="1:3" x14ac:dyDescent="0.3">
      <c r="A402">
        <v>6221</v>
      </c>
      <c r="B402">
        <v>6221</v>
      </c>
      <c r="C402">
        <f t="shared" si="6"/>
        <v>0</v>
      </c>
    </row>
    <row r="403" spans="1:3" x14ac:dyDescent="0.3">
      <c r="A403">
        <v>6231</v>
      </c>
      <c r="B403">
        <v>6231</v>
      </c>
      <c r="C403">
        <f t="shared" si="6"/>
        <v>0</v>
      </c>
    </row>
    <row r="404" spans="1:3" x14ac:dyDescent="0.3">
      <c r="A404">
        <v>6241</v>
      </c>
      <c r="B404">
        <v>6241</v>
      </c>
      <c r="C404">
        <f t="shared" si="6"/>
        <v>0</v>
      </c>
    </row>
    <row r="405" spans="1:3" x14ac:dyDescent="0.3">
      <c r="A405">
        <v>6251</v>
      </c>
      <c r="B405">
        <v>6251</v>
      </c>
      <c r="C405">
        <f t="shared" si="6"/>
        <v>0</v>
      </c>
    </row>
    <row r="406" spans="1:3" x14ac:dyDescent="0.3">
      <c r="A406">
        <v>6261</v>
      </c>
      <c r="B406">
        <v>6261</v>
      </c>
      <c r="C406">
        <f t="shared" si="6"/>
        <v>0</v>
      </c>
    </row>
    <row r="407" spans="1:3" x14ac:dyDescent="0.3">
      <c r="A407">
        <v>6271</v>
      </c>
      <c r="B407">
        <v>6271</v>
      </c>
      <c r="C407">
        <f t="shared" si="6"/>
        <v>0</v>
      </c>
    </row>
    <row r="408" spans="1:3" x14ac:dyDescent="0.3">
      <c r="A408">
        <v>6291</v>
      </c>
      <c r="B408">
        <v>6291</v>
      </c>
      <c r="C408">
        <f t="shared" si="6"/>
        <v>0</v>
      </c>
    </row>
    <row r="409" spans="1:3" x14ac:dyDescent="0.3">
      <c r="A409">
        <v>6311</v>
      </c>
      <c r="B409">
        <v>6311</v>
      </c>
      <c r="C409">
        <f t="shared" si="6"/>
        <v>0</v>
      </c>
    </row>
    <row r="410" spans="1:3" x14ac:dyDescent="0.3">
      <c r="A410">
        <v>6321</v>
      </c>
      <c r="B410">
        <v>6321</v>
      </c>
      <c r="C410">
        <f t="shared" si="6"/>
        <v>0</v>
      </c>
    </row>
    <row r="411" spans="1:3" x14ac:dyDescent="0.3">
      <c r="A411">
        <v>7111</v>
      </c>
      <c r="B411">
        <v>7111</v>
      </c>
      <c r="C411">
        <f t="shared" si="6"/>
        <v>0</v>
      </c>
    </row>
    <row r="412" spans="1:3" x14ac:dyDescent="0.3">
      <c r="A412">
        <v>7112</v>
      </c>
      <c r="B412">
        <v>7112</v>
      </c>
      <c r="C412">
        <f t="shared" si="6"/>
        <v>0</v>
      </c>
    </row>
    <row r="413" spans="1:3" x14ac:dyDescent="0.3">
      <c r="A413">
        <v>7121</v>
      </c>
      <c r="B413">
        <v>7121</v>
      </c>
      <c r="C413">
        <f t="shared" si="6"/>
        <v>0</v>
      </c>
    </row>
    <row r="414" spans="1:3" x14ac:dyDescent="0.3">
      <c r="A414">
        <v>7122</v>
      </c>
      <c r="B414">
        <v>7122</v>
      </c>
      <c r="C414">
        <f t="shared" si="6"/>
        <v>0</v>
      </c>
    </row>
    <row r="415" spans="1:3" x14ac:dyDescent="0.3">
      <c r="A415">
        <v>7123</v>
      </c>
      <c r="B415">
        <v>7123</v>
      </c>
      <c r="C415">
        <f t="shared" si="6"/>
        <v>0</v>
      </c>
    </row>
    <row r="416" spans="1:3" x14ac:dyDescent="0.3">
      <c r="A416">
        <v>7124</v>
      </c>
      <c r="B416">
        <v>7124</v>
      </c>
      <c r="C416">
        <f t="shared" si="6"/>
        <v>0</v>
      </c>
    </row>
    <row r="417" spans="1:3" x14ac:dyDescent="0.3">
      <c r="A417">
        <v>7211</v>
      </c>
      <c r="B417">
        <v>7211</v>
      </c>
      <c r="C417">
        <f t="shared" si="6"/>
        <v>0</v>
      </c>
    </row>
    <row r="418" spans="1:3" x14ac:dyDescent="0.3">
      <c r="A418">
        <v>7221</v>
      </c>
      <c r="B418">
        <v>7221</v>
      </c>
      <c r="C418">
        <f t="shared" si="6"/>
        <v>0</v>
      </c>
    </row>
    <row r="419" spans="1:3" x14ac:dyDescent="0.3">
      <c r="A419">
        <v>7231</v>
      </c>
      <c r="B419">
        <v>7231</v>
      </c>
      <c r="C419">
        <f t="shared" si="6"/>
        <v>0</v>
      </c>
    </row>
    <row r="420" spans="1:3" x14ac:dyDescent="0.3">
      <c r="A420">
        <v>7241</v>
      </c>
      <c r="B420">
        <v>7241</v>
      </c>
      <c r="C420">
        <f t="shared" si="6"/>
        <v>0</v>
      </c>
    </row>
    <row r="421" spans="1:3" x14ac:dyDescent="0.3">
      <c r="A421">
        <v>7251</v>
      </c>
      <c r="B421">
        <v>7251</v>
      </c>
      <c r="C421">
        <f t="shared" si="6"/>
        <v>0</v>
      </c>
    </row>
    <row r="422" spans="1:3" x14ac:dyDescent="0.3">
      <c r="A422">
        <v>7261</v>
      </c>
      <c r="B422">
        <v>7261</v>
      </c>
      <c r="C422">
        <f t="shared" si="6"/>
        <v>0</v>
      </c>
    </row>
    <row r="423" spans="1:3" x14ac:dyDescent="0.3">
      <c r="A423">
        <v>7271</v>
      </c>
      <c r="B423">
        <v>7271</v>
      </c>
      <c r="C423">
        <f t="shared" si="6"/>
        <v>0</v>
      </c>
    </row>
    <row r="424" spans="1:3" x14ac:dyDescent="0.3">
      <c r="A424">
        <v>7281</v>
      </c>
      <c r="B424">
        <v>7281</v>
      </c>
      <c r="C424">
        <f t="shared" si="6"/>
        <v>0</v>
      </c>
    </row>
    <row r="425" spans="1:3" x14ac:dyDescent="0.3">
      <c r="A425">
        <v>7291</v>
      </c>
      <c r="B425">
        <v>7291</v>
      </c>
      <c r="C425">
        <f t="shared" si="6"/>
        <v>0</v>
      </c>
    </row>
    <row r="426" spans="1:3" x14ac:dyDescent="0.3">
      <c r="A426">
        <v>7311</v>
      </c>
      <c r="B426">
        <v>7311</v>
      </c>
      <c r="C426">
        <f t="shared" si="6"/>
        <v>0</v>
      </c>
    </row>
    <row r="427" spans="1:3" x14ac:dyDescent="0.3">
      <c r="A427" s="234">
        <v>7321</v>
      </c>
      <c r="B427" s="234"/>
      <c r="C427" s="234">
        <f t="shared" si="6"/>
        <v>7321</v>
      </c>
    </row>
    <row r="428" spans="1:3" x14ac:dyDescent="0.3">
      <c r="A428">
        <v>7331</v>
      </c>
      <c r="B428">
        <v>7331</v>
      </c>
      <c r="C428">
        <f t="shared" si="6"/>
        <v>0</v>
      </c>
    </row>
    <row r="429" spans="1:3" x14ac:dyDescent="0.3">
      <c r="A429">
        <v>7341</v>
      </c>
      <c r="B429">
        <v>7341</v>
      </c>
      <c r="C429">
        <f t="shared" si="6"/>
        <v>0</v>
      </c>
    </row>
    <row r="430" spans="1:3" x14ac:dyDescent="0.3">
      <c r="A430">
        <v>7351</v>
      </c>
      <c r="B430">
        <v>7351</v>
      </c>
      <c r="C430">
        <f t="shared" si="6"/>
        <v>0</v>
      </c>
    </row>
    <row r="431" spans="1:3" x14ac:dyDescent="0.3">
      <c r="A431">
        <v>7391</v>
      </c>
      <c r="B431">
        <v>7391</v>
      </c>
      <c r="C431">
        <f t="shared" si="6"/>
        <v>0</v>
      </c>
    </row>
    <row r="432" spans="1:3" x14ac:dyDescent="0.3">
      <c r="A432">
        <v>7392</v>
      </c>
      <c r="B432">
        <v>7392</v>
      </c>
      <c r="C432">
        <f t="shared" si="6"/>
        <v>0</v>
      </c>
    </row>
    <row r="433" spans="1:3" x14ac:dyDescent="0.3">
      <c r="A433">
        <v>7393</v>
      </c>
      <c r="B433">
        <v>7393</v>
      </c>
      <c r="C433">
        <f t="shared" si="6"/>
        <v>0</v>
      </c>
    </row>
    <row r="434" spans="1:3" x14ac:dyDescent="0.3">
      <c r="A434">
        <v>7411</v>
      </c>
      <c r="B434">
        <v>7411</v>
      </c>
      <c r="C434">
        <f t="shared" si="6"/>
        <v>0</v>
      </c>
    </row>
    <row r="435" spans="1:3" x14ac:dyDescent="0.3">
      <c r="A435">
        <v>7421</v>
      </c>
      <c r="B435">
        <v>7421</v>
      </c>
      <c r="C435">
        <f t="shared" si="6"/>
        <v>0</v>
      </c>
    </row>
    <row r="436" spans="1:3" x14ac:dyDescent="0.3">
      <c r="A436">
        <v>7431</v>
      </c>
      <c r="B436">
        <v>7431</v>
      </c>
      <c r="C436">
        <f t="shared" si="6"/>
        <v>0</v>
      </c>
    </row>
    <row r="437" spans="1:3" x14ac:dyDescent="0.3">
      <c r="A437">
        <v>7441</v>
      </c>
      <c r="B437">
        <v>7441</v>
      </c>
      <c r="C437">
        <f t="shared" si="6"/>
        <v>0</v>
      </c>
    </row>
    <row r="438" spans="1:3" x14ac:dyDescent="0.3">
      <c r="A438">
        <v>7451</v>
      </c>
      <c r="B438">
        <v>7451</v>
      </c>
      <c r="C438">
        <f t="shared" si="6"/>
        <v>0</v>
      </c>
    </row>
    <row r="439" spans="1:3" x14ac:dyDescent="0.3">
      <c r="A439">
        <v>7461</v>
      </c>
      <c r="B439">
        <v>7461</v>
      </c>
      <c r="C439">
        <f t="shared" si="6"/>
        <v>0</v>
      </c>
    </row>
    <row r="440" spans="1:3" x14ac:dyDescent="0.3">
      <c r="A440">
        <v>7471</v>
      </c>
      <c r="B440">
        <v>7471</v>
      </c>
      <c r="C440">
        <f t="shared" si="6"/>
        <v>0</v>
      </c>
    </row>
    <row r="441" spans="1:3" x14ac:dyDescent="0.3">
      <c r="A441">
        <v>7481</v>
      </c>
      <c r="B441">
        <v>7481</v>
      </c>
      <c r="C441">
        <f t="shared" si="6"/>
        <v>0</v>
      </c>
    </row>
    <row r="442" spans="1:3" x14ac:dyDescent="0.3">
      <c r="A442">
        <v>7491</v>
      </c>
      <c r="B442">
        <v>7491</v>
      </c>
      <c r="C442">
        <f t="shared" si="6"/>
        <v>0</v>
      </c>
    </row>
    <row r="443" spans="1:3" x14ac:dyDescent="0.3">
      <c r="A443">
        <v>7511</v>
      </c>
      <c r="B443">
        <v>7511</v>
      </c>
      <c r="C443">
        <f t="shared" si="6"/>
        <v>0</v>
      </c>
    </row>
    <row r="444" spans="1:3" x14ac:dyDescent="0.3">
      <c r="A444">
        <v>7521</v>
      </c>
      <c r="B444">
        <v>7521</v>
      </c>
      <c r="C444">
        <f t="shared" si="6"/>
        <v>0</v>
      </c>
    </row>
    <row r="445" spans="1:3" x14ac:dyDescent="0.3">
      <c r="A445">
        <v>7531</v>
      </c>
      <c r="B445">
        <v>7531</v>
      </c>
      <c r="C445">
        <f t="shared" si="6"/>
        <v>0</v>
      </c>
    </row>
    <row r="446" spans="1:3" x14ac:dyDescent="0.3">
      <c r="A446">
        <v>7541</v>
      </c>
      <c r="B446">
        <v>7541</v>
      </c>
      <c r="C446">
        <f t="shared" si="6"/>
        <v>0</v>
      </c>
    </row>
    <row r="447" spans="1:3" x14ac:dyDescent="0.3">
      <c r="A447">
        <v>7551</v>
      </c>
      <c r="B447">
        <v>7551</v>
      </c>
      <c r="C447">
        <f t="shared" si="6"/>
        <v>0</v>
      </c>
    </row>
    <row r="448" spans="1:3" x14ac:dyDescent="0.3">
      <c r="A448">
        <v>7561</v>
      </c>
      <c r="B448">
        <v>7561</v>
      </c>
      <c r="C448">
        <f t="shared" si="6"/>
        <v>0</v>
      </c>
    </row>
    <row r="449" spans="1:3" x14ac:dyDescent="0.3">
      <c r="A449">
        <v>7571</v>
      </c>
      <c r="B449">
        <v>7571</v>
      </c>
      <c r="C449">
        <f t="shared" si="6"/>
        <v>0</v>
      </c>
    </row>
    <row r="450" spans="1:3" x14ac:dyDescent="0.3">
      <c r="A450">
        <v>7581</v>
      </c>
      <c r="B450">
        <v>7581</v>
      </c>
      <c r="C450">
        <f t="shared" si="6"/>
        <v>0</v>
      </c>
    </row>
    <row r="451" spans="1:3" x14ac:dyDescent="0.3">
      <c r="A451">
        <v>7591</v>
      </c>
      <c r="B451">
        <v>7591</v>
      </c>
      <c r="C451">
        <f t="shared" ref="C451:C499" si="7">A451-B451</f>
        <v>0</v>
      </c>
    </row>
    <row r="452" spans="1:3" x14ac:dyDescent="0.3">
      <c r="A452">
        <v>7611</v>
      </c>
      <c r="B452">
        <v>7611</v>
      </c>
      <c r="C452">
        <f t="shared" si="7"/>
        <v>0</v>
      </c>
    </row>
    <row r="453" spans="1:3" x14ac:dyDescent="0.3">
      <c r="A453">
        <v>7621</v>
      </c>
      <c r="B453">
        <v>7621</v>
      </c>
      <c r="C453">
        <f t="shared" si="7"/>
        <v>0</v>
      </c>
    </row>
    <row r="454" spans="1:3" x14ac:dyDescent="0.3">
      <c r="A454">
        <v>7911</v>
      </c>
      <c r="B454">
        <v>7911</v>
      </c>
      <c r="C454">
        <f t="shared" si="7"/>
        <v>0</v>
      </c>
    </row>
    <row r="455" spans="1:3" x14ac:dyDescent="0.3">
      <c r="A455">
        <v>7921</v>
      </c>
      <c r="B455">
        <v>7921</v>
      </c>
      <c r="C455">
        <f t="shared" si="7"/>
        <v>0</v>
      </c>
    </row>
    <row r="456" spans="1:3" x14ac:dyDescent="0.3">
      <c r="A456">
        <v>7991</v>
      </c>
      <c r="B456">
        <v>7991</v>
      </c>
      <c r="C456">
        <f t="shared" si="7"/>
        <v>0</v>
      </c>
    </row>
    <row r="457" spans="1:3" x14ac:dyDescent="0.3">
      <c r="A457">
        <v>8111</v>
      </c>
      <c r="B457">
        <v>8111</v>
      </c>
      <c r="C457">
        <f t="shared" si="7"/>
        <v>0</v>
      </c>
    </row>
    <row r="458" spans="1:3" x14ac:dyDescent="0.3">
      <c r="A458">
        <v>8121</v>
      </c>
      <c r="B458">
        <v>8121</v>
      </c>
      <c r="C458">
        <f t="shared" si="7"/>
        <v>0</v>
      </c>
    </row>
    <row r="459" spans="1:3" x14ac:dyDescent="0.3">
      <c r="A459">
        <v>8131</v>
      </c>
      <c r="B459">
        <v>8131</v>
      </c>
      <c r="C459">
        <f t="shared" si="7"/>
        <v>0</v>
      </c>
    </row>
    <row r="460" spans="1:3" x14ac:dyDescent="0.3">
      <c r="A460">
        <v>8132</v>
      </c>
      <c r="B460">
        <v>8132</v>
      </c>
      <c r="C460">
        <f t="shared" si="7"/>
        <v>0</v>
      </c>
    </row>
    <row r="461" spans="1:3" x14ac:dyDescent="0.3">
      <c r="A461">
        <v>8141</v>
      </c>
      <c r="B461">
        <v>8141</v>
      </c>
      <c r="C461">
        <f t="shared" si="7"/>
        <v>0</v>
      </c>
    </row>
    <row r="462" spans="1:3" x14ac:dyDescent="0.3">
      <c r="A462">
        <v>8151</v>
      </c>
      <c r="B462">
        <v>8151</v>
      </c>
      <c r="C462">
        <f t="shared" si="7"/>
        <v>0</v>
      </c>
    </row>
    <row r="463" spans="1:3" x14ac:dyDescent="0.3">
      <c r="A463">
        <v>8161</v>
      </c>
      <c r="B463">
        <v>8161</v>
      </c>
      <c r="C463">
        <f t="shared" si="7"/>
        <v>0</v>
      </c>
    </row>
    <row r="464" spans="1:3" x14ac:dyDescent="0.3">
      <c r="A464">
        <v>8311</v>
      </c>
      <c r="B464">
        <v>8311</v>
      </c>
      <c r="C464">
        <f t="shared" si="7"/>
        <v>0</v>
      </c>
    </row>
    <row r="465" spans="1:3" x14ac:dyDescent="0.3">
      <c r="A465">
        <v>8321</v>
      </c>
      <c r="B465">
        <v>8321</v>
      </c>
      <c r="C465">
        <f t="shared" si="7"/>
        <v>0</v>
      </c>
    </row>
    <row r="466" spans="1:3" x14ac:dyDescent="0.3">
      <c r="A466">
        <v>8331</v>
      </c>
      <c r="B466">
        <v>8331</v>
      </c>
      <c r="C466">
        <f t="shared" si="7"/>
        <v>0</v>
      </c>
    </row>
    <row r="467" spans="1:3" x14ac:dyDescent="0.3">
      <c r="A467">
        <v>8332</v>
      </c>
      <c r="B467">
        <v>8332</v>
      </c>
      <c r="C467">
        <f t="shared" si="7"/>
        <v>0</v>
      </c>
    </row>
    <row r="468" spans="1:3" x14ac:dyDescent="0.3">
      <c r="A468">
        <v>8341</v>
      </c>
      <c r="B468">
        <v>8341</v>
      </c>
      <c r="C468">
        <f t="shared" si="7"/>
        <v>0</v>
      </c>
    </row>
    <row r="469" spans="1:3" x14ac:dyDescent="0.3">
      <c r="A469">
        <v>8351</v>
      </c>
      <c r="B469">
        <v>8351</v>
      </c>
      <c r="C469">
        <f t="shared" si="7"/>
        <v>0</v>
      </c>
    </row>
    <row r="470" spans="1:3" x14ac:dyDescent="0.3">
      <c r="A470">
        <v>8511</v>
      </c>
      <c r="B470">
        <v>8511</v>
      </c>
      <c r="C470">
        <f t="shared" si="7"/>
        <v>0</v>
      </c>
    </row>
    <row r="471" spans="1:3" x14ac:dyDescent="0.3">
      <c r="A471">
        <v>8521</v>
      </c>
      <c r="B471">
        <v>8521</v>
      </c>
      <c r="C471">
        <f t="shared" si="7"/>
        <v>0</v>
      </c>
    </row>
    <row r="472" spans="1:3" x14ac:dyDescent="0.3">
      <c r="A472">
        <v>8531</v>
      </c>
      <c r="B472">
        <v>8531</v>
      </c>
      <c r="C472">
        <f t="shared" si="7"/>
        <v>0</v>
      </c>
    </row>
    <row r="473" spans="1:3" x14ac:dyDescent="0.3">
      <c r="A473">
        <v>9111</v>
      </c>
      <c r="B473">
        <v>9111</v>
      </c>
      <c r="C473">
        <f t="shared" si="7"/>
        <v>0</v>
      </c>
    </row>
    <row r="474" spans="1:3" x14ac:dyDescent="0.3">
      <c r="A474">
        <v>9112</v>
      </c>
      <c r="B474">
        <v>9112</v>
      </c>
      <c r="C474">
        <f t="shared" si="7"/>
        <v>0</v>
      </c>
    </row>
    <row r="475" spans="1:3" x14ac:dyDescent="0.3">
      <c r="A475">
        <v>9121</v>
      </c>
      <c r="B475">
        <v>9121</v>
      </c>
      <c r="C475">
        <f t="shared" si="7"/>
        <v>0</v>
      </c>
    </row>
    <row r="476" spans="1:3" x14ac:dyDescent="0.3">
      <c r="A476">
        <v>9131</v>
      </c>
      <c r="B476">
        <v>9131</v>
      </c>
      <c r="C476">
        <f t="shared" si="7"/>
        <v>0</v>
      </c>
    </row>
    <row r="477" spans="1:3" x14ac:dyDescent="0.3">
      <c r="A477">
        <v>9141</v>
      </c>
      <c r="B477">
        <v>9141</v>
      </c>
      <c r="C477">
        <f t="shared" si="7"/>
        <v>0</v>
      </c>
    </row>
    <row r="478" spans="1:3" x14ac:dyDescent="0.3">
      <c r="A478">
        <v>9151</v>
      </c>
      <c r="B478">
        <v>9151</v>
      </c>
      <c r="C478">
        <f t="shared" si="7"/>
        <v>0</v>
      </c>
    </row>
    <row r="479" spans="1:3" x14ac:dyDescent="0.3">
      <c r="A479">
        <v>9161</v>
      </c>
      <c r="B479">
        <v>9161</v>
      </c>
      <c r="C479">
        <f t="shared" si="7"/>
        <v>0</v>
      </c>
    </row>
    <row r="480" spans="1:3" x14ac:dyDescent="0.3">
      <c r="A480">
        <v>9171</v>
      </c>
      <c r="B480">
        <v>9171</v>
      </c>
      <c r="C480">
        <f t="shared" si="7"/>
        <v>0</v>
      </c>
    </row>
    <row r="481" spans="1:3" x14ac:dyDescent="0.3">
      <c r="A481">
        <v>9181</v>
      </c>
      <c r="B481">
        <v>9181</v>
      </c>
      <c r="C481">
        <f t="shared" si="7"/>
        <v>0</v>
      </c>
    </row>
    <row r="482" spans="1:3" x14ac:dyDescent="0.3">
      <c r="A482">
        <v>9211</v>
      </c>
      <c r="B482">
        <v>9211</v>
      </c>
      <c r="C482">
        <f t="shared" si="7"/>
        <v>0</v>
      </c>
    </row>
    <row r="483" spans="1:3" x14ac:dyDescent="0.3">
      <c r="A483">
        <v>9221</v>
      </c>
      <c r="B483">
        <v>9221</v>
      </c>
      <c r="C483">
        <f t="shared" si="7"/>
        <v>0</v>
      </c>
    </row>
    <row r="484" spans="1:3" x14ac:dyDescent="0.3">
      <c r="A484">
        <v>9231</v>
      </c>
      <c r="B484">
        <v>9231</v>
      </c>
      <c r="C484">
        <f t="shared" si="7"/>
        <v>0</v>
      </c>
    </row>
    <row r="485" spans="1:3" x14ac:dyDescent="0.3">
      <c r="A485">
        <v>9241</v>
      </c>
      <c r="B485">
        <v>9241</v>
      </c>
      <c r="C485">
        <f t="shared" si="7"/>
        <v>0</v>
      </c>
    </row>
    <row r="486" spans="1:3" x14ac:dyDescent="0.3">
      <c r="A486">
        <v>9251</v>
      </c>
      <c r="B486">
        <v>9251</v>
      </c>
      <c r="C486">
        <f t="shared" si="7"/>
        <v>0</v>
      </c>
    </row>
    <row r="487" spans="1:3" x14ac:dyDescent="0.3">
      <c r="A487">
        <v>9261</v>
      </c>
      <c r="B487">
        <v>9261</v>
      </c>
      <c r="C487">
        <f t="shared" si="7"/>
        <v>0</v>
      </c>
    </row>
    <row r="488" spans="1:3" x14ac:dyDescent="0.3">
      <c r="A488">
        <v>9271</v>
      </c>
      <c r="B488">
        <v>9271</v>
      </c>
      <c r="C488">
        <f t="shared" si="7"/>
        <v>0</v>
      </c>
    </row>
    <row r="489" spans="1:3" x14ac:dyDescent="0.3">
      <c r="A489">
        <v>9281</v>
      </c>
      <c r="B489">
        <v>9281</v>
      </c>
      <c r="C489">
        <f t="shared" si="7"/>
        <v>0</v>
      </c>
    </row>
    <row r="490" spans="1:3" x14ac:dyDescent="0.3">
      <c r="A490">
        <v>9311</v>
      </c>
      <c r="B490">
        <v>9311</v>
      </c>
      <c r="C490">
        <f t="shared" si="7"/>
        <v>0</v>
      </c>
    </row>
    <row r="491" spans="1:3" x14ac:dyDescent="0.3">
      <c r="A491">
        <v>9321</v>
      </c>
      <c r="B491">
        <v>9321</v>
      </c>
      <c r="C491">
        <f t="shared" si="7"/>
        <v>0</v>
      </c>
    </row>
    <row r="492" spans="1:3" x14ac:dyDescent="0.3">
      <c r="A492">
        <v>9411</v>
      </c>
      <c r="B492">
        <v>9411</v>
      </c>
      <c r="C492">
        <f t="shared" si="7"/>
        <v>0</v>
      </c>
    </row>
    <row r="493" spans="1:3" x14ac:dyDescent="0.3">
      <c r="A493">
        <v>9421</v>
      </c>
      <c r="B493">
        <v>9421</v>
      </c>
      <c r="C493">
        <f t="shared" si="7"/>
        <v>0</v>
      </c>
    </row>
    <row r="494" spans="1:3" x14ac:dyDescent="0.3">
      <c r="A494">
        <v>9511</v>
      </c>
      <c r="B494">
        <v>9511</v>
      </c>
      <c r="C494">
        <f t="shared" si="7"/>
        <v>0</v>
      </c>
    </row>
    <row r="495" spans="1:3" x14ac:dyDescent="0.3">
      <c r="A495">
        <v>9512</v>
      </c>
      <c r="B495">
        <v>9512</v>
      </c>
      <c r="C495">
        <f t="shared" si="7"/>
        <v>0</v>
      </c>
    </row>
    <row r="496" spans="1:3" x14ac:dyDescent="0.3">
      <c r="A496">
        <v>9611</v>
      </c>
      <c r="B496">
        <v>9611</v>
      </c>
      <c r="C496">
        <f t="shared" si="7"/>
        <v>0</v>
      </c>
    </row>
    <row r="497" spans="1:3" x14ac:dyDescent="0.3">
      <c r="A497">
        <v>9621</v>
      </c>
      <c r="B497">
        <v>9621</v>
      </c>
      <c r="C497">
        <f t="shared" si="7"/>
        <v>0</v>
      </c>
    </row>
    <row r="498" spans="1:3" x14ac:dyDescent="0.3">
      <c r="A498">
        <v>9911</v>
      </c>
      <c r="B498">
        <v>9911</v>
      </c>
      <c r="C498">
        <f t="shared" si="7"/>
        <v>0</v>
      </c>
    </row>
    <row r="499" spans="1:3" x14ac:dyDescent="0.3">
      <c r="A499">
        <v>9912</v>
      </c>
      <c r="B499">
        <v>9912</v>
      </c>
      <c r="C499">
        <f t="shared" si="7"/>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1FAF-B928-4773-9B9A-30C1F7B1C3A8}">
  <dimension ref="A2:F75"/>
  <sheetViews>
    <sheetView topLeftCell="A45" zoomScale="190" zoomScaleNormal="190" workbookViewId="0">
      <selection activeCell="F27" sqref="F27"/>
    </sheetView>
  </sheetViews>
  <sheetFormatPr baseColWidth="10" defaultRowHeight="14.4" x14ac:dyDescent="0.3"/>
  <cols>
    <col min="2" max="2" width="68" bestFit="1" customWidth="1"/>
    <col min="6" max="6" width="47.33203125" bestFit="1" customWidth="1"/>
  </cols>
  <sheetData>
    <row r="2" spans="1:6" x14ac:dyDescent="0.3">
      <c r="A2" t="s">
        <v>2552</v>
      </c>
      <c r="B2" t="s">
        <v>2553</v>
      </c>
      <c r="E2" t="s">
        <v>2552</v>
      </c>
      <c r="F2" t="s">
        <v>2609</v>
      </c>
    </row>
    <row r="3" spans="1:6" x14ac:dyDescent="0.3">
      <c r="A3" t="s">
        <v>23</v>
      </c>
      <c r="B3" t="s">
        <v>22</v>
      </c>
      <c r="E3">
        <v>100</v>
      </c>
      <c r="F3" t="s">
        <v>2610</v>
      </c>
    </row>
    <row r="4" spans="1:6" x14ac:dyDescent="0.3">
      <c r="A4" t="s">
        <v>41</v>
      </c>
      <c r="B4" t="s">
        <v>2554</v>
      </c>
      <c r="E4">
        <v>101</v>
      </c>
      <c r="F4" t="s">
        <v>2611</v>
      </c>
    </row>
    <row r="5" spans="1:6" x14ac:dyDescent="0.3">
      <c r="A5" t="s">
        <v>42</v>
      </c>
      <c r="B5" t="s">
        <v>43</v>
      </c>
      <c r="E5">
        <v>102</v>
      </c>
      <c r="F5" t="s">
        <v>43</v>
      </c>
    </row>
    <row r="6" spans="1:6" x14ac:dyDescent="0.3">
      <c r="A6" t="s">
        <v>2555</v>
      </c>
      <c r="B6" t="s">
        <v>2556</v>
      </c>
      <c r="E6">
        <v>103</v>
      </c>
      <c r="F6" t="s">
        <v>2554</v>
      </c>
    </row>
    <row r="7" spans="1:6" x14ac:dyDescent="0.3">
      <c r="A7" t="s">
        <v>25</v>
      </c>
      <c r="B7" t="s">
        <v>26</v>
      </c>
      <c r="E7">
        <v>104</v>
      </c>
      <c r="F7" t="s">
        <v>2612</v>
      </c>
    </row>
    <row r="8" spans="1:6" x14ac:dyDescent="0.3">
      <c r="A8" t="s">
        <v>28</v>
      </c>
      <c r="B8" t="s">
        <v>27</v>
      </c>
      <c r="E8">
        <v>105</v>
      </c>
      <c r="F8" t="s">
        <v>2613</v>
      </c>
    </row>
    <row r="9" spans="1:6" x14ac:dyDescent="0.3">
      <c r="A9" t="s">
        <v>2557</v>
      </c>
      <c r="B9" t="s">
        <v>2558</v>
      </c>
      <c r="E9">
        <v>106</v>
      </c>
      <c r="F9" t="s">
        <v>2614</v>
      </c>
    </row>
    <row r="10" spans="1:6" x14ac:dyDescent="0.3">
      <c r="A10" t="s">
        <v>29</v>
      </c>
      <c r="B10" t="s">
        <v>2559</v>
      </c>
      <c r="E10">
        <v>107</v>
      </c>
      <c r="F10" t="s">
        <v>2615</v>
      </c>
    </row>
    <row r="11" spans="1:6" x14ac:dyDescent="0.3">
      <c r="A11" t="s">
        <v>30</v>
      </c>
      <c r="B11" t="s">
        <v>2560</v>
      </c>
      <c r="E11">
        <v>108</v>
      </c>
      <c r="F11" t="s">
        <v>2616</v>
      </c>
    </row>
    <row r="12" spans="1:6" x14ac:dyDescent="0.3">
      <c r="A12" t="s">
        <v>31</v>
      </c>
      <c r="B12" t="s">
        <v>2561</v>
      </c>
      <c r="E12">
        <v>109</v>
      </c>
      <c r="F12" t="s">
        <v>2617</v>
      </c>
    </row>
    <row r="13" spans="1:6" x14ac:dyDescent="0.3">
      <c r="A13" t="s">
        <v>32</v>
      </c>
      <c r="B13" t="s">
        <v>2562</v>
      </c>
      <c r="E13">
        <v>110</v>
      </c>
      <c r="F13" t="s">
        <v>2618</v>
      </c>
    </row>
    <row r="14" spans="1:6" x14ac:dyDescent="0.3">
      <c r="A14" t="s">
        <v>33</v>
      </c>
      <c r="B14" t="s">
        <v>2563</v>
      </c>
      <c r="E14">
        <v>111</v>
      </c>
      <c r="F14" t="s">
        <v>2619</v>
      </c>
    </row>
    <row r="15" spans="1:6" x14ac:dyDescent="0.3">
      <c r="A15" t="s">
        <v>34</v>
      </c>
      <c r="B15" t="s">
        <v>2564</v>
      </c>
      <c r="E15">
        <v>112</v>
      </c>
      <c r="F15" t="s">
        <v>2620</v>
      </c>
    </row>
    <row r="16" spans="1:6" x14ac:dyDescent="0.3">
      <c r="A16" t="s">
        <v>35</v>
      </c>
      <c r="B16" t="s">
        <v>2565</v>
      </c>
      <c r="E16">
        <v>113</v>
      </c>
      <c r="F16" t="s">
        <v>2621</v>
      </c>
    </row>
    <row r="17" spans="1:6" x14ac:dyDescent="0.3">
      <c r="A17" t="s">
        <v>36</v>
      </c>
      <c r="B17" t="s">
        <v>2566</v>
      </c>
      <c r="E17">
        <v>114</v>
      </c>
      <c r="F17" t="s">
        <v>2622</v>
      </c>
    </row>
    <row r="18" spans="1:6" x14ac:dyDescent="0.3">
      <c r="A18" t="s">
        <v>37</v>
      </c>
      <c r="B18" t="s">
        <v>2567</v>
      </c>
      <c r="E18">
        <v>115</v>
      </c>
      <c r="F18" t="s">
        <v>2623</v>
      </c>
    </row>
    <row r="19" spans="1:6" x14ac:dyDescent="0.3">
      <c r="A19" t="s">
        <v>38</v>
      </c>
      <c r="B19" t="s">
        <v>2568</v>
      </c>
      <c r="E19">
        <v>116</v>
      </c>
      <c r="F19" t="s">
        <v>2624</v>
      </c>
    </row>
    <row r="20" spans="1:6" x14ac:dyDescent="0.3">
      <c r="A20" t="s">
        <v>39</v>
      </c>
      <c r="B20" t="s">
        <v>2569</v>
      </c>
      <c r="E20">
        <v>117</v>
      </c>
      <c r="F20" t="s">
        <v>2625</v>
      </c>
    </row>
    <row r="21" spans="1:6" x14ac:dyDescent="0.3">
      <c r="A21" t="s">
        <v>40</v>
      </c>
      <c r="B21" t="s">
        <v>2570</v>
      </c>
      <c r="E21">
        <v>118</v>
      </c>
      <c r="F21" t="s">
        <v>2626</v>
      </c>
    </row>
    <row r="22" spans="1:6" x14ac:dyDescent="0.3">
      <c r="A22" t="s">
        <v>45</v>
      </c>
      <c r="B22" t="s">
        <v>9</v>
      </c>
      <c r="E22">
        <v>119</v>
      </c>
      <c r="F22" t="s">
        <v>2627</v>
      </c>
    </row>
    <row r="23" spans="1:6" x14ac:dyDescent="0.3">
      <c r="A23" t="s">
        <v>60</v>
      </c>
      <c r="B23" t="s">
        <v>2571</v>
      </c>
      <c r="E23">
        <v>120</v>
      </c>
      <c r="F23" t="s">
        <v>2628</v>
      </c>
    </row>
    <row r="24" spans="1:6" x14ac:dyDescent="0.3">
      <c r="A24" t="s">
        <v>2572</v>
      </c>
      <c r="B24" t="s">
        <v>2573</v>
      </c>
      <c r="E24">
        <v>121</v>
      </c>
      <c r="F24" t="s">
        <v>2629</v>
      </c>
    </row>
    <row r="25" spans="1:6" x14ac:dyDescent="0.3">
      <c r="A25" t="s">
        <v>2574</v>
      </c>
      <c r="B25" t="s">
        <v>2575</v>
      </c>
      <c r="E25">
        <v>122</v>
      </c>
      <c r="F25" t="s">
        <v>2630</v>
      </c>
    </row>
    <row r="26" spans="1:6" x14ac:dyDescent="0.3">
      <c r="A26" t="s">
        <v>2576</v>
      </c>
      <c r="B26" t="s">
        <v>2577</v>
      </c>
      <c r="E26">
        <v>123</v>
      </c>
      <c r="F26" t="s">
        <v>2631</v>
      </c>
    </row>
    <row r="27" spans="1:6" x14ac:dyDescent="0.3">
      <c r="A27" t="s">
        <v>61</v>
      </c>
      <c r="B27" t="s">
        <v>711</v>
      </c>
      <c r="E27">
        <v>124</v>
      </c>
      <c r="F27" t="s">
        <v>2632</v>
      </c>
    </row>
    <row r="28" spans="1:6" x14ac:dyDescent="0.3">
      <c r="A28" t="s">
        <v>59</v>
      </c>
      <c r="B28" t="s">
        <v>2578</v>
      </c>
      <c r="E28">
        <v>125</v>
      </c>
      <c r="F28" t="s">
        <v>2633</v>
      </c>
    </row>
    <row r="29" spans="1:6" x14ac:dyDescent="0.3">
      <c r="A29" t="s">
        <v>55</v>
      </c>
      <c r="B29" t="s">
        <v>2579</v>
      </c>
      <c r="E29">
        <v>126</v>
      </c>
      <c r="F29" t="s">
        <v>2634</v>
      </c>
    </row>
    <row r="30" spans="1:6" x14ac:dyDescent="0.3">
      <c r="A30" t="s">
        <v>49</v>
      </c>
      <c r="B30" t="s">
        <v>2580</v>
      </c>
      <c r="E30">
        <v>127</v>
      </c>
      <c r="F30" t="s">
        <v>2635</v>
      </c>
    </row>
    <row r="31" spans="1:6" x14ac:dyDescent="0.3">
      <c r="A31" t="s">
        <v>2581</v>
      </c>
      <c r="B31" t="s">
        <v>2582</v>
      </c>
      <c r="E31">
        <v>128</v>
      </c>
      <c r="F31" t="s">
        <v>2636</v>
      </c>
    </row>
    <row r="32" spans="1:6" x14ac:dyDescent="0.3">
      <c r="A32" t="s">
        <v>58</v>
      </c>
      <c r="B32" t="s">
        <v>2583</v>
      </c>
      <c r="E32">
        <v>129</v>
      </c>
      <c r="F32" t="s">
        <v>2637</v>
      </c>
    </row>
    <row r="33" spans="1:6" x14ac:dyDescent="0.3">
      <c r="A33" t="s">
        <v>50</v>
      </c>
      <c r="B33" t="s">
        <v>2584</v>
      </c>
      <c r="E33">
        <v>130</v>
      </c>
      <c r="F33" t="s">
        <v>2638</v>
      </c>
    </row>
    <row r="34" spans="1:6" x14ac:dyDescent="0.3">
      <c r="A34" t="s">
        <v>62</v>
      </c>
      <c r="B34" t="s">
        <v>1425</v>
      </c>
      <c r="E34">
        <v>131</v>
      </c>
      <c r="F34" t="s">
        <v>2639</v>
      </c>
    </row>
    <row r="35" spans="1:6" x14ac:dyDescent="0.3">
      <c r="A35" t="s">
        <v>51</v>
      </c>
      <c r="B35" t="s">
        <v>2585</v>
      </c>
      <c r="E35">
        <v>132</v>
      </c>
      <c r="F35" t="s">
        <v>2640</v>
      </c>
    </row>
    <row r="36" spans="1:6" x14ac:dyDescent="0.3">
      <c r="A36" t="s">
        <v>47</v>
      </c>
      <c r="B36" t="s">
        <v>961</v>
      </c>
      <c r="E36">
        <v>133</v>
      </c>
      <c r="F36" t="s">
        <v>2641</v>
      </c>
    </row>
    <row r="37" spans="1:6" x14ac:dyDescent="0.3">
      <c r="A37" t="s">
        <v>46</v>
      </c>
      <c r="B37" t="s">
        <v>2586</v>
      </c>
      <c r="E37">
        <v>134</v>
      </c>
      <c r="F37" t="s">
        <v>2642</v>
      </c>
    </row>
    <row r="38" spans="1:6" x14ac:dyDescent="0.3">
      <c r="A38" t="s">
        <v>56</v>
      </c>
      <c r="B38" t="s">
        <v>2587</v>
      </c>
      <c r="E38">
        <v>135</v>
      </c>
      <c r="F38" t="s">
        <v>2643</v>
      </c>
    </row>
    <row r="39" spans="1:6" x14ac:dyDescent="0.3">
      <c r="A39" t="s">
        <v>54</v>
      </c>
      <c r="B39" t="s">
        <v>63</v>
      </c>
      <c r="E39">
        <v>136</v>
      </c>
      <c r="F39" t="s">
        <v>2644</v>
      </c>
    </row>
    <row r="40" spans="1:6" x14ac:dyDescent="0.3">
      <c r="A40" t="s">
        <v>2588</v>
      </c>
      <c r="B40" t="s">
        <v>2589</v>
      </c>
      <c r="E40">
        <v>137</v>
      </c>
      <c r="F40" t="s">
        <v>2645</v>
      </c>
    </row>
    <row r="41" spans="1:6" x14ac:dyDescent="0.3">
      <c r="A41" t="s">
        <v>52</v>
      </c>
      <c r="B41" t="s">
        <v>2590</v>
      </c>
      <c r="E41">
        <v>138</v>
      </c>
      <c r="F41" t="s">
        <v>2646</v>
      </c>
    </row>
    <row r="42" spans="1:6" x14ac:dyDescent="0.3">
      <c r="A42" t="s">
        <v>2591</v>
      </c>
      <c r="B42" t="s">
        <v>2592</v>
      </c>
      <c r="E42">
        <v>139</v>
      </c>
      <c r="F42" t="s">
        <v>2647</v>
      </c>
    </row>
    <row r="43" spans="1:6" x14ac:dyDescent="0.3">
      <c r="A43" t="s">
        <v>48</v>
      </c>
      <c r="B43" t="s">
        <v>2593</v>
      </c>
      <c r="E43">
        <v>140</v>
      </c>
      <c r="F43" t="s">
        <v>2648</v>
      </c>
    </row>
    <row r="44" spans="1:6" x14ac:dyDescent="0.3">
      <c r="A44" t="s">
        <v>2594</v>
      </c>
      <c r="B44" t="s">
        <v>2595</v>
      </c>
      <c r="E44">
        <v>141</v>
      </c>
      <c r="F44" t="s">
        <v>1435</v>
      </c>
    </row>
    <row r="45" spans="1:6" x14ac:dyDescent="0.3">
      <c r="A45" t="s">
        <v>2596</v>
      </c>
      <c r="B45" t="s">
        <v>2597</v>
      </c>
      <c r="E45">
        <v>142</v>
      </c>
      <c r="F45" t="s">
        <v>2649</v>
      </c>
    </row>
    <row r="46" spans="1:6" x14ac:dyDescent="0.3">
      <c r="A46" t="s">
        <v>53</v>
      </c>
      <c r="B46" t="s">
        <v>2598</v>
      </c>
      <c r="E46">
        <v>143</v>
      </c>
      <c r="F46" t="s">
        <v>2650</v>
      </c>
    </row>
    <row r="47" spans="1:6" x14ac:dyDescent="0.3">
      <c r="A47" t="s">
        <v>2599</v>
      </c>
      <c r="B47" t="s">
        <v>2600</v>
      </c>
      <c r="E47">
        <v>144</v>
      </c>
      <c r="F47" t="s">
        <v>2651</v>
      </c>
    </row>
    <row r="48" spans="1:6" x14ac:dyDescent="0.3">
      <c r="A48" t="s">
        <v>57</v>
      </c>
      <c r="B48" t="s">
        <v>2601</v>
      </c>
      <c r="E48">
        <v>145</v>
      </c>
      <c r="F48" t="s">
        <v>2652</v>
      </c>
    </row>
    <row r="49" spans="1:6" x14ac:dyDescent="0.3">
      <c r="A49" t="s">
        <v>2602</v>
      </c>
      <c r="B49" t="s">
        <v>2603</v>
      </c>
      <c r="E49">
        <v>146</v>
      </c>
      <c r="F49" t="s">
        <v>2653</v>
      </c>
    </row>
    <row r="50" spans="1:6" x14ac:dyDescent="0.3">
      <c r="A50" t="s">
        <v>2604</v>
      </c>
      <c r="B50" t="s">
        <v>712</v>
      </c>
      <c r="E50">
        <v>147</v>
      </c>
      <c r="F50" t="s">
        <v>2654</v>
      </c>
    </row>
    <row r="51" spans="1:6" x14ac:dyDescent="0.3">
      <c r="A51" t="s">
        <v>2605</v>
      </c>
      <c r="B51" t="s">
        <v>2606</v>
      </c>
      <c r="E51">
        <v>148</v>
      </c>
      <c r="F51" t="s">
        <v>2655</v>
      </c>
    </row>
    <row r="52" spans="1:6" x14ac:dyDescent="0.3">
      <c r="A52" t="s">
        <v>2607</v>
      </c>
      <c r="B52" t="s">
        <v>2608</v>
      </c>
      <c r="E52">
        <v>149</v>
      </c>
      <c r="F52" t="s">
        <v>2656</v>
      </c>
    </row>
    <row r="53" spans="1:6" x14ac:dyDescent="0.3">
      <c r="E53">
        <v>150</v>
      </c>
      <c r="F53" t="s">
        <v>1432</v>
      </c>
    </row>
    <row r="54" spans="1:6" x14ac:dyDescent="0.3">
      <c r="E54">
        <v>151</v>
      </c>
      <c r="F54" t="s">
        <v>2657</v>
      </c>
    </row>
    <row r="55" spans="1:6" x14ac:dyDescent="0.3">
      <c r="E55">
        <v>152</v>
      </c>
      <c r="F55" t="s">
        <v>2658</v>
      </c>
    </row>
    <row r="56" spans="1:6" x14ac:dyDescent="0.3">
      <c r="E56">
        <v>153</v>
      </c>
      <c r="F56" t="s">
        <v>2659</v>
      </c>
    </row>
    <row r="57" spans="1:6" x14ac:dyDescent="0.3">
      <c r="E57">
        <v>154</v>
      </c>
      <c r="F57" t="s">
        <v>2660</v>
      </c>
    </row>
    <row r="58" spans="1:6" x14ac:dyDescent="0.3">
      <c r="E58">
        <v>155</v>
      </c>
      <c r="F58" t="s">
        <v>2661</v>
      </c>
    </row>
    <row r="59" spans="1:6" x14ac:dyDescent="0.3">
      <c r="E59">
        <v>156</v>
      </c>
      <c r="F59" t="s">
        <v>2662</v>
      </c>
    </row>
    <row r="60" spans="1:6" x14ac:dyDescent="0.3">
      <c r="E60">
        <v>157</v>
      </c>
      <c r="F60" t="s">
        <v>2663</v>
      </c>
    </row>
    <row r="61" spans="1:6" x14ac:dyDescent="0.3">
      <c r="E61">
        <v>158</v>
      </c>
      <c r="F61" t="s">
        <v>2664</v>
      </c>
    </row>
    <row r="62" spans="1:6" x14ac:dyDescent="0.3">
      <c r="E62">
        <v>159</v>
      </c>
      <c r="F62" t="s">
        <v>2665</v>
      </c>
    </row>
    <row r="63" spans="1:6" x14ac:dyDescent="0.3">
      <c r="E63">
        <v>160</v>
      </c>
      <c r="F63" t="s">
        <v>2666</v>
      </c>
    </row>
    <row r="64" spans="1:6" x14ac:dyDescent="0.3">
      <c r="E64">
        <v>161</v>
      </c>
      <c r="F64" t="s">
        <v>2667</v>
      </c>
    </row>
    <row r="65" spans="5:6" x14ac:dyDescent="0.3">
      <c r="E65">
        <v>162</v>
      </c>
      <c r="F65" t="s">
        <v>2668</v>
      </c>
    </row>
    <row r="66" spans="5:6" x14ac:dyDescent="0.3">
      <c r="E66">
        <v>163</v>
      </c>
      <c r="F66" t="s">
        <v>2573</v>
      </c>
    </row>
    <row r="67" spans="5:6" x14ac:dyDescent="0.3">
      <c r="E67">
        <v>164</v>
      </c>
      <c r="F67" t="s">
        <v>2669</v>
      </c>
    </row>
    <row r="68" spans="5:6" x14ac:dyDescent="0.3">
      <c r="E68">
        <v>165</v>
      </c>
      <c r="F68" t="s">
        <v>2670</v>
      </c>
    </row>
    <row r="69" spans="5:6" x14ac:dyDescent="0.3">
      <c r="E69">
        <v>166</v>
      </c>
      <c r="F69" t="s">
        <v>2671</v>
      </c>
    </row>
    <row r="70" spans="5:6" x14ac:dyDescent="0.3">
      <c r="E70">
        <v>167</v>
      </c>
      <c r="F70" t="s">
        <v>2672</v>
      </c>
    </row>
    <row r="71" spans="5:6" x14ac:dyDescent="0.3">
      <c r="E71">
        <v>168</v>
      </c>
      <c r="F71" t="s">
        <v>2673</v>
      </c>
    </row>
    <row r="72" spans="5:6" x14ac:dyDescent="0.3">
      <c r="E72">
        <v>169</v>
      </c>
      <c r="F72" t="s">
        <v>2674</v>
      </c>
    </row>
    <row r="73" spans="5:6" x14ac:dyDescent="0.3">
      <c r="E73">
        <v>170</v>
      </c>
      <c r="F73" t="s">
        <v>497</v>
      </c>
    </row>
    <row r="74" spans="5:6" x14ac:dyDescent="0.3">
      <c r="E74">
        <v>171</v>
      </c>
      <c r="F74" t="s">
        <v>2675</v>
      </c>
    </row>
    <row r="75" spans="5:6" x14ac:dyDescent="0.3">
      <c r="E75">
        <v>172</v>
      </c>
      <c r="F75" t="s">
        <v>2676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8B44-BABE-44DD-AA5E-31D3E8224B51}">
  <dimension ref="A1:B43"/>
  <sheetViews>
    <sheetView topLeftCell="A31" zoomScale="220" zoomScaleNormal="220" workbookViewId="0">
      <selection activeCell="F27" sqref="F27"/>
    </sheetView>
  </sheetViews>
  <sheetFormatPr baseColWidth="10" defaultRowHeight="14.4" x14ac:dyDescent="0.3"/>
  <cols>
    <col min="2" max="2" width="128.5546875" bestFit="1" customWidth="1"/>
  </cols>
  <sheetData>
    <row r="1" spans="1:2" x14ac:dyDescent="0.3">
      <c r="B1" t="s">
        <v>2506</v>
      </c>
    </row>
    <row r="2" spans="1:2" x14ac:dyDescent="0.3">
      <c r="A2" t="s">
        <v>2677</v>
      </c>
      <c r="B2" t="s">
        <v>2507</v>
      </c>
    </row>
    <row r="3" spans="1:2" x14ac:dyDescent="0.3">
      <c r="A3" t="s">
        <v>2678</v>
      </c>
      <c r="B3" t="s">
        <v>2508</v>
      </c>
    </row>
    <row r="4" spans="1:2" x14ac:dyDescent="0.3">
      <c r="A4" t="s">
        <v>2679</v>
      </c>
      <c r="B4" t="s">
        <v>2509</v>
      </c>
    </row>
    <row r="5" spans="1:2" x14ac:dyDescent="0.3">
      <c r="A5" t="s">
        <v>2680</v>
      </c>
      <c r="B5" t="s">
        <v>2510</v>
      </c>
    </row>
    <row r="6" spans="1:2" x14ac:dyDescent="0.3">
      <c r="A6" t="s">
        <v>2681</v>
      </c>
      <c r="B6" t="s">
        <v>2511</v>
      </c>
    </row>
    <row r="7" spans="1:2" x14ac:dyDescent="0.3">
      <c r="A7" t="s">
        <v>2682</v>
      </c>
      <c r="B7" t="s">
        <v>2512</v>
      </c>
    </row>
    <row r="8" spans="1:2" x14ac:dyDescent="0.3">
      <c r="A8" t="s">
        <v>2683</v>
      </c>
      <c r="B8" t="s">
        <v>2513</v>
      </c>
    </row>
    <row r="9" spans="1:2" x14ac:dyDescent="0.3">
      <c r="A9" t="s">
        <v>2684</v>
      </c>
      <c r="B9" t="s">
        <v>2514</v>
      </c>
    </row>
    <row r="10" spans="1:2" x14ac:dyDescent="0.3">
      <c r="A10" t="s">
        <v>2685</v>
      </c>
      <c r="B10" t="s">
        <v>2515</v>
      </c>
    </row>
    <row r="11" spans="1:2" x14ac:dyDescent="0.3">
      <c r="A11" t="s">
        <v>2686</v>
      </c>
      <c r="B11" t="s">
        <v>2516</v>
      </c>
    </row>
    <row r="12" spans="1:2" x14ac:dyDescent="0.3">
      <c r="A12" t="s">
        <v>2687</v>
      </c>
      <c r="B12" t="s">
        <v>2517</v>
      </c>
    </row>
    <row r="13" spans="1:2" x14ac:dyDescent="0.3">
      <c r="A13" t="s">
        <v>2688</v>
      </c>
      <c r="B13" t="s">
        <v>2518</v>
      </c>
    </row>
    <row r="14" spans="1:2" x14ac:dyDescent="0.3">
      <c r="A14" t="s">
        <v>2689</v>
      </c>
      <c r="B14" t="s">
        <v>2519</v>
      </c>
    </row>
    <row r="15" spans="1:2" x14ac:dyDescent="0.3">
      <c r="A15" t="s">
        <v>2690</v>
      </c>
      <c r="B15" t="s">
        <v>2520</v>
      </c>
    </row>
    <row r="16" spans="1:2" x14ac:dyDescent="0.3">
      <c r="A16" t="s">
        <v>2691</v>
      </c>
      <c r="B16" t="s">
        <v>2521</v>
      </c>
    </row>
    <row r="17" spans="1:2" x14ac:dyDescent="0.3">
      <c r="A17" t="s">
        <v>2692</v>
      </c>
      <c r="B17" t="s">
        <v>2522</v>
      </c>
    </row>
    <row r="18" spans="1:2" x14ac:dyDescent="0.3">
      <c r="A18" t="s">
        <v>2693</v>
      </c>
      <c r="B18" t="s">
        <v>2523</v>
      </c>
    </row>
    <row r="19" spans="1:2" x14ac:dyDescent="0.3">
      <c r="A19" t="s">
        <v>2694</v>
      </c>
      <c r="B19" t="s">
        <v>2524</v>
      </c>
    </row>
    <row r="20" spans="1:2" x14ac:dyDescent="0.3">
      <c r="A20" t="s">
        <v>2695</v>
      </c>
      <c r="B20" t="s">
        <v>2525</v>
      </c>
    </row>
    <row r="21" spans="1:2" x14ac:dyDescent="0.3">
      <c r="A21" t="s">
        <v>2696</v>
      </c>
      <c r="B21" t="s">
        <v>2526</v>
      </c>
    </row>
    <row r="22" spans="1:2" x14ac:dyDescent="0.3">
      <c r="A22" t="s">
        <v>2697</v>
      </c>
      <c r="B22" t="s">
        <v>2527</v>
      </c>
    </row>
    <row r="23" spans="1:2" x14ac:dyDescent="0.3">
      <c r="A23" t="s">
        <v>2698</v>
      </c>
      <c r="B23" t="s">
        <v>2528</v>
      </c>
    </row>
    <row r="24" spans="1:2" x14ac:dyDescent="0.3">
      <c r="A24" t="s">
        <v>2699</v>
      </c>
      <c r="B24" t="s">
        <v>2529</v>
      </c>
    </row>
    <row r="25" spans="1:2" x14ac:dyDescent="0.3">
      <c r="A25" t="s">
        <v>2700</v>
      </c>
      <c r="B25" t="s">
        <v>2530</v>
      </c>
    </row>
    <row r="26" spans="1:2" x14ac:dyDescent="0.3">
      <c r="A26" t="s">
        <v>2701</v>
      </c>
      <c r="B26" t="s">
        <v>2531</v>
      </c>
    </row>
    <row r="27" spans="1:2" x14ac:dyDescent="0.3">
      <c r="A27" t="s">
        <v>2702</v>
      </c>
      <c r="B27" t="s">
        <v>2532</v>
      </c>
    </row>
    <row r="28" spans="1:2" x14ac:dyDescent="0.3">
      <c r="A28" t="s">
        <v>2703</v>
      </c>
      <c r="B28" t="s">
        <v>2533</v>
      </c>
    </row>
    <row r="29" spans="1:2" x14ac:dyDescent="0.3">
      <c r="A29" t="s">
        <v>2704</v>
      </c>
      <c r="B29" t="s">
        <v>2534</v>
      </c>
    </row>
    <row r="30" spans="1:2" x14ac:dyDescent="0.3">
      <c r="A30" t="s">
        <v>2705</v>
      </c>
      <c r="B30" t="s">
        <v>2535</v>
      </c>
    </row>
    <row r="31" spans="1:2" x14ac:dyDescent="0.3">
      <c r="A31" t="s">
        <v>2706</v>
      </c>
      <c r="B31" t="s">
        <v>2536</v>
      </c>
    </row>
    <row r="32" spans="1:2" x14ac:dyDescent="0.3">
      <c r="A32" t="s">
        <v>2707</v>
      </c>
      <c r="B32" t="s">
        <v>2537</v>
      </c>
    </row>
    <row r="33" spans="1:2" x14ac:dyDescent="0.3">
      <c r="A33" t="s">
        <v>2708</v>
      </c>
      <c r="B33" t="s">
        <v>2538</v>
      </c>
    </row>
    <row r="34" spans="1:2" x14ac:dyDescent="0.3">
      <c r="A34" t="s">
        <v>2709</v>
      </c>
      <c r="B34" t="s">
        <v>2539</v>
      </c>
    </row>
    <row r="35" spans="1:2" x14ac:dyDescent="0.3">
      <c r="A35" t="s">
        <v>2710</v>
      </c>
      <c r="B35" t="s">
        <v>2540</v>
      </c>
    </row>
    <row r="36" spans="1:2" x14ac:dyDescent="0.3">
      <c r="A36" t="s">
        <v>2711</v>
      </c>
      <c r="B36" t="s">
        <v>2541</v>
      </c>
    </row>
    <row r="37" spans="1:2" x14ac:dyDescent="0.3">
      <c r="A37" t="s">
        <v>2712</v>
      </c>
      <c r="B37" t="s">
        <v>2542</v>
      </c>
    </row>
    <row r="38" spans="1:2" x14ac:dyDescent="0.3">
      <c r="A38" t="s">
        <v>2713</v>
      </c>
      <c r="B38" t="s">
        <v>2543</v>
      </c>
    </row>
    <row r="39" spans="1:2" x14ac:dyDescent="0.3">
      <c r="A39" t="s">
        <v>2714</v>
      </c>
      <c r="B39" t="s">
        <v>2544</v>
      </c>
    </row>
    <row r="40" spans="1:2" x14ac:dyDescent="0.3">
      <c r="A40" t="s">
        <v>2715</v>
      </c>
      <c r="B40" t="s">
        <v>2545</v>
      </c>
    </row>
    <row r="41" spans="1:2" x14ac:dyDescent="0.3">
      <c r="A41" t="s">
        <v>2716</v>
      </c>
      <c r="B41" t="s">
        <v>2546</v>
      </c>
    </row>
    <row r="42" spans="1:2" x14ac:dyDescent="0.3">
      <c r="A42" t="s">
        <v>2717</v>
      </c>
      <c r="B42" t="s">
        <v>2547</v>
      </c>
    </row>
    <row r="43" spans="1:2" x14ac:dyDescent="0.3">
      <c r="A43" t="s">
        <v>2718</v>
      </c>
      <c r="B43" t="s">
        <v>2548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6C67-EC9B-4A67-86EB-85A08133E4B2}">
  <dimension ref="A2:C43"/>
  <sheetViews>
    <sheetView topLeftCell="A19" zoomScale="145" zoomScaleNormal="145" workbookViewId="0">
      <selection activeCell="C375" sqref="C375:C379"/>
    </sheetView>
  </sheetViews>
  <sheetFormatPr baseColWidth="10" defaultRowHeight="14.4" x14ac:dyDescent="0.3"/>
  <sheetData>
    <row r="2" spans="1:3" x14ac:dyDescent="0.3">
      <c r="A2">
        <v>110101</v>
      </c>
      <c r="B2">
        <v>110101</v>
      </c>
      <c r="C2">
        <f>A2-B2</f>
        <v>0</v>
      </c>
    </row>
    <row r="3" spans="1:3" x14ac:dyDescent="0.3">
      <c r="A3">
        <v>110201</v>
      </c>
      <c r="B3">
        <v>110201</v>
      </c>
      <c r="C3">
        <f t="shared" ref="C3:C43" si="0">A3-B3</f>
        <v>0</v>
      </c>
    </row>
    <row r="4" spans="1:3" x14ac:dyDescent="0.3">
      <c r="A4">
        <v>120101</v>
      </c>
      <c r="B4">
        <v>120101</v>
      </c>
      <c r="C4">
        <f t="shared" si="0"/>
        <v>0</v>
      </c>
    </row>
    <row r="5" spans="1:3" x14ac:dyDescent="0.3">
      <c r="A5">
        <v>120102</v>
      </c>
      <c r="B5">
        <v>120102</v>
      </c>
      <c r="C5">
        <f t="shared" si="0"/>
        <v>0</v>
      </c>
    </row>
    <row r="6" spans="1:3" x14ac:dyDescent="0.3">
      <c r="A6">
        <v>140101</v>
      </c>
      <c r="B6">
        <v>140101</v>
      </c>
      <c r="C6">
        <f t="shared" si="0"/>
        <v>0</v>
      </c>
    </row>
    <row r="7" spans="1:3" x14ac:dyDescent="0.3">
      <c r="A7">
        <v>140102</v>
      </c>
      <c r="B7">
        <v>140102</v>
      </c>
      <c r="C7">
        <f t="shared" si="0"/>
        <v>0</v>
      </c>
    </row>
    <row r="8" spans="1:3" x14ac:dyDescent="0.3">
      <c r="A8">
        <v>140103</v>
      </c>
      <c r="B8">
        <v>140103</v>
      </c>
      <c r="C8">
        <f t="shared" si="0"/>
        <v>0</v>
      </c>
    </row>
    <row r="9" spans="1:3" x14ac:dyDescent="0.3">
      <c r="A9">
        <v>140104</v>
      </c>
      <c r="B9">
        <v>140104</v>
      </c>
      <c r="C9">
        <f t="shared" si="0"/>
        <v>0</v>
      </c>
    </row>
    <row r="10" spans="1:3" x14ac:dyDescent="0.3">
      <c r="A10">
        <v>150101</v>
      </c>
      <c r="B10">
        <v>150101</v>
      </c>
      <c r="C10">
        <f t="shared" si="0"/>
        <v>0</v>
      </c>
    </row>
    <row r="11" spans="1:3" x14ac:dyDescent="0.3">
      <c r="A11">
        <v>150102</v>
      </c>
      <c r="B11">
        <v>150102</v>
      </c>
      <c r="C11">
        <f t="shared" si="0"/>
        <v>0</v>
      </c>
    </row>
    <row r="12" spans="1:3" x14ac:dyDescent="0.3">
      <c r="A12">
        <v>160101</v>
      </c>
      <c r="B12">
        <v>160101</v>
      </c>
      <c r="C12">
        <f t="shared" si="0"/>
        <v>0</v>
      </c>
    </row>
    <row r="13" spans="1:3" x14ac:dyDescent="0.3">
      <c r="A13">
        <v>170101</v>
      </c>
      <c r="B13">
        <v>170101</v>
      </c>
      <c r="C13">
        <f t="shared" si="0"/>
        <v>0</v>
      </c>
    </row>
    <row r="14" spans="1:3" x14ac:dyDescent="0.3">
      <c r="A14">
        <v>170201</v>
      </c>
      <c r="B14">
        <v>170201</v>
      </c>
      <c r="C14">
        <f t="shared" si="0"/>
        <v>0</v>
      </c>
    </row>
    <row r="15" spans="1:3" x14ac:dyDescent="0.3">
      <c r="A15">
        <v>170301</v>
      </c>
      <c r="B15">
        <v>170301</v>
      </c>
      <c r="C15">
        <f t="shared" si="0"/>
        <v>0</v>
      </c>
    </row>
    <row r="16" spans="1:3" x14ac:dyDescent="0.3">
      <c r="A16">
        <v>170302</v>
      </c>
      <c r="B16">
        <v>170302</v>
      </c>
      <c r="C16">
        <f t="shared" si="0"/>
        <v>0</v>
      </c>
    </row>
    <row r="17" spans="1:3" x14ac:dyDescent="0.3">
      <c r="A17">
        <v>250101</v>
      </c>
      <c r="B17">
        <v>250101</v>
      </c>
      <c r="C17">
        <f t="shared" si="0"/>
        <v>0</v>
      </c>
    </row>
    <row r="18" spans="1:3" x14ac:dyDescent="0.3">
      <c r="A18">
        <v>250102</v>
      </c>
      <c r="B18">
        <v>250102</v>
      </c>
      <c r="C18">
        <f t="shared" si="0"/>
        <v>0</v>
      </c>
    </row>
    <row r="19" spans="1:3" x14ac:dyDescent="0.3">
      <c r="A19">
        <v>250103</v>
      </c>
      <c r="B19">
        <v>250103</v>
      </c>
      <c r="C19">
        <f t="shared" si="0"/>
        <v>0</v>
      </c>
    </row>
    <row r="20" spans="1:3" x14ac:dyDescent="0.3">
      <c r="A20">
        <v>250104</v>
      </c>
      <c r="B20">
        <v>250104</v>
      </c>
      <c r="C20">
        <f t="shared" si="0"/>
        <v>0</v>
      </c>
    </row>
    <row r="21" spans="1:3" x14ac:dyDescent="0.3">
      <c r="A21">
        <v>250105</v>
      </c>
      <c r="B21">
        <v>250105</v>
      </c>
      <c r="C21">
        <f t="shared" si="0"/>
        <v>0</v>
      </c>
    </row>
    <row r="22" spans="1:3" x14ac:dyDescent="0.3">
      <c r="A22">
        <v>250201</v>
      </c>
      <c r="B22">
        <v>250201</v>
      </c>
      <c r="C22">
        <f t="shared" si="0"/>
        <v>0</v>
      </c>
    </row>
    <row r="23" spans="1:3" x14ac:dyDescent="0.3">
      <c r="A23">
        <v>250202</v>
      </c>
      <c r="B23">
        <v>250202</v>
      </c>
      <c r="C23">
        <f t="shared" si="0"/>
        <v>0</v>
      </c>
    </row>
    <row r="24" spans="1:3" x14ac:dyDescent="0.3">
      <c r="A24">
        <v>250203</v>
      </c>
      <c r="B24">
        <v>250203</v>
      </c>
      <c r="C24">
        <f t="shared" si="0"/>
        <v>0</v>
      </c>
    </row>
    <row r="25" spans="1:3" x14ac:dyDescent="0.3">
      <c r="A25">
        <v>250204</v>
      </c>
      <c r="B25">
        <v>250204</v>
      </c>
      <c r="C25">
        <f t="shared" si="0"/>
        <v>0</v>
      </c>
    </row>
    <row r="26" spans="1:3" x14ac:dyDescent="0.3">
      <c r="A26">
        <v>250205</v>
      </c>
      <c r="B26">
        <v>250205</v>
      </c>
      <c r="C26">
        <f t="shared" si="0"/>
        <v>0</v>
      </c>
    </row>
    <row r="27" spans="1:3" x14ac:dyDescent="0.3">
      <c r="A27">
        <v>250206</v>
      </c>
      <c r="B27">
        <v>250206</v>
      </c>
      <c r="C27">
        <f t="shared" si="0"/>
        <v>0</v>
      </c>
    </row>
    <row r="28" spans="1:3" x14ac:dyDescent="0.3">
      <c r="A28">
        <v>250207</v>
      </c>
      <c r="B28">
        <v>250207</v>
      </c>
      <c r="C28">
        <f t="shared" si="0"/>
        <v>0</v>
      </c>
    </row>
    <row r="29" spans="1:3" x14ac:dyDescent="0.3">
      <c r="A29">
        <v>250208</v>
      </c>
      <c r="B29">
        <v>250208</v>
      </c>
      <c r="C29">
        <f t="shared" si="0"/>
        <v>0</v>
      </c>
    </row>
    <row r="30" spans="1:3" x14ac:dyDescent="0.3">
      <c r="A30">
        <v>250209</v>
      </c>
      <c r="B30">
        <v>250209</v>
      </c>
      <c r="C30">
        <f t="shared" si="0"/>
        <v>0</v>
      </c>
    </row>
    <row r="31" spans="1:3" x14ac:dyDescent="0.3">
      <c r="A31">
        <v>250210</v>
      </c>
      <c r="B31">
        <v>250210</v>
      </c>
      <c r="C31">
        <f t="shared" si="0"/>
        <v>0</v>
      </c>
    </row>
    <row r="32" spans="1:3" x14ac:dyDescent="0.3">
      <c r="A32">
        <v>250211</v>
      </c>
      <c r="B32">
        <v>250211</v>
      </c>
      <c r="C32">
        <f t="shared" si="0"/>
        <v>0</v>
      </c>
    </row>
    <row r="33" spans="1:3" x14ac:dyDescent="0.3">
      <c r="A33">
        <v>250212</v>
      </c>
      <c r="B33">
        <v>250212</v>
      </c>
      <c r="C33">
        <f t="shared" si="0"/>
        <v>0</v>
      </c>
    </row>
    <row r="34" spans="1:3" x14ac:dyDescent="0.3">
      <c r="A34">
        <v>250213</v>
      </c>
      <c r="B34">
        <v>250213</v>
      </c>
      <c r="C34">
        <f t="shared" si="0"/>
        <v>0</v>
      </c>
    </row>
    <row r="35" spans="1:3" x14ac:dyDescent="0.3">
      <c r="A35">
        <v>250214</v>
      </c>
      <c r="B35">
        <v>250214</v>
      </c>
      <c r="C35">
        <f t="shared" si="0"/>
        <v>0</v>
      </c>
    </row>
    <row r="36" spans="1:3" x14ac:dyDescent="0.3">
      <c r="A36">
        <v>250215</v>
      </c>
      <c r="B36">
        <v>250215</v>
      </c>
      <c r="C36">
        <f t="shared" si="0"/>
        <v>0</v>
      </c>
    </row>
    <row r="37" spans="1:3" x14ac:dyDescent="0.3">
      <c r="A37">
        <v>250216</v>
      </c>
      <c r="B37">
        <v>250216</v>
      </c>
      <c r="C37">
        <f t="shared" si="0"/>
        <v>0</v>
      </c>
    </row>
    <row r="38" spans="1:3" x14ac:dyDescent="0.3">
      <c r="A38">
        <v>250217</v>
      </c>
      <c r="B38">
        <v>250217</v>
      </c>
      <c r="C38">
        <f t="shared" si="0"/>
        <v>0</v>
      </c>
    </row>
    <row r="39" spans="1:3" x14ac:dyDescent="0.3">
      <c r="A39">
        <v>250218</v>
      </c>
      <c r="B39">
        <v>250218</v>
      </c>
      <c r="C39">
        <f t="shared" si="0"/>
        <v>0</v>
      </c>
    </row>
    <row r="40" spans="1:3" x14ac:dyDescent="0.3">
      <c r="A40" s="234">
        <v>250219</v>
      </c>
      <c r="B40" s="234"/>
      <c r="C40" s="234">
        <f t="shared" si="0"/>
        <v>250219</v>
      </c>
    </row>
    <row r="41" spans="1:3" x14ac:dyDescent="0.3">
      <c r="A41">
        <v>260101</v>
      </c>
      <c r="B41">
        <v>260101</v>
      </c>
      <c r="C41">
        <f t="shared" si="0"/>
        <v>0</v>
      </c>
    </row>
    <row r="42" spans="1:3" x14ac:dyDescent="0.3">
      <c r="A42">
        <v>260102</v>
      </c>
      <c r="B42">
        <v>260102</v>
      </c>
      <c r="C42">
        <f t="shared" si="0"/>
        <v>0</v>
      </c>
    </row>
    <row r="43" spans="1:3" x14ac:dyDescent="0.3">
      <c r="A43">
        <v>260103</v>
      </c>
      <c r="B43">
        <v>260103</v>
      </c>
      <c r="C43">
        <f t="shared" si="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2</vt:i4>
      </vt:variant>
    </vt:vector>
  </HeadingPairs>
  <TitlesOfParts>
    <vt:vector size="19" baseType="lpstr">
      <vt:lpstr>NVA. EST. PROGRAMATICA 2026</vt:lpstr>
      <vt:lpstr>Hoja2</vt:lpstr>
      <vt:lpstr>ESTRUCTURA 2026</vt:lpstr>
      <vt:lpstr>dgeneral</vt:lpstr>
      <vt:lpstr>dauxiliar</vt:lpstr>
      <vt:lpstr>proyectos</vt:lpstr>
      <vt:lpstr>Objetivo</vt:lpstr>
      <vt:lpstr>Ob, Nuevos</vt:lpstr>
      <vt:lpstr>Pp y Py 2026</vt:lpstr>
      <vt:lpstr>GACETA</vt:lpstr>
      <vt:lpstr>GACETA 1</vt:lpstr>
      <vt:lpstr>Hoja3</vt:lpstr>
      <vt:lpstr>GACETA 2</vt:lpstr>
      <vt:lpstr>Hoja1</vt:lpstr>
      <vt:lpstr>GACETA 3</vt:lpstr>
      <vt:lpstr>GACETA 4</vt:lpstr>
      <vt:lpstr>Hoja4</vt:lpstr>
      <vt:lpstr>'NVA. EST. PROGRAMATICA 2026'!Área_de_impresión</vt:lpstr>
      <vt:lpstr>'NVA. EST. PROGRAMATICA 2026'!Títulos_a_imprimir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UIPPE</dc:creator>
  <cp:lastModifiedBy>a s</cp:lastModifiedBy>
  <cp:lastPrinted>2025-12-16T16:20:25Z</cp:lastPrinted>
  <dcterms:created xsi:type="dcterms:W3CDTF">2025-01-27T16:35:43Z</dcterms:created>
  <dcterms:modified xsi:type="dcterms:W3CDTF">2026-01-12T04:32:06Z</dcterms:modified>
</cp:coreProperties>
</file>